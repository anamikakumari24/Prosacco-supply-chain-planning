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CT\"/>
    </mc:Choice>
  </mc:AlternateContent>
  <xr:revisionPtr revIDLastSave="0" documentId="13_ncr:1_{A9FBF4FB-DCF2-4BE6-B2DA-8001A8DB43F5}" xr6:coauthVersionLast="47" xr6:coauthVersionMax="47" xr10:uidLastSave="{00000000-0000-0000-0000-000000000000}"/>
  <bookViews>
    <workbookView xWindow="-108" yWindow="-108" windowWidth="23256" windowHeight="12456" firstSheet="4" activeTab="8" xr2:uid="{00000000-000D-0000-FFFF-FFFF00000000}"/>
  </bookViews>
  <sheets>
    <sheet name="Dashboard" sheetId="1" r:id="rId1"/>
    <sheet name="Controls" sheetId="2" r:id="rId2"/>
    <sheet name="PSI Plan" sheetId="3" r:id="rId3"/>
    <sheet name="Inventory Review" sheetId="4" state="hidden" r:id="rId4"/>
    <sheet name="Customer Impact" sheetId="5" r:id="rId5"/>
    <sheet name="Orders" sheetId="6" r:id="rId6"/>
    <sheet name="Products" sheetId="7" r:id="rId7"/>
    <sheet name="Production" sheetId="8" r:id="rId8"/>
    <sheet name="Source" sheetId="15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881" i="6" l="1"/>
  <c r="L2881" i="6"/>
  <c r="M2880" i="6"/>
  <c r="L2880" i="6"/>
  <c r="M2879" i="6"/>
  <c r="L2879" i="6"/>
  <c r="M2878" i="6"/>
  <c r="L2878" i="6"/>
  <c r="M2877" i="6"/>
  <c r="L2877" i="6"/>
  <c r="M2876" i="6"/>
  <c r="L2876" i="6"/>
  <c r="M2875" i="6"/>
  <c r="L2875" i="6"/>
  <c r="M2874" i="6"/>
  <c r="L2874" i="6"/>
  <c r="M2873" i="6"/>
  <c r="L2873" i="6"/>
  <c r="M2872" i="6"/>
  <c r="L2872" i="6"/>
  <c r="M2871" i="6"/>
  <c r="L2871" i="6"/>
  <c r="M2870" i="6"/>
  <c r="L2870" i="6"/>
  <c r="M2869" i="6"/>
  <c r="L2869" i="6"/>
  <c r="M2868" i="6"/>
  <c r="L2868" i="6"/>
  <c r="M2867" i="6"/>
  <c r="L2867" i="6"/>
  <c r="M2866" i="6"/>
  <c r="L2866" i="6"/>
  <c r="M2865" i="6"/>
  <c r="L2865" i="6"/>
  <c r="M2864" i="6"/>
  <c r="L2864" i="6"/>
  <c r="M2863" i="6"/>
  <c r="L2863" i="6"/>
  <c r="M2862" i="6"/>
  <c r="L2862" i="6"/>
  <c r="M2861" i="6"/>
  <c r="L2861" i="6"/>
  <c r="M2860" i="6"/>
  <c r="L2860" i="6"/>
  <c r="M2859" i="6"/>
  <c r="L2859" i="6"/>
  <c r="M2858" i="6"/>
  <c r="L2858" i="6"/>
  <c r="M2857" i="6"/>
  <c r="L2857" i="6"/>
  <c r="M2856" i="6"/>
  <c r="L2856" i="6"/>
  <c r="M2855" i="6"/>
  <c r="L2855" i="6"/>
  <c r="M2854" i="6"/>
  <c r="L2854" i="6"/>
  <c r="M2853" i="6"/>
  <c r="L2853" i="6"/>
  <c r="M2852" i="6"/>
  <c r="L2852" i="6"/>
  <c r="M2851" i="6"/>
  <c r="L2851" i="6"/>
  <c r="M2850" i="6"/>
  <c r="L2850" i="6"/>
  <c r="M2849" i="6"/>
  <c r="L2849" i="6"/>
  <c r="M2848" i="6"/>
  <c r="L2848" i="6"/>
  <c r="M2847" i="6"/>
  <c r="L2847" i="6"/>
  <c r="M2846" i="6"/>
  <c r="L2846" i="6"/>
  <c r="M2845" i="6"/>
  <c r="L2845" i="6"/>
  <c r="M2844" i="6"/>
  <c r="L2844" i="6"/>
  <c r="M2843" i="6"/>
  <c r="L2843" i="6"/>
  <c r="M2842" i="6"/>
  <c r="L2842" i="6"/>
  <c r="M2841" i="6"/>
  <c r="D14" i="5" s="1"/>
  <c r="L2841" i="6"/>
  <c r="C14" i="5" s="1"/>
  <c r="M2840" i="6"/>
  <c r="L2840" i="6"/>
  <c r="M2839" i="6"/>
  <c r="L2839" i="6"/>
  <c r="M2838" i="6"/>
  <c r="L2838" i="6"/>
  <c r="M2837" i="6"/>
  <c r="L2837" i="6"/>
  <c r="M2836" i="6"/>
  <c r="L2836" i="6"/>
  <c r="M2835" i="6"/>
  <c r="L2835" i="6"/>
  <c r="M2834" i="6"/>
  <c r="L2834" i="6"/>
  <c r="M2833" i="6"/>
  <c r="L2833" i="6"/>
  <c r="M2832" i="6"/>
  <c r="L2832" i="6"/>
  <c r="M2831" i="6"/>
  <c r="L2831" i="6"/>
  <c r="M2830" i="6"/>
  <c r="L2830" i="6"/>
  <c r="M2829" i="6"/>
  <c r="L2829" i="6"/>
  <c r="M2828" i="6"/>
  <c r="L2828" i="6"/>
  <c r="M2827" i="6"/>
  <c r="L2827" i="6"/>
  <c r="M2826" i="6"/>
  <c r="L2826" i="6"/>
  <c r="M2825" i="6"/>
  <c r="L2825" i="6"/>
  <c r="M2824" i="6"/>
  <c r="L2824" i="6"/>
  <c r="M2823" i="6"/>
  <c r="L2823" i="6"/>
  <c r="M2822" i="6"/>
  <c r="L2822" i="6"/>
  <c r="M2821" i="6"/>
  <c r="L2821" i="6"/>
  <c r="M2820" i="6"/>
  <c r="L2820" i="6"/>
  <c r="M2819" i="6"/>
  <c r="L2819" i="6"/>
  <c r="M2818" i="6"/>
  <c r="L2818" i="6"/>
  <c r="M2817" i="6"/>
  <c r="L2817" i="6"/>
  <c r="M2816" i="6"/>
  <c r="L2816" i="6"/>
  <c r="M2815" i="6"/>
  <c r="L2815" i="6"/>
  <c r="M2814" i="6"/>
  <c r="L2814" i="6"/>
  <c r="M2813" i="6"/>
  <c r="L2813" i="6"/>
  <c r="M2812" i="6"/>
  <c r="L2812" i="6"/>
  <c r="M2811" i="6"/>
  <c r="L2811" i="6"/>
  <c r="M2810" i="6"/>
  <c r="L2810" i="6"/>
  <c r="M2809" i="6"/>
  <c r="L2809" i="6"/>
  <c r="M2808" i="6"/>
  <c r="L2808" i="6"/>
  <c r="M2807" i="6"/>
  <c r="L2807" i="6"/>
  <c r="M2806" i="6"/>
  <c r="L2806" i="6"/>
  <c r="M2805" i="6"/>
  <c r="L2805" i="6"/>
  <c r="M2804" i="6"/>
  <c r="L2804" i="6"/>
  <c r="M2803" i="6"/>
  <c r="L2803" i="6"/>
  <c r="M2802" i="6"/>
  <c r="L2802" i="6"/>
  <c r="M2801" i="6"/>
  <c r="L2801" i="6"/>
  <c r="M2800" i="6"/>
  <c r="L2800" i="6"/>
  <c r="M2799" i="6"/>
  <c r="L2799" i="6"/>
  <c r="M2798" i="6"/>
  <c r="L2798" i="6"/>
  <c r="M2797" i="6"/>
  <c r="L2797" i="6"/>
  <c r="M2796" i="6"/>
  <c r="L2796" i="6"/>
  <c r="M2795" i="6"/>
  <c r="L2795" i="6"/>
  <c r="M2794" i="6"/>
  <c r="L2794" i="6"/>
  <c r="M2793" i="6"/>
  <c r="L2793" i="6"/>
  <c r="M2792" i="6"/>
  <c r="L2792" i="6"/>
  <c r="M2791" i="6"/>
  <c r="L2791" i="6"/>
  <c r="M2790" i="6"/>
  <c r="L2790" i="6"/>
  <c r="M2789" i="6"/>
  <c r="L2789" i="6"/>
  <c r="M2788" i="6"/>
  <c r="L2788" i="6"/>
  <c r="M2787" i="6"/>
  <c r="L2787" i="6"/>
  <c r="M2786" i="6"/>
  <c r="L2786" i="6"/>
  <c r="M2785" i="6"/>
  <c r="L2785" i="6"/>
  <c r="M2784" i="6"/>
  <c r="L2784" i="6"/>
  <c r="M2783" i="6"/>
  <c r="L2783" i="6"/>
  <c r="M2782" i="6"/>
  <c r="L2782" i="6"/>
  <c r="M2781" i="6"/>
  <c r="L2781" i="6"/>
  <c r="M2780" i="6"/>
  <c r="L2780" i="6"/>
  <c r="M2779" i="6"/>
  <c r="L2779" i="6"/>
  <c r="M2778" i="6"/>
  <c r="L2778" i="6"/>
  <c r="M2777" i="6"/>
  <c r="L2777" i="6"/>
  <c r="M2776" i="6"/>
  <c r="L2776" i="6"/>
  <c r="M2775" i="6"/>
  <c r="L2775" i="6"/>
  <c r="M2774" i="6"/>
  <c r="L2774" i="6"/>
  <c r="M2773" i="6"/>
  <c r="L2773" i="6"/>
  <c r="M2772" i="6"/>
  <c r="L2772" i="6"/>
  <c r="M2771" i="6"/>
  <c r="L2771" i="6"/>
  <c r="M2770" i="6"/>
  <c r="L2770" i="6"/>
  <c r="M2769" i="6"/>
  <c r="L2769" i="6"/>
  <c r="M2768" i="6"/>
  <c r="L2768" i="6"/>
  <c r="M2767" i="6"/>
  <c r="L2767" i="6"/>
  <c r="M2766" i="6"/>
  <c r="L2766" i="6"/>
  <c r="M2765" i="6"/>
  <c r="L2765" i="6"/>
  <c r="M2764" i="6"/>
  <c r="L2764" i="6"/>
  <c r="M2763" i="6"/>
  <c r="L2763" i="6"/>
  <c r="M2762" i="6"/>
  <c r="L2762" i="6"/>
  <c r="M2761" i="6"/>
  <c r="L2761" i="6"/>
  <c r="M2760" i="6"/>
  <c r="L2760" i="6"/>
  <c r="M2759" i="6"/>
  <c r="L2759" i="6"/>
  <c r="M2758" i="6"/>
  <c r="L2758" i="6"/>
  <c r="M2757" i="6"/>
  <c r="L2757" i="6"/>
  <c r="M2756" i="6"/>
  <c r="L2756" i="6"/>
  <c r="M2755" i="6"/>
  <c r="L2755" i="6"/>
  <c r="M2754" i="6"/>
  <c r="L2754" i="6"/>
  <c r="M2753" i="6"/>
  <c r="L2753" i="6"/>
  <c r="M2752" i="6"/>
  <c r="L2752" i="6"/>
  <c r="M2751" i="6"/>
  <c r="L2751" i="6"/>
  <c r="M2750" i="6"/>
  <c r="L2750" i="6"/>
  <c r="M2749" i="6"/>
  <c r="L2749" i="6"/>
  <c r="M2748" i="6"/>
  <c r="L2748" i="6"/>
  <c r="M2747" i="6"/>
  <c r="L2747" i="6"/>
  <c r="M2746" i="6"/>
  <c r="L2746" i="6"/>
  <c r="M2745" i="6"/>
  <c r="L2745" i="6"/>
  <c r="M2744" i="6"/>
  <c r="L2744" i="6"/>
  <c r="M2743" i="6"/>
  <c r="L2743" i="6"/>
  <c r="M2742" i="6"/>
  <c r="L2742" i="6"/>
  <c r="M2741" i="6"/>
  <c r="L2741" i="6"/>
  <c r="M2740" i="6"/>
  <c r="L2740" i="6"/>
  <c r="M2739" i="6"/>
  <c r="L2739" i="6"/>
  <c r="M2738" i="6"/>
  <c r="L2738" i="6"/>
  <c r="M2737" i="6"/>
  <c r="L2737" i="6"/>
  <c r="M2736" i="6"/>
  <c r="L2736" i="6"/>
  <c r="M2735" i="6"/>
  <c r="L2735" i="6"/>
  <c r="M2734" i="6"/>
  <c r="L2734" i="6"/>
  <c r="M2733" i="6"/>
  <c r="L2733" i="6"/>
  <c r="M2732" i="6"/>
  <c r="L2732" i="6"/>
  <c r="M2731" i="6"/>
  <c r="L2731" i="6"/>
  <c r="M2730" i="6"/>
  <c r="L2730" i="6"/>
  <c r="M2729" i="6"/>
  <c r="L2729" i="6"/>
  <c r="M2728" i="6"/>
  <c r="L2728" i="6"/>
  <c r="M2727" i="6"/>
  <c r="L2727" i="6"/>
  <c r="M2726" i="6"/>
  <c r="L2726" i="6"/>
  <c r="M2725" i="6"/>
  <c r="L2725" i="6"/>
  <c r="M2724" i="6"/>
  <c r="L2724" i="6"/>
  <c r="M2723" i="6"/>
  <c r="L2723" i="6"/>
  <c r="M2722" i="6"/>
  <c r="L2722" i="6"/>
  <c r="M2721" i="6"/>
  <c r="L2721" i="6"/>
  <c r="M2720" i="6"/>
  <c r="L2720" i="6"/>
  <c r="M2719" i="6"/>
  <c r="L2719" i="6"/>
  <c r="M2718" i="6"/>
  <c r="L2718" i="6"/>
  <c r="M2717" i="6"/>
  <c r="L2717" i="6"/>
  <c r="M2716" i="6"/>
  <c r="L2716" i="6"/>
  <c r="M2715" i="6"/>
  <c r="L2715" i="6"/>
  <c r="M2714" i="6"/>
  <c r="L2714" i="6"/>
  <c r="M2713" i="6"/>
  <c r="L2713" i="6"/>
  <c r="M2712" i="6"/>
  <c r="L2712" i="6"/>
  <c r="M2711" i="6"/>
  <c r="L2711" i="6"/>
  <c r="M2710" i="6"/>
  <c r="L2710" i="6"/>
  <c r="M2709" i="6"/>
  <c r="L2709" i="6"/>
  <c r="M2708" i="6"/>
  <c r="L2708" i="6"/>
  <c r="M2707" i="6"/>
  <c r="L2707" i="6"/>
  <c r="M2706" i="6"/>
  <c r="L2706" i="6"/>
  <c r="M2705" i="6"/>
  <c r="L2705" i="6"/>
  <c r="M2704" i="6"/>
  <c r="L2704" i="6"/>
  <c r="M2703" i="6"/>
  <c r="L2703" i="6"/>
  <c r="M2702" i="6"/>
  <c r="L2702" i="6"/>
  <c r="M2701" i="6"/>
  <c r="L2701" i="6"/>
  <c r="M2700" i="6"/>
  <c r="L2700" i="6"/>
  <c r="M2699" i="6"/>
  <c r="L2699" i="6"/>
  <c r="M2698" i="6"/>
  <c r="L2698" i="6"/>
  <c r="M2697" i="6"/>
  <c r="L2697" i="6"/>
  <c r="M2696" i="6"/>
  <c r="L2696" i="6"/>
  <c r="M2695" i="6"/>
  <c r="L2695" i="6"/>
  <c r="M2694" i="6"/>
  <c r="L2694" i="6"/>
  <c r="M2693" i="6"/>
  <c r="L2693" i="6"/>
  <c r="M2692" i="6"/>
  <c r="L2692" i="6"/>
  <c r="M2691" i="6"/>
  <c r="L2691" i="6"/>
  <c r="M2690" i="6"/>
  <c r="L2690" i="6"/>
  <c r="M2689" i="6"/>
  <c r="L2689" i="6"/>
  <c r="M2688" i="6"/>
  <c r="L2688" i="6"/>
  <c r="M2687" i="6"/>
  <c r="L2687" i="6"/>
  <c r="M2686" i="6"/>
  <c r="L2686" i="6"/>
  <c r="M2685" i="6"/>
  <c r="L2685" i="6"/>
  <c r="M2684" i="6"/>
  <c r="L2684" i="6"/>
  <c r="M2683" i="6"/>
  <c r="L2683" i="6"/>
  <c r="M2682" i="6"/>
  <c r="L2682" i="6"/>
  <c r="M2681" i="6"/>
  <c r="L2681" i="6"/>
  <c r="M2680" i="6"/>
  <c r="L2680" i="6"/>
  <c r="M2679" i="6"/>
  <c r="L2679" i="6"/>
  <c r="M2678" i="6"/>
  <c r="L2678" i="6"/>
  <c r="M2677" i="6"/>
  <c r="L2677" i="6"/>
  <c r="M2676" i="6"/>
  <c r="L2676" i="6"/>
  <c r="M2675" i="6"/>
  <c r="L2675" i="6"/>
  <c r="M2674" i="6"/>
  <c r="L2674" i="6"/>
  <c r="M2673" i="6"/>
  <c r="L2673" i="6"/>
  <c r="M2672" i="6"/>
  <c r="L2672" i="6"/>
  <c r="M2671" i="6"/>
  <c r="L2671" i="6"/>
  <c r="M2670" i="6"/>
  <c r="L2670" i="6"/>
  <c r="M2669" i="6"/>
  <c r="L2669" i="6"/>
  <c r="M2668" i="6"/>
  <c r="L2668" i="6"/>
  <c r="M2667" i="6"/>
  <c r="L2667" i="6"/>
  <c r="M2666" i="6"/>
  <c r="L2666" i="6"/>
  <c r="M2665" i="6"/>
  <c r="L2665" i="6"/>
  <c r="M2664" i="6"/>
  <c r="L2664" i="6"/>
  <c r="M2663" i="6"/>
  <c r="L2663" i="6"/>
  <c r="M2662" i="6"/>
  <c r="L2662" i="6"/>
  <c r="M2661" i="6"/>
  <c r="L2661" i="6"/>
  <c r="M2660" i="6"/>
  <c r="L2660" i="6"/>
  <c r="M2659" i="6"/>
  <c r="L2659" i="6"/>
  <c r="M2658" i="6"/>
  <c r="L2658" i="6"/>
  <c r="M2657" i="6"/>
  <c r="L2657" i="6"/>
  <c r="M2656" i="6"/>
  <c r="L2656" i="6"/>
  <c r="M2655" i="6"/>
  <c r="L2655" i="6"/>
  <c r="M2654" i="6"/>
  <c r="L2654" i="6"/>
  <c r="M2653" i="6"/>
  <c r="L2653" i="6"/>
  <c r="M2652" i="6"/>
  <c r="L2652" i="6"/>
  <c r="M2651" i="6"/>
  <c r="L2651" i="6"/>
  <c r="M2650" i="6"/>
  <c r="L2650" i="6"/>
  <c r="M2649" i="6"/>
  <c r="L2649" i="6"/>
  <c r="M2648" i="6"/>
  <c r="L2648" i="6"/>
  <c r="M2647" i="6"/>
  <c r="L2647" i="6"/>
  <c r="M2646" i="6"/>
  <c r="L2646" i="6"/>
  <c r="M2645" i="6"/>
  <c r="L2645" i="6"/>
  <c r="M2644" i="6"/>
  <c r="L2644" i="6"/>
  <c r="M2643" i="6"/>
  <c r="L2643" i="6"/>
  <c r="M2642" i="6"/>
  <c r="L2642" i="6"/>
  <c r="M2641" i="6"/>
  <c r="L2641" i="6"/>
  <c r="M2640" i="6"/>
  <c r="L2640" i="6"/>
  <c r="M2639" i="6"/>
  <c r="L2639" i="6"/>
  <c r="M2638" i="6"/>
  <c r="L2638" i="6"/>
  <c r="M2637" i="6"/>
  <c r="L2637" i="6"/>
  <c r="M2636" i="6"/>
  <c r="L2636" i="6"/>
  <c r="M2635" i="6"/>
  <c r="L2635" i="6"/>
  <c r="M2634" i="6"/>
  <c r="L2634" i="6"/>
  <c r="M2633" i="6"/>
  <c r="L2633" i="6"/>
  <c r="M2632" i="6"/>
  <c r="L2632" i="6"/>
  <c r="M2631" i="6"/>
  <c r="L2631" i="6"/>
  <c r="M2630" i="6"/>
  <c r="L2630" i="6"/>
  <c r="M2629" i="6"/>
  <c r="L2629" i="6"/>
  <c r="M2628" i="6"/>
  <c r="L2628" i="6"/>
  <c r="M2627" i="6"/>
  <c r="L2627" i="6"/>
  <c r="M2626" i="6"/>
  <c r="L2626" i="6"/>
  <c r="M2625" i="6"/>
  <c r="L2625" i="6"/>
  <c r="M2624" i="6"/>
  <c r="L2624" i="6"/>
  <c r="M2623" i="6"/>
  <c r="L2623" i="6"/>
  <c r="M2622" i="6"/>
  <c r="L2622" i="6"/>
  <c r="M2621" i="6"/>
  <c r="L2621" i="6"/>
  <c r="M2620" i="6"/>
  <c r="L2620" i="6"/>
  <c r="M2619" i="6"/>
  <c r="L2619" i="6"/>
  <c r="M2618" i="6"/>
  <c r="L2618" i="6"/>
  <c r="M2617" i="6"/>
  <c r="L2617" i="6"/>
  <c r="M2616" i="6"/>
  <c r="L2616" i="6"/>
  <c r="M2615" i="6"/>
  <c r="L2615" i="6"/>
  <c r="M2614" i="6"/>
  <c r="L2614" i="6"/>
  <c r="M2613" i="6"/>
  <c r="L2613" i="6"/>
  <c r="M2612" i="6"/>
  <c r="L2612" i="6"/>
  <c r="M2611" i="6"/>
  <c r="L2611" i="6"/>
  <c r="M2610" i="6"/>
  <c r="L2610" i="6"/>
  <c r="M2609" i="6"/>
  <c r="L2609" i="6"/>
  <c r="M2608" i="6"/>
  <c r="L2608" i="6"/>
  <c r="M2607" i="6"/>
  <c r="L2607" i="6"/>
  <c r="M2606" i="6"/>
  <c r="L2606" i="6"/>
  <c r="M2605" i="6"/>
  <c r="L2605" i="6"/>
  <c r="M2604" i="6"/>
  <c r="L2604" i="6"/>
  <c r="M2603" i="6"/>
  <c r="L2603" i="6"/>
  <c r="M2602" i="6"/>
  <c r="L2602" i="6"/>
  <c r="M2601" i="6"/>
  <c r="L2601" i="6"/>
  <c r="M2600" i="6"/>
  <c r="L2600" i="6"/>
  <c r="M2599" i="6"/>
  <c r="L2599" i="6"/>
  <c r="M2598" i="6"/>
  <c r="L2598" i="6"/>
  <c r="M2597" i="6"/>
  <c r="L2597" i="6"/>
  <c r="M2596" i="6"/>
  <c r="L2596" i="6"/>
  <c r="M2595" i="6"/>
  <c r="L2595" i="6"/>
  <c r="M2594" i="6"/>
  <c r="L2594" i="6"/>
  <c r="M2593" i="6"/>
  <c r="L2593" i="6"/>
  <c r="M2592" i="6"/>
  <c r="L2592" i="6"/>
  <c r="M2591" i="6"/>
  <c r="L2591" i="6"/>
  <c r="M2590" i="6"/>
  <c r="L2590" i="6"/>
  <c r="M2589" i="6"/>
  <c r="L2589" i="6"/>
  <c r="M2588" i="6"/>
  <c r="L2588" i="6"/>
  <c r="M2587" i="6"/>
  <c r="L2587" i="6"/>
  <c r="M2586" i="6"/>
  <c r="L2586" i="6"/>
  <c r="M2585" i="6"/>
  <c r="L2585" i="6"/>
  <c r="M2584" i="6"/>
  <c r="L2584" i="6"/>
  <c r="M2583" i="6"/>
  <c r="L2583" i="6"/>
  <c r="M2582" i="6"/>
  <c r="L2582" i="6"/>
  <c r="M2581" i="6"/>
  <c r="L2581" i="6"/>
  <c r="M2580" i="6"/>
  <c r="L2580" i="6"/>
  <c r="M2579" i="6"/>
  <c r="L2579" i="6"/>
  <c r="M2578" i="6"/>
  <c r="L2578" i="6"/>
  <c r="M2577" i="6"/>
  <c r="L2577" i="6"/>
  <c r="M2576" i="6"/>
  <c r="L2576" i="6"/>
  <c r="M2575" i="6"/>
  <c r="L2575" i="6"/>
  <c r="M2574" i="6"/>
  <c r="L2574" i="6"/>
  <c r="M2573" i="6"/>
  <c r="L2573" i="6"/>
  <c r="M2572" i="6"/>
  <c r="L2572" i="6"/>
  <c r="M2571" i="6"/>
  <c r="L2571" i="6"/>
  <c r="M2570" i="6"/>
  <c r="L2570" i="6"/>
  <c r="M2569" i="6"/>
  <c r="L2569" i="6"/>
  <c r="M2568" i="6"/>
  <c r="L2568" i="6"/>
  <c r="M2567" i="6"/>
  <c r="L2567" i="6"/>
  <c r="M2566" i="6"/>
  <c r="L2566" i="6"/>
  <c r="M2565" i="6"/>
  <c r="L2565" i="6"/>
  <c r="M2564" i="6"/>
  <c r="L2564" i="6"/>
  <c r="M2563" i="6"/>
  <c r="L2563" i="6"/>
  <c r="M2562" i="6"/>
  <c r="L2562" i="6"/>
  <c r="M2561" i="6"/>
  <c r="L2561" i="6"/>
  <c r="M2560" i="6"/>
  <c r="L2560" i="6"/>
  <c r="M2559" i="6"/>
  <c r="L2559" i="6"/>
  <c r="M2558" i="6"/>
  <c r="L2558" i="6"/>
  <c r="M2557" i="6"/>
  <c r="L2557" i="6"/>
  <c r="M2556" i="6"/>
  <c r="L2556" i="6"/>
  <c r="M2555" i="6"/>
  <c r="L2555" i="6"/>
  <c r="M2554" i="6"/>
  <c r="L2554" i="6"/>
  <c r="M2553" i="6"/>
  <c r="L2553" i="6"/>
  <c r="M2552" i="6"/>
  <c r="L2552" i="6"/>
  <c r="M2551" i="6"/>
  <c r="L2551" i="6"/>
  <c r="M2550" i="6"/>
  <c r="L2550" i="6"/>
  <c r="M2549" i="6"/>
  <c r="L2549" i="6"/>
  <c r="M2548" i="6"/>
  <c r="L2548" i="6"/>
  <c r="M2547" i="6"/>
  <c r="L2547" i="6"/>
  <c r="M2546" i="6"/>
  <c r="L2546" i="6"/>
  <c r="M2545" i="6"/>
  <c r="L2545" i="6"/>
  <c r="M2544" i="6"/>
  <c r="L2544" i="6"/>
  <c r="M2543" i="6"/>
  <c r="L2543" i="6"/>
  <c r="M2542" i="6"/>
  <c r="L2542" i="6"/>
  <c r="M2541" i="6"/>
  <c r="L2541" i="6"/>
  <c r="M2540" i="6"/>
  <c r="L2540" i="6"/>
  <c r="M2539" i="6"/>
  <c r="L2539" i="6"/>
  <c r="M2538" i="6"/>
  <c r="L2538" i="6"/>
  <c r="M2537" i="6"/>
  <c r="L2537" i="6"/>
  <c r="M2536" i="6"/>
  <c r="L2536" i="6"/>
  <c r="M2535" i="6"/>
  <c r="L2535" i="6"/>
  <c r="M2534" i="6"/>
  <c r="L2534" i="6"/>
  <c r="M2533" i="6"/>
  <c r="L2533" i="6"/>
  <c r="M2532" i="6"/>
  <c r="L2532" i="6"/>
  <c r="M2531" i="6"/>
  <c r="L2531" i="6"/>
  <c r="M2530" i="6"/>
  <c r="L2530" i="6"/>
  <c r="M2529" i="6"/>
  <c r="L2529" i="6"/>
  <c r="M2528" i="6"/>
  <c r="L2528" i="6"/>
  <c r="M2527" i="6"/>
  <c r="L2527" i="6"/>
  <c r="M2526" i="6"/>
  <c r="L2526" i="6"/>
  <c r="M2525" i="6"/>
  <c r="L2525" i="6"/>
  <c r="M2524" i="6"/>
  <c r="L2524" i="6"/>
  <c r="M2523" i="6"/>
  <c r="L2523" i="6"/>
  <c r="M2522" i="6"/>
  <c r="L2522" i="6"/>
  <c r="M2521" i="6"/>
  <c r="L2521" i="6"/>
  <c r="M2520" i="6"/>
  <c r="L2520" i="6"/>
  <c r="M2519" i="6"/>
  <c r="L2519" i="6"/>
  <c r="M2518" i="6"/>
  <c r="L2518" i="6"/>
  <c r="M2517" i="6"/>
  <c r="L2517" i="6"/>
  <c r="M2516" i="6"/>
  <c r="L2516" i="6"/>
  <c r="M2515" i="6"/>
  <c r="L2515" i="6"/>
  <c r="M2514" i="6"/>
  <c r="L2514" i="6"/>
  <c r="M2513" i="6"/>
  <c r="L2513" i="6"/>
  <c r="M2512" i="6"/>
  <c r="L2512" i="6"/>
  <c r="M2511" i="6"/>
  <c r="L2511" i="6"/>
  <c r="M2510" i="6"/>
  <c r="L2510" i="6"/>
  <c r="M2509" i="6"/>
  <c r="L2509" i="6"/>
  <c r="M2508" i="6"/>
  <c r="L2508" i="6"/>
  <c r="M2507" i="6"/>
  <c r="L2507" i="6"/>
  <c r="M2506" i="6"/>
  <c r="L2506" i="6"/>
  <c r="M2505" i="6"/>
  <c r="L2505" i="6"/>
  <c r="M2504" i="6"/>
  <c r="L2504" i="6"/>
  <c r="M2503" i="6"/>
  <c r="L2503" i="6"/>
  <c r="M2502" i="6"/>
  <c r="L2502" i="6"/>
  <c r="M2501" i="6"/>
  <c r="L2501" i="6"/>
  <c r="M2500" i="6"/>
  <c r="L2500" i="6"/>
  <c r="M2499" i="6"/>
  <c r="L2499" i="6"/>
  <c r="M2498" i="6"/>
  <c r="L2498" i="6"/>
  <c r="M2497" i="6"/>
  <c r="L2497" i="6"/>
  <c r="M2496" i="6"/>
  <c r="L2496" i="6"/>
  <c r="M2495" i="6"/>
  <c r="L2495" i="6"/>
  <c r="M2494" i="6"/>
  <c r="L2494" i="6"/>
  <c r="M2493" i="6"/>
  <c r="L2493" i="6"/>
  <c r="M2492" i="6"/>
  <c r="L2492" i="6"/>
  <c r="M2491" i="6"/>
  <c r="L2491" i="6"/>
  <c r="M2490" i="6"/>
  <c r="L2490" i="6"/>
  <c r="M2489" i="6"/>
  <c r="L2489" i="6"/>
  <c r="M2488" i="6"/>
  <c r="L2488" i="6"/>
  <c r="M2487" i="6"/>
  <c r="L2487" i="6"/>
  <c r="M2486" i="6"/>
  <c r="L2486" i="6"/>
  <c r="M2485" i="6"/>
  <c r="L2485" i="6"/>
  <c r="M2484" i="6"/>
  <c r="L2484" i="6"/>
  <c r="M2483" i="6"/>
  <c r="L2483" i="6"/>
  <c r="M2482" i="6"/>
  <c r="L2482" i="6"/>
  <c r="M2481" i="6"/>
  <c r="L2481" i="6"/>
  <c r="M2480" i="6"/>
  <c r="L2480" i="6"/>
  <c r="M2479" i="6"/>
  <c r="L2479" i="6"/>
  <c r="M2478" i="6"/>
  <c r="L2478" i="6"/>
  <c r="M2477" i="6"/>
  <c r="L2477" i="6"/>
  <c r="M2476" i="6"/>
  <c r="L2476" i="6"/>
  <c r="M2475" i="6"/>
  <c r="L2475" i="6"/>
  <c r="M2474" i="6"/>
  <c r="L2474" i="6"/>
  <c r="M2473" i="6"/>
  <c r="L2473" i="6"/>
  <c r="M2472" i="6"/>
  <c r="L2472" i="6"/>
  <c r="M2471" i="6"/>
  <c r="L2471" i="6"/>
  <c r="M2470" i="6"/>
  <c r="L2470" i="6"/>
  <c r="M2469" i="6"/>
  <c r="L2469" i="6"/>
  <c r="M2468" i="6"/>
  <c r="L2468" i="6"/>
  <c r="M2467" i="6"/>
  <c r="L2467" i="6"/>
  <c r="M2466" i="6"/>
  <c r="L2466" i="6"/>
  <c r="M2465" i="6"/>
  <c r="L2465" i="6"/>
  <c r="M2464" i="6"/>
  <c r="L2464" i="6"/>
  <c r="M2463" i="6"/>
  <c r="L2463" i="6"/>
  <c r="M2462" i="6"/>
  <c r="L2462" i="6"/>
  <c r="M2461" i="6"/>
  <c r="L2461" i="6"/>
  <c r="M2460" i="6"/>
  <c r="L2460" i="6"/>
  <c r="M2459" i="6"/>
  <c r="L2459" i="6"/>
  <c r="M2458" i="6"/>
  <c r="L2458" i="6"/>
  <c r="M2457" i="6"/>
  <c r="L2457" i="6"/>
  <c r="M2456" i="6"/>
  <c r="L2456" i="6"/>
  <c r="M2455" i="6"/>
  <c r="L2455" i="6"/>
  <c r="M2454" i="6"/>
  <c r="L2454" i="6"/>
  <c r="M2453" i="6"/>
  <c r="L2453" i="6"/>
  <c r="M2452" i="6"/>
  <c r="L2452" i="6"/>
  <c r="M2451" i="6"/>
  <c r="L2451" i="6"/>
  <c r="M2450" i="6"/>
  <c r="L2450" i="6"/>
  <c r="M2449" i="6"/>
  <c r="L2449" i="6"/>
  <c r="M2448" i="6"/>
  <c r="L2448" i="6"/>
  <c r="M2447" i="6"/>
  <c r="L2447" i="6"/>
  <c r="M2446" i="6"/>
  <c r="L2446" i="6"/>
  <c r="M2445" i="6"/>
  <c r="L2445" i="6"/>
  <c r="M2444" i="6"/>
  <c r="L2444" i="6"/>
  <c r="M2443" i="6"/>
  <c r="L2443" i="6"/>
  <c r="M2442" i="6"/>
  <c r="L2442" i="6"/>
  <c r="M2441" i="6"/>
  <c r="L2441" i="6"/>
  <c r="M2440" i="6"/>
  <c r="L2440" i="6"/>
  <c r="M2439" i="6"/>
  <c r="L2439" i="6"/>
  <c r="M2438" i="6"/>
  <c r="L2438" i="6"/>
  <c r="M2437" i="6"/>
  <c r="L2437" i="6"/>
  <c r="M2436" i="6"/>
  <c r="L2436" i="6"/>
  <c r="M2435" i="6"/>
  <c r="L2435" i="6"/>
  <c r="M2434" i="6"/>
  <c r="L2434" i="6"/>
  <c r="M2433" i="6"/>
  <c r="L2433" i="6"/>
  <c r="M2432" i="6"/>
  <c r="L2432" i="6"/>
  <c r="M2431" i="6"/>
  <c r="L2431" i="6"/>
  <c r="M2430" i="6"/>
  <c r="L2430" i="6"/>
  <c r="M2429" i="6"/>
  <c r="L2429" i="6"/>
  <c r="M2428" i="6"/>
  <c r="L2428" i="6"/>
  <c r="M2427" i="6"/>
  <c r="L2427" i="6"/>
  <c r="M2426" i="6"/>
  <c r="L2426" i="6"/>
  <c r="M2425" i="6"/>
  <c r="L2425" i="6"/>
  <c r="M2424" i="6"/>
  <c r="L2424" i="6"/>
  <c r="M2423" i="6"/>
  <c r="L2423" i="6"/>
  <c r="M2422" i="6"/>
  <c r="L2422" i="6"/>
  <c r="M2421" i="6"/>
  <c r="L2421" i="6"/>
  <c r="M2420" i="6"/>
  <c r="L2420" i="6"/>
  <c r="M2419" i="6"/>
  <c r="L2419" i="6"/>
  <c r="M2418" i="6"/>
  <c r="L2418" i="6"/>
  <c r="M2417" i="6"/>
  <c r="L2417" i="6"/>
  <c r="M2416" i="6"/>
  <c r="L2416" i="6"/>
  <c r="M2415" i="6"/>
  <c r="L2415" i="6"/>
  <c r="M2414" i="6"/>
  <c r="L2414" i="6"/>
  <c r="M2413" i="6"/>
  <c r="L2413" i="6"/>
  <c r="M2412" i="6"/>
  <c r="L2412" i="6"/>
  <c r="M2411" i="6"/>
  <c r="L2411" i="6"/>
  <c r="M2410" i="6"/>
  <c r="L2410" i="6"/>
  <c r="M2409" i="6"/>
  <c r="L2409" i="6"/>
  <c r="M2408" i="6"/>
  <c r="L2408" i="6"/>
  <c r="M2407" i="6"/>
  <c r="L2407" i="6"/>
  <c r="M2406" i="6"/>
  <c r="L2406" i="6"/>
  <c r="M2405" i="6"/>
  <c r="L2405" i="6"/>
  <c r="M2404" i="6"/>
  <c r="L2404" i="6"/>
  <c r="M2403" i="6"/>
  <c r="L2403" i="6"/>
  <c r="M2402" i="6"/>
  <c r="L2402" i="6"/>
  <c r="M2401" i="6"/>
  <c r="L2401" i="6"/>
  <c r="M2400" i="6"/>
  <c r="L2400" i="6"/>
  <c r="M2399" i="6"/>
  <c r="L2399" i="6"/>
  <c r="M2398" i="6"/>
  <c r="L2398" i="6"/>
  <c r="M2397" i="6"/>
  <c r="L2397" i="6"/>
  <c r="M2396" i="6"/>
  <c r="L2396" i="6"/>
  <c r="M2395" i="6"/>
  <c r="L2395" i="6"/>
  <c r="M2394" i="6"/>
  <c r="L2394" i="6"/>
  <c r="M2393" i="6"/>
  <c r="L2393" i="6"/>
  <c r="M2392" i="6"/>
  <c r="L2392" i="6"/>
  <c r="M2391" i="6"/>
  <c r="L2391" i="6"/>
  <c r="M2390" i="6"/>
  <c r="L2390" i="6"/>
  <c r="M2389" i="6"/>
  <c r="L2389" i="6"/>
  <c r="M2388" i="6"/>
  <c r="L2388" i="6"/>
  <c r="M2387" i="6"/>
  <c r="L2387" i="6"/>
  <c r="M2386" i="6"/>
  <c r="L2386" i="6"/>
  <c r="M2385" i="6"/>
  <c r="L2385" i="6"/>
  <c r="M2384" i="6"/>
  <c r="L2384" i="6"/>
  <c r="M2383" i="6"/>
  <c r="L2383" i="6"/>
  <c r="M2382" i="6"/>
  <c r="L2382" i="6"/>
  <c r="M2381" i="6"/>
  <c r="L2381" i="6"/>
  <c r="M2380" i="6"/>
  <c r="L2380" i="6"/>
  <c r="M2379" i="6"/>
  <c r="L2379" i="6"/>
  <c r="M2378" i="6"/>
  <c r="L2378" i="6"/>
  <c r="M2377" i="6"/>
  <c r="L2377" i="6"/>
  <c r="M2376" i="6"/>
  <c r="L2376" i="6"/>
  <c r="M2375" i="6"/>
  <c r="L2375" i="6"/>
  <c r="M2374" i="6"/>
  <c r="L2374" i="6"/>
  <c r="M2373" i="6"/>
  <c r="L2373" i="6"/>
  <c r="M2372" i="6"/>
  <c r="L2372" i="6"/>
  <c r="M2371" i="6"/>
  <c r="L2371" i="6"/>
  <c r="M2370" i="6"/>
  <c r="L2370" i="6"/>
  <c r="M2369" i="6"/>
  <c r="L2369" i="6"/>
  <c r="M2368" i="6"/>
  <c r="L2368" i="6"/>
  <c r="M2367" i="6"/>
  <c r="L2367" i="6"/>
  <c r="M2366" i="6"/>
  <c r="L2366" i="6"/>
  <c r="M2365" i="6"/>
  <c r="L2365" i="6"/>
  <c r="M2364" i="6"/>
  <c r="L2364" i="6"/>
  <c r="M2363" i="6"/>
  <c r="L2363" i="6"/>
  <c r="M2362" i="6"/>
  <c r="L2362" i="6"/>
  <c r="M2361" i="6"/>
  <c r="L2361" i="6"/>
  <c r="M2360" i="6"/>
  <c r="L2360" i="6"/>
  <c r="M2359" i="6"/>
  <c r="L2359" i="6"/>
  <c r="M2358" i="6"/>
  <c r="L2358" i="6"/>
  <c r="M2357" i="6"/>
  <c r="L2357" i="6"/>
  <c r="M2356" i="6"/>
  <c r="L2356" i="6"/>
  <c r="M2355" i="6"/>
  <c r="L2355" i="6"/>
  <c r="M2354" i="6"/>
  <c r="L2354" i="6"/>
  <c r="M2353" i="6"/>
  <c r="L2353" i="6"/>
  <c r="M2352" i="6"/>
  <c r="L2352" i="6"/>
  <c r="M2351" i="6"/>
  <c r="L2351" i="6"/>
  <c r="M2350" i="6"/>
  <c r="L2350" i="6"/>
  <c r="M2349" i="6"/>
  <c r="L2349" i="6"/>
  <c r="M2348" i="6"/>
  <c r="L2348" i="6"/>
  <c r="M2347" i="6"/>
  <c r="L2347" i="6"/>
  <c r="M2346" i="6"/>
  <c r="L2346" i="6"/>
  <c r="M2345" i="6"/>
  <c r="L2345" i="6"/>
  <c r="M2344" i="6"/>
  <c r="L2344" i="6"/>
  <c r="M2343" i="6"/>
  <c r="L2343" i="6"/>
  <c r="M2342" i="6"/>
  <c r="L2342" i="6"/>
  <c r="M2341" i="6"/>
  <c r="L2341" i="6"/>
  <c r="M2340" i="6"/>
  <c r="L2340" i="6"/>
  <c r="M2339" i="6"/>
  <c r="L2339" i="6"/>
  <c r="M2338" i="6"/>
  <c r="L2338" i="6"/>
  <c r="M2337" i="6"/>
  <c r="L2337" i="6"/>
  <c r="M2336" i="6"/>
  <c r="L2336" i="6"/>
  <c r="M2335" i="6"/>
  <c r="L2335" i="6"/>
  <c r="M2334" i="6"/>
  <c r="L2334" i="6"/>
  <c r="M2333" i="6"/>
  <c r="L2333" i="6"/>
  <c r="M2332" i="6"/>
  <c r="L2332" i="6"/>
  <c r="M2331" i="6"/>
  <c r="L2331" i="6"/>
  <c r="M2330" i="6"/>
  <c r="L2330" i="6"/>
  <c r="M2329" i="6"/>
  <c r="L2329" i="6"/>
  <c r="M2328" i="6"/>
  <c r="L2328" i="6"/>
  <c r="M2327" i="6"/>
  <c r="L2327" i="6"/>
  <c r="M2326" i="6"/>
  <c r="L2326" i="6"/>
  <c r="M2325" i="6"/>
  <c r="L2325" i="6"/>
  <c r="M2324" i="6"/>
  <c r="L2324" i="6"/>
  <c r="M2323" i="6"/>
  <c r="L2323" i="6"/>
  <c r="M2322" i="6"/>
  <c r="L2322" i="6"/>
  <c r="M2321" i="6"/>
  <c r="L2321" i="6"/>
  <c r="M2320" i="6"/>
  <c r="L2320" i="6"/>
  <c r="M2319" i="6"/>
  <c r="L2319" i="6"/>
  <c r="M2318" i="6"/>
  <c r="L2318" i="6"/>
  <c r="M2317" i="6"/>
  <c r="L2317" i="6"/>
  <c r="M2316" i="6"/>
  <c r="L2316" i="6"/>
  <c r="M2315" i="6"/>
  <c r="L2315" i="6"/>
  <c r="M2314" i="6"/>
  <c r="L2314" i="6"/>
  <c r="M2313" i="6"/>
  <c r="L2313" i="6"/>
  <c r="M2312" i="6"/>
  <c r="L2312" i="6"/>
  <c r="M2311" i="6"/>
  <c r="L2311" i="6"/>
  <c r="M2310" i="6"/>
  <c r="L2310" i="6"/>
  <c r="M2309" i="6"/>
  <c r="L2309" i="6"/>
  <c r="M2308" i="6"/>
  <c r="L2308" i="6"/>
  <c r="M2307" i="6"/>
  <c r="L2307" i="6"/>
  <c r="M2306" i="6"/>
  <c r="L2306" i="6"/>
  <c r="M2305" i="6"/>
  <c r="L2305" i="6"/>
  <c r="M2304" i="6"/>
  <c r="L2304" i="6"/>
  <c r="M2303" i="6"/>
  <c r="L2303" i="6"/>
  <c r="M2302" i="6"/>
  <c r="L2302" i="6"/>
  <c r="M2301" i="6"/>
  <c r="L2301" i="6"/>
  <c r="M2300" i="6"/>
  <c r="L2300" i="6"/>
  <c r="M2299" i="6"/>
  <c r="L2299" i="6"/>
  <c r="M2298" i="6"/>
  <c r="L2298" i="6"/>
  <c r="M2297" i="6"/>
  <c r="L2297" i="6"/>
  <c r="M2296" i="6"/>
  <c r="L2296" i="6"/>
  <c r="M2295" i="6"/>
  <c r="L2295" i="6"/>
  <c r="M2294" i="6"/>
  <c r="L2294" i="6"/>
  <c r="M2293" i="6"/>
  <c r="L2293" i="6"/>
  <c r="M2292" i="6"/>
  <c r="L2292" i="6"/>
  <c r="M2291" i="6"/>
  <c r="L2291" i="6"/>
  <c r="M2290" i="6"/>
  <c r="L2290" i="6"/>
  <c r="M2289" i="6"/>
  <c r="L2289" i="6"/>
  <c r="M2288" i="6"/>
  <c r="L2288" i="6"/>
  <c r="M2287" i="6"/>
  <c r="L2287" i="6"/>
  <c r="M2286" i="6"/>
  <c r="L2286" i="6"/>
  <c r="M2285" i="6"/>
  <c r="L2285" i="6"/>
  <c r="M2284" i="6"/>
  <c r="L2284" i="6"/>
  <c r="M2283" i="6"/>
  <c r="L2283" i="6"/>
  <c r="M2282" i="6"/>
  <c r="L2282" i="6"/>
  <c r="M2281" i="6"/>
  <c r="L2281" i="6"/>
  <c r="M2280" i="6"/>
  <c r="L2280" i="6"/>
  <c r="M2279" i="6"/>
  <c r="L2279" i="6"/>
  <c r="M2278" i="6"/>
  <c r="L2278" i="6"/>
  <c r="M2277" i="6"/>
  <c r="L2277" i="6"/>
  <c r="M2276" i="6"/>
  <c r="L2276" i="6"/>
  <c r="M2275" i="6"/>
  <c r="L2275" i="6"/>
  <c r="M2274" i="6"/>
  <c r="L2274" i="6"/>
  <c r="M2273" i="6"/>
  <c r="L2273" i="6"/>
  <c r="M2272" i="6"/>
  <c r="L2272" i="6"/>
  <c r="M2271" i="6"/>
  <c r="L2271" i="6"/>
  <c r="M2270" i="6"/>
  <c r="L2270" i="6"/>
  <c r="M2269" i="6"/>
  <c r="L2269" i="6"/>
  <c r="M2268" i="6"/>
  <c r="L2268" i="6"/>
  <c r="M2267" i="6"/>
  <c r="L2267" i="6"/>
  <c r="M2266" i="6"/>
  <c r="L2266" i="6"/>
  <c r="M2265" i="6"/>
  <c r="L2265" i="6"/>
  <c r="M2264" i="6"/>
  <c r="L2264" i="6"/>
  <c r="M2263" i="6"/>
  <c r="L2263" i="6"/>
  <c r="M2262" i="6"/>
  <c r="L2262" i="6"/>
  <c r="M2261" i="6"/>
  <c r="L2261" i="6"/>
  <c r="M2260" i="6"/>
  <c r="L2260" i="6"/>
  <c r="M2259" i="6"/>
  <c r="L2259" i="6"/>
  <c r="M2258" i="6"/>
  <c r="L2258" i="6"/>
  <c r="M2257" i="6"/>
  <c r="L2257" i="6"/>
  <c r="M2256" i="6"/>
  <c r="L2256" i="6"/>
  <c r="M2255" i="6"/>
  <c r="L2255" i="6"/>
  <c r="M2254" i="6"/>
  <c r="L2254" i="6"/>
  <c r="M2253" i="6"/>
  <c r="L2253" i="6"/>
  <c r="M2252" i="6"/>
  <c r="L2252" i="6"/>
  <c r="M2251" i="6"/>
  <c r="L2251" i="6"/>
  <c r="M2250" i="6"/>
  <c r="L2250" i="6"/>
  <c r="M2249" i="6"/>
  <c r="L2249" i="6"/>
  <c r="M2248" i="6"/>
  <c r="L2248" i="6"/>
  <c r="M2247" i="6"/>
  <c r="L2247" i="6"/>
  <c r="M2246" i="6"/>
  <c r="L2246" i="6"/>
  <c r="M2245" i="6"/>
  <c r="L2245" i="6"/>
  <c r="M2244" i="6"/>
  <c r="L2244" i="6"/>
  <c r="M2243" i="6"/>
  <c r="L2243" i="6"/>
  <c r="M2242" i="6"/>
  <c r="L2242" i="6"/>
  <c r="M2241" i="6"/>
  <c r="L2241" i="6"/>
  <c r="M2240" i="6"/>
  <c r="L2240" i="6"/>
  <c r="M2239" i="6"/>
  <c r="L2239" i="6"/>
  <c r="M2238" i="6"/>
  <c r="L2238" i="6"/>
  <c r="M2237" i="6"/>
  <c r="L2237" i="6"/>
  <c r="M2236" i="6"/>
  <c r="L2236" i="6"/>
  <c r="M2235" i="6"/>
  <c r="L2235" i="6"/>
  <c r="M2234" i="6"/>
  <c r="L2234" i="6"/>
  <c r="M2233" i="6"/>
  <c r="L2233" i="6"/>
  <c r="M2232" i="6"/>
  <c r="L2232" i="6"/>
  <c r="M2231" i="6"/>
  <c r="L2231" i="6"/>
  <c r="M2230" i="6"/>
  <c r="L2230" i="6"/>
  <c r="M2229" i="6"/>
  <c r="L2229" i="6"/>
  <c r="M2228" i="6"/>
  <c r="L2228" i="6"/>
  <c r="M2227" i="6"/>
  <c r="L2227" i="6"/>
  <c r="M2226" i="6"/>
  <c r="L2226" i="6"/>
  <c r="M2225" i="6"/>
  <c r="L2225" i="6"/>
  <c r="M2224" i="6"/>
  <c r="L2224" i="6"/>
  <c r="M2223" i="6"/>
  <c r="L2223" i="6"/>
  <c r="M2222" i="6"/>
  <c r="L2222" i="6"/>
  <c r="M2221" i="6"/>
  <c r="L2221" i="6"/>
  <c r="M2220" i="6"/>
  <c r="L2220" i="6"/>
  <c r="M2219" i="6"/>
  <c r="L2219" i="6"/>
  <c r="M2218" i="6"/>
  <c r="L2218" i="6"/>
  <c r="M2217" i="6"/>
  <c r="L2217" i="6"/>
  <c r="M2216" i="6"/>
  <c r="L2216" i="6"/>
  <c r="M2215" i="6"/>
  <c r="L2215" i="6"/>
  <c r="M2214" i="6"/>
  <c r="L2214" i="6"/>
  <c r="M2213" i="6"/>
  <c r="L2213" i="6"/>
  <c r="M2212" i="6"/>
  <c r="L2212" i="6"/>
  <c r="M2211" i="6"/>
  <c r="L2211" i="6"/>
  <c r="M2210" i="6"/>
  <c r="L2210" i="6"/>
  <c r="M2209" i="6"/>
  <c r="L2209" i="6"/>
  <c r="M2208" i="6"/>
  <c r="L2208" i="6"/>
  <c r="M2207" i="6"/>
  <c r="L2207" i="6"/>
  <c r="M2206" i="6"/>
  <c r="L2206" i="6"/>
  <c r="M2205" i="6"/>
  <c r="L2205" i="6"/>
  <c r="M2204" i="6"/>
  <c r="L2204" i="6"/>
  <c r="M2203" i="6"/>
  <c r="L2203" i="6"/>
  <c r="M2202" i="6"/>
  <c r="L2202" i="6"/>
  <c r="M2201" i="6"/>
  <c r="L2201" i="6"/>
  <c r="M2200" i="6"/>
  <c r="L2200" i="6"/>
  <c r="M2199" i="6"/>
  <c r="L2199" i="6"/>
  <c r="M2198" i="6"/>
  <c r="L2198" i="6"/>
  <c r="M2197" i="6"/>
  <c r="L2197" i="6"/>
  <c r="M2196" i="6"/>
  <c r="L2196" i="6"/>
  <c r="M2195" i="6"/>
  <c r="L2195" i="6"/>
  <c r="M2194" i="6"/>
  <c r="L2194" i="6"/>
  <c r="M2193" i="6"/>
  <c r="L2193" i="6"/>
  <c r="M2192" i="6"/>
  <c r="L2192" i="6"/>
  <c r="M2191" i="6"/>
  <c r="L2191" i="6"/>
  <c r="M2190" i="6"/>
  <c r="L2190" i="6"/>
  <c r="M2189" i="6"/>
  <c r="L2189" i="6"/>
  <c r="M2188" i="6"/>
  <c r="L2188" i="6"/>
  <c r="M2187" i="6"/>
  <c r="L2187" i="6"/>
  <c r="M2186" i="6"/>
  <c r="L2186" i="6"/>
  <c r="M2185" i="6"/>
  <c r="L2185" i="6"/>
  <c r="M2184" i="6"/>
  <c r="L2184" i="6"/>
  <c r="M2183" i="6"/>
  <c r="L2183" i="6"/>
  <c r="M2182" i="6"/>
  <c r="L2182" i="6"/>
  <c r="M2181" i="6"/>
  <c r="L2181" i="6"/>
  <c r="M2180" i="6"/>
  <c r="L2180" i="6"/>
  <c r="M2179" i="6"/>
  <c r="L2179" i="6"/>
  <c r="M2178" i="6"/>
  <c r="L2178" i="6"/>
  <c r="M2177" i="6"/>
  <c r="L2177" i="6"/>
  <c r="M2176" i="6"/>
  <c r="L2176" i="6"/>
  <c r="M2175" i="6"/>
  <c r="L2175" i="6"/>
  <c r="M2174" i="6"/>
  <c r="L2174" i="6"/>
  <c r="M2173" i="6"/>
  <c r="L2173" i="6"/>
  <c r="M2172" i="6"/>
  <c r="L2172" i="6"/>
  <c r="M2171" i="6"/>
  <c r="L2171" i="6"/>
  <c r="M2170" i="6"/>
  <c r="L2170" i="6"/>
  <c r="M2169" i="6"/>
  <c r="L2169" i="6"/>
  <c r="M2168" i="6"/>
  <c r="L2168" i="6"/>
  <c r="M2167" i="6"/>
  <c r="L2167" i="6"/>
  <c r="M2166" i="6"/>
  <c r="L2166" i="6"/>
  <c r="M2165" i="6"/>
  <c r="L2165" i="6"/>
  <c r="M2164" i="6"/>
  <c r="L2164" i="6"/>
  <c r="M2163" i="6"/>
  <c r="L2163" i="6"/>
  <c r="M2162" i="6"/>
  <c r="L2162" i="6"/>
  <c r="M2161" i="6"/>
  <c r="L2161" i="6"/>
  <c r="M2160" i="6"/>
  <c r="L2160" i="6"/>
  <c r="M2159" i="6"/>
  <c r="L2159" i="6"/>
  <c r="M2158" i="6"/>
  <c r="L2158" i="6"/>
  <c r="M2157" i="6"/>
  <c r="L2157" i="6"/>
  <c r="M2156" i="6"/>
  <c r="L2156" i="6"/>
  <c r="M2155" i="6"/>
  <c r="L2155" i="6"/>
  <c r="M2154" i="6"/>
  <c r="L2154" i="6"/>
  <c r="M2153" i="6"/>
  <c r="L2153" i="6"/>
  <c r="M2152" i="6"/>
  <c r="L2152" i="6"/>
  <c r="M2151" i="6"/>
  <c r="L2151" i="6"/>
  <c r="M2150" i="6"/>
  <c r="L2150" i="6"/>
  <c r="M2149" i="6"/>
  <c r="L2149" i="6"/>
  <c r="M2148" i="6"/>
  <c r="L2148" i="6"/>
  <c r="M2147" i="6"/>
  <c r="L2147" i="6"/>
  <c r="M2146" i="6"/>
  <c r="L2146" i="6"/>
  <c r="M2145" i="6"/>
  <c r="L2145" i="6"/>
  <c r="M2144" i="6"/>
  <c r="L2144" i="6"/>
  <c r="M2143" i="6"/>
  <c r="L2143" i="6"/>
  <c r="M2142" i="6"/>
  <c r="L2142" i="6"/>
  <c r="M2141" i="6"/>
  <c r="L2141" i="6"/>
  <c r="M2140" i="6"/>
  <c r="L2140" i="6"/>
  <c r="M2139" i="6"/>
  <c r="L2139" i="6"/>
  <c r="M2138" i="6"/>
  <c r="L2138" i="6"/>
  <c r="M2137" i="6"/>
  <c r="L2137" i="6"/>
  <c r="M2136" i="6"/>
  <c r="L2136" i="6"/>
  <c r="M2135" i="6"/>
  <c r="L2135" i="6"/>
  <c r="M2134" i="6"/>
  <c r="L2134" i="6"/>
  <c r="M2133" i="6"/>
  <c r="L2133" i="6"/>
  <c r="M2132" i="6"/>
  <c r="L2132" i="6"/>
  <c r="M2131" i="6"/>
  <c r="L2131" i="6"/>
  <c r="M2130" i="6"/>
  <c r="L2130" i="6"/>
  <c r="M2129" i="6"/>
  <c r="L2129" i="6"/>
  <c r="M2128" i="6"/>
  <c r="L2128" i="6"/>
  <c r="M2127" i="6"/>
  <c r="L2127" i="6"/>
  <c r="M2126" i="6"/>
  <c r="L2126" i="6"/>
  <c r="M2125" i="6"/>
  <c r="L2125" i="6"/>
  <c r="M2124" i="6"/>
  <c r="L2124" i="6"/>
  <c r="M2123" i="6"/>
  <c r="L2123" i="6"/>
  <c r="M2122" i="6"/>
  <c r="L2122" i="6"/>
  <c r="M2121" i="6"/>
  <c r="L2121" i="6"/>
  <c r="M2120" i="6"/>
  <c r="L2120" i="6"/>
  <c r="M2119" i="6"/>
  <c r="L2119" i="6"/>
  <c r="M2118" i="6"/>
  <c r="L2118" i="6"/>
  <c r="M2117" i="6"/>
  <c r="L2117" i="6"/>
  <c r="M2116" i="6"/>
  <c r="L2116" i="6"/>
  <c r="M2115" i="6"/>
  <c r="L2115" i="6"/>
  <c r="M2114" i="6"/>
  <c r="L2114" i="6"/>
  <c r="M2113" i="6"/>
  <c r="L2113" i="6"/>
  <c r="M2112" i="6"/>
  <c r="L2112" i="6"/>
  <c r="M2111" i="6"/>
  <c r="L2111" i="6"/>
  <c r="M2110" i="6"/>
  <c r="L2110" i="6"/>
  <c r="M2109" i="6"/>
  <c r="L2109" i="6"/>
  <c r="M2108" i="6"/>
  <c r="L2108" i="6"/>
  <c r="M2107" i="6"/>
  <c r="L2107" i="6"/>
  <c r="M2106" i="6"/>
  <c r="L2106" i="6"/>
  <c r="M2105" i="6"/>
  <c r="L2105" i="6"/>
  <c r="M2104" i="6"/>
  <c r="L2104" i="6"/>
  <c r="M2103" i="6"/>
  <c r="L2103" i="6"/>
  <c r="M2102" i="6"/>
  <c r="L2102" i="6"/>
  <c r="M2101" i="6"/>
  <c r="L2101" i="6"/>
  <c r="M2100" i="6"/>
  <c r="L2100" i="6"/>
  <c r="M2099" i="6"/>
  <c r="L2099" i="6"/>
  <c r="M2098" i="6"/>
  <c r="L2098" i="6"/>
  <c r="M2097" i="6"/>
  <c r="L2097" i="6"/>
  <c r="M2096" i="6"/>
  <c r="L2096" i="6"/>
  <c r="M2095" i="6"/>
  <c r="L2095" i="6"/>
  <c r="M2094" i="6"/>
  <c r="L2094" i="6"/>
  <c r="M2093" i="6"/>
  <c r="L2093" i="6"/>
  <c r="M2092" i="6"/>
  <c r="L2092" i="6"/>
  <c r="M2091" i="6"/>
  <c r="L2091" i="6"/>
  <c r="M2090" i="6"/>
  <c r="L2090" i="6"/>
  <c r="M2089" i="6"/>
  <c r="L2089" i="6"/>
  <c r="M2088" i="6"/>
  <c r="L2088" i="6"/>
  <c r="M2087" i="6"/>
  <c r="L2087" i="6"/>
  <c r="M2086" i="6"/>
  <c r="L2086" i="6"/>
  <c r="M2085" i="6"/>
  <c r="L2085" i="6"/>
  <c r="M2084" i="6"/>
  <c r="L2084" i="6"/>
  <c r="M2083" i="6"/>
  <c r="L2083" i="6"/>
  <c r="M2082" i="6"/>
  <c r="L2082" i="6"/>
  <c r="M2081" i="6"/>
  <c r="L2081" i="6"/>
  <c r="M2080" i="6"/>
  <c r="L2080" i="6"/>
  <c r="M2079" i="6"/>
  <c r="L2079" i="6"/>
  <c r="M2078" i="6"/>
  <c r="L2078" i="6"/>
  <c r="M2077" i="6"/>
  <c r="L2077" i="6"/>
  <c r="M2076" i="6"/>
  <c r="L2076" i="6"/>
  <c r="M2075" i="6"/>
  <c r="L2075" i="6"/>
  <c r="M2074" i="6"/>
  <c r="L2074" i="6"/>
  <c r="M2073" i="6"/>
  <c r="L2073" i="6"/>
  <c r="M2072" i="6"/>
  <c r="L2072" i="6"/>
  <c r="M2071" i="6"/>
  <c r="L2071" i="6"/>
  <c r="M2070" i="6"/>
  <c r="L2070" i="6"/>
  <c r="M2069" i="6"/>
  <c r="L2069" i="6"/>
  <c r="M2068" i="6"/>
  <c r="L2068" i="6"/>
  <c r="M2067" i="6"/>
  <c r="L2067" i="6"/>
  <c r="M2066" i="6"/>
  <c r="L2066" i="6"/>
  <c r="M2065" i="6"/>
  <c r="L2065" i="6"/>
  <c r="M2064" i="6"/>
  <c r="L2064" i="6"/>
  <c r="M2063" i="6"/>
  <c r="L2063" i="6"/>
  <c r="M2062" i="6"/>
  <c r="L2062" i="6"/>
  <c r="M2061" i="6"/>
  <c r="L2061" i="6"/>
  <c r="M2060" i="6"/>
  <c r="L2060" i="6"/>
  <c r="M2059" i="6"/>
  <c r="L2059" i="6"/>
  <c r="M2058" i="6"/>
  <c r="L2058" i="6"/>
  <c r="M2057" i="6"/>
  <c r="L2057" i="6"/>
  <c r="M2056" i="6"/>
  <c r="L2056" i="6"/>
  <c r="M2055" i="6"/>
  <c r="L2055" i="6"/>
  <c r="M2054" i="6"/>
  <c r="L2054" i="6"/>
  <c r="M2053" i="6"/>
  <c r="L2053" i="6"/>
  <c r="M2052" i="6"/>
  <c r="L2052" i="6"/>
  <c r="M2051" i="6"/>
  <c r="L2051" i="6"/>
  <c r="M2050" i="6"/>
  <c r="L2050" i="6"/>
  <c r="M2049" i="6"/>
  <c r="L2049" i="6"/>
  <c r="M2048" i="6"/>
  <c r="L2048" i="6"/>
  <c r="M2047" i="6"/>
  <c r="L2047" i="6"/>
  <c r="M2046" i="6"/>
  <c r="L2046" i="6"/>
  <c r="M2045" i="6"/>
  <c r="L2045" i="6"/>
  <c r="M2044" i="6"/>
  <c r="L2044" i="6"/>
  <c r="M2043" i="6"/>
  <c r="L2043" i="6"/>
  <c r="M2042" i="6"/>
  <c r="L2042" i="6"/>
  <c r="M2041" i="6"/>
  <c r="L2041" i="6"/>
  <c r="M2040" i="6"/>
  <c r="L2040" i="6"/>
  <c r="M2039" i="6"/>
  <c r="L2039" i="6"/>
  <c r="M2038" i="6"/>
  <c r="L2038" i="6"/>
  <c r="M2037" i="6"/>
  <c r="L2037" i="6"/>
  <c r="M2036" i="6"/>
  <c r="L2036" i="6"/>
  <c r="M2035" i="6"/>
  <c r="L2035" i="6"/>
  <c r="M2034" i="6"/>
  <c r="L2034" i="6"/>
  <c r="M2033" i="6"/>
  <c r="L2033" i="6"/>
  <c r="M2032" i="6"/>
  <c r="L2032" i="6"/>
  <c r="M2031" i="6"/>
  <c r="L2031" i="6"/>
  <c r="M2030" i="6"/>
  <c r="L2030" i="6"/>
  <c r="M2029" i="6"/>
  <c r="L2029" i="6"/>
  <c r="M2028" i="6"/>
  <c r="L2028" i="6"/>
  <c r="M2027" i="6"/>
  <c r="L2027" i="6"/>
  <c r="M2026" i="6"/>
  <c r="L2026" i="6"/>
  <c r="M2025" i="6"/>
  <c r="L2025" i="6"/>
  <c r="M2024" i="6"/>
  <c r="L2024" i="6"/>
  <c r="M2023" i="6"/>
  <c r="L2023" i="6"/>
  <c r="M2022" i="6"/>
  <c r="L2022" i="6"/>
  <c r="M2021" i="6"/>
  <c r="L2021" i="6"/>
  <c r="M2020" i="6"/>
  <c r="L2020" i="6"/>
  <c r="M2019" i="6"/>
  <c r="L2019" i="6"/>
  <c r="M2018" i="6"/>
  <c r="L2018" i="6"/>
  <c r="M2017" i="6"/>
  <c r="L2017" i="6"/>
  <c r="M2016" i="6"/>
  <c r="L2016" i="6"/>
  <c r="M2015" i="6"/>
  <c r="L2015" i="6"/>
  <c r="M2014" i="6"/>
  <c r="L2014" i="6"/>
  <c r="M2013" i="6"/>
  <c r="L2013" i="6"/>
  <c r="M2012" i="6"/>
  <c r="L2012" i="6"/>
  <c r="M2011" i="6"/>
  <c r="L2011" i="6"/>
  <c r="M2010" i="6"/>
  <c r="L2010" i="6"/>
  <c r="M2009" i="6"/>
  <c r="L2009" i="6"/>
  <c r="M2008" i="6"/>
  <c r="L2008" i="6"/>
  <c r="M2007" i="6"/>
  <c r="L2007" i="6"/>
  <c r="M2006" i="6"/>
  <c r="L2006" i="6"/>
  <c r="M2005" i="6"/>
  <c r="L2005" i="6"/>
  <c r="M2004" i="6"/>
  <c r="L2004" i="6"/>
  <c r="M2003" i="6"/>
  <c r="L2003" i="6"/>
  <c r="M2002" i="6"/>
  <c r="L2002" i="6"/>
  <c r="M2001" i="6"/>
  <c r="L2001" i="6"/>
  <c r="M2000" i="6"/>
  <c r="L2000" i="6"/>
  <c r="M1999" i="6"/>
  <c r="L1999" i="6"/>
  <c r="M1998" i="6"/>
  <c r="L1998" i="6"/>
  <c r="M1997" i="6"/>
  <c r="L1997" i="6"/>
  <c r="M1996" i="6"/>
  <c r="L1996" i="6"/>
  <c r="M1995" i="6"/>
  <c r="L1995" i="6"/>
  <c r="M1994" i="6"/>
  <c r="L1994" i="6"/>
  <c r="M1993" i="6"/>
  <c r="L1993" i="6"/>
  <c r="M1992" i="6"/>
  <c r="L1992" i="6"/>
  <c r="M1991" i="6"/>
  <c r="L1991" i="6"/>
  <c r="M1990" i="6"/>
  <c r="L1990" i="6"/>
  <c r="M1989" i="6"/>
  <c r="L1989" i="6"/>
  <c r="M1988" i="6"/>
  <c r="L1988" i="6"/>
  <c r="M1987" i="6"/>
  <c r="L1987" i="6"/>
  <c r="M1986" i="6"/>
  <c r="L1986" i="6"/>
  <c r="M1985" i="6"/>
  <c r="L1985" i="6"/>
  <c r="M1984" i="6"/>
  <c r="L1984" i="6"/>
  <c r="M1983" i="6"/>
  <c r="L1983" i="6"/>
  <c r="M1982" i="6"/>
  <c r="L1982" i="6"/>
  <c r="M1981" i="6"/>
  <c r="L1981" i="6"/>
  <c r="M1980" i="6"/>
  <c r="L1980" i="6"/>
  <c r="M1979" i="6"/>
  <c r="L1979" i="6"/>
  <c r="M1978" i="6"/>
  <c r="L1978" i="6"/>
  <c r="M1977" i="6"/>
  <c r="L1977" i="6"/>
  <c r="M1976" i="6"/>
  <c r="L1976" i="6"/>
  <c r="M1975" i="6"/>
  <c r="L1975" i="6"/>
  <c r="M1974" i="6"/>
  <c r="L1974" i="6"/>
  <c r="M1973" i="6"/>
  <c r="L1973" i="6"/>
  <c r="M1972" i="6"/>
  <c r="L1972" i="6"/>
  <c r="M1971" i="6"/>
  <c r="L1971" i="6"/>
  <c r="M1970" i="6"/>
  <c r="L1970" i="6"/>
  <c r="M1969" i="6"/>
  <c r="L1969" i="6"/>
  <c r="M1968" i="6"/>
  <c r="L1968" i="6"/>
  <c r="M1967" i="6"/>
  <c r="L1967" i="6"/>
  <c r="M1966" i="6"/>
  <c r="L1966" i="6"/>
  <c r="M1965" i="6"/>
  <c r="L1965" i="6"/>
  <c r="M1964" i="6"/>
  <c r="L1964" i="6"/>
  <c r="M1963" i="6"/>
  <c r="L1963" i="6"/>
  <c r="M1962" i="6"/>
  <c r="L1962" i="6"/>
  <c r="M1961" i="6"/>
  <c r="L1961" i="6"/>
  <c r="M1960" i="6"/>
  <c r="L1960" i="6"/>
  <c r="M1959" i="6"/>
  <c r="L1959" i="6"/>
  <c r="M1958" i="6"/>
  <c r="L1958" i="6"/>
  <c r="M1957" i="6"/>
  <c r="L1957" i="6"/>
  <c r="M1956" i="6"/>
  <c r="L1956" i="6"/>
  <c r="M1955" i="6"/>
  <c r="L1955" i="6"/>
  <c r="M1954" i="6"/>
  <c r="L1954" i="6"/>
  <c r="M1953" i="6"/>
  <c r="L1953" i="6"/>
  <c r="M1952" i="6"/>
  <c r="L1952" i="6"/>
  <c r="M1951" i="6"/>
  <c r="L1951" i="6"/>
  <c r="M1950" i="6"/>
  <c r="L1950" i="6"/>
  <c r="M1949" i="6"/>
  <c r="L1949" i="6"/>
  <c r="M1948" i="6"/>
  <c r="L1948" i="6"/>
  <c r="M1947" i="6"/>
  <c r="L1947" i="6"/>
  <c r="M1946" i="6"/>
  <c r="L1946" i="6"/>
  <c r="M1945" i="6"/>
  <c r="L1945" i="6"/>
  <c r="M1944" i="6"/>
  <c r="L1944" i="6"/>
  <c r="M1943" i="6"/>
  <c r="L1943" i="6"/>
  <c r="M1942" i="6"/>
  <c r="L1942" i="6"/>
  <c r="M1941" i="6"/>
  <c r="L1941" i="6"/>
  <c r="M1940" i="6"/>
  <c r="L1940" i="6"/>
  <c r="M1939" i="6"/>
  <c r="L1939" i="6"/>
  <c r="M1938" i="6"/>
  <c r="L1938" i="6"/>
  <c r="M1937" i="6"/>
  <c r="L1937" i="6"/>
  <c r="M1936" i="6"/>
  <c r="L1936" i="6"/>
  <c r="M1935" i="6"/>
  <c r="L1935" i="6"/>
  <c r="M1934" i="6"/>
  <c r="L1934" i="6"/>
  <c r="M1933" i="6"/>
  <c r="L1933" i="6"/>
  <c r="M1932" i="6"/>
  <c r="L1932" i="6"/>
  <c r="M1931" i="6"/>
  <c r="L1931" i="6"/>
  <c r="M1930" i="6"/>
  <c r="L1930" i="6"/>
  <c r="M1929" i="6"/>
  <c r="L1929" i="6"/>
  <c r="M1928" i="6"/>
  <c r="L1928" i="6"/>
  <c r="M1927" i="6"/>
  <c r="L1927" i="6"/>
  <c r="M1926" i="6"/>
  <c r="L1926" i="6"/>
  <c r="M1925" i="6"/>
  <c r="L1925" i="6"/>
  <c r="M1924" i="6"/>
  <c r="L1924" i="6"/>
  <c r="M1923" i="6"/>
  <c r="L1923" i="6"/>
  <c r="M1922" i="6"/>
  <c r="L1922" i="6"/>
  <c r="M1921" i="6"/>
  <c r="L1921" i="6"/>
  <c r="M1920" i="6"/>
  <c r="L1920" i="6"/>
  <c r="M1919" i="6"/>
  <c r="L1919" i="6"/>
  <c r="M1918" i="6"/>
  <c r="L1918" i="6"/>
  <c r="M1917" i="6"/>
  <c r="L1917" i="6"/>
  <c r="M1916" i="6"/>
  <c r="L1916" i="6"/>
  <c r="M1915" i="6"/>
  <c r="L1915" i="6"/>
  <c r="M1914" i="6"/>
  <c r="L1914" i="6"/>
  <c r="M1913" i="6"/>
  <c r="L1913" i="6"/>
  <c r="M1912" i="6"/>
  <c r="L1912" i="6"/>
  <c r="M1911" i="6"/>
  <c r="L1911" i="6"/>
  <c r="M1910" i="6"/>
  <c r="L1910" i="6"/>
  <c r="M1909" i="6"/>
  <c r="L1909" i="6"/>
  <c r="M1908" i="6"/>
  <c r="L1908" i="6"/>
  <c r="M1907" i="6"/>
  <c r="L1907" i="6"/>
  <c r="M1906" i="6"/>
  <c r="L1906" i="6"/>
  <c r="M1905" i="6"/>
  <c r="L1905" i="6"/>
  <c r="M1904" i="6"/>
  <c r="L1904" i="6"/>
  <c r="M1903" i="6"/>
  <c r="L1903" i="6"/>
  <c r="M1902" i="6"/>
  <c r="L1902" i="6"/>
  <c r="M1901" i="6"/>
  <c r="L1901" i="6"/>
  <c r="M1900" i="6"/>
  <c r="L1900" i="6"/>
  <c r="M1899" i="6"/>
  <c r="L1899" i="6"/>
  <c r="M1898" i="6"/>
  <c r="L1898" i="6"/>
  <c r="M1897" i="6"/>
  <c r="L1897" i="6"/>
  <c r="M1896" i="6"/>
  <c r="L1896" i="6"/>
  <c r="M1895" i="6"/>
  <c r="L1895" i="6"/>
  <c r="M1894" i="6"/>
  <c r="L1894" i="6"/>
  <c r="M1893" i="6"/>
  <c r="L1893" i="6"/>
  <c r="M1892" i="6"/>
  <c r="L1892" i="6"/>
  <c r="M1891" i="6"/>
  <c r="L1891" i="6"/>
  <c r="M1890" i="6"/>
  <c r="L1890" i="6"/>
  <c r="M1889" i="6"/>
  <c r="L1889" i="6"/>
  <c r="M1888" i="6"/>
  <c r="L1888" i="6"/>
  <c r="M1887" i="6"/>
  <c r="L1887" i="6"/>
  <c r="M1886" i="6"/>
  <c r="L1886" i="6"/>
  <c r="M1885" i="6"/>
  <c r="L1885" i="6"/>
  <c r="M1884" i="6"/>
  <c r="L1884" i="6"/>
  <c r="M1883" i="6"/>
  <c r="L1883" i="6"/>
  <c r="M1882" i="6"/>
  <c r="L1882" i="6"/>
  <c r="M1881" i="6"/>
  <c r="L1881" i="6"/>
  <c r="M1880" i="6"/>
  <c r="L1880" i="6"/>
  <c r="M1879" i="6"/>
  <c r="L1879" i="6"/>
  <c r="M1878" i="6"/>
  <c r="L1878" i="6"/>
  <c r="M1877" i="6"/>
  <c r="L1877" i="6"/>
  <c r="M1876" i="6"/>
  <c r="L1876" i="6"/>
  <c r="M1875" i="6"/>
  <c r="L1875" i="6"/>
  <c r="M1874" i="6"/>
  <c r="L1874" i="6"/>
  <c r="M1873" i="6"/>
  <c r="L1873" i="6"/>
  <c r="M1872" i="6"/>
  <c r="L1872" i="6"/>
  <c r="M1871" i="6"/>
  <c r="L1871" i="6"/>
  <c r="M1870" i="6"/>
  <c r="L1870" i="6"/>
  <c r="M1869" i="6"/>
  <c r="L1869" i="6"/>
  <c r="M1868" i="6"/>
  <c r="L1868" i="6"/>
  <c r="M1867" i="6"/>
  <c r="L1867" i="6"/>
  <c r="M1866" i="6"/>
  <c r="L1866" i="6"/>
  <c r="M1865" i="6"/>
  <c r="L1865" i="6"/>
  <c r="M1864" i="6"/>
  <c r="L1864" i="6"/>
  <c r="M1863" i="6"/>
  <c r="L1863" i="6"/>
  <c r="M1862" i="6"/>
  <c r="L1862" i="6"/>
  <c r="M1861" i="6"/>
  <c r="L1861" i="6"/>
  <c r="M1860" i="6"/>
  <c r="L1860" i="6"/>
  <c r="M1859" i="6"/>
  <c r="L1859" i="6"/>
  <c r="M1858" i="6"/>
  <c r="L1858" i="6"/>
  <c r="M1857" i="6"/>
  <c r="L1857" i="6"/>
  <c r="M1856" i="6"/>
  <c r="L1856" i="6"/>
  <c r="M1855" i="6"/>
  <c r="L1855" i="6"/>
  <c r="M1854" i="6"/>
  <c r="L1854" i="6"/>
  <c r="M1853" i="6"/>
  <c r="L1853" i="6"/>
  <c r="M1852" i="6"/>
  <c r="L1852" i="6"/>
  <c r="M1851" i="6"/>
  <c r="L1851" i="6"/>
  <c r="M1850" i="6"/>
  <c r="L1850" i="6"/>
  <c r="M1849" i="6"/>
  <c r="L1849" i="6"/>
  <c r="M1848" i="6"/>
  <c r="L1848" i="6"/>
  <c r="M1847" i="6"/>
  <c r="L1847" i="6"/>
  <c r="M1846" i="6"/>
  <c r="L1846" i="6"/>
  <c r="M1845" i="6"/>
  <c r="L1845" i="6"/>
  <c r="M1844" i="6"/>
  <c r="L1844" i="6"/>
  <c r="M1843" i="6"/>
  <c r="L1843" i="6"/>
  <c r="M1842" i="6"/>
  <c r="L1842" i="6"/>
  <c r="M1841" i="6"/>
  <c r="L1841" i="6"/>
  <c r="M1840" i="6"/>
  <c r="L1840" i="6"/>
  <c r="M1839" i="6"/>
  <c r="L1839" i="6"/>
  <c r="M1838" i="6"/>
  <c r="L1838" i="6"/>
  <c r="M1837" i="6"/>
  <c r="L1837" i="6"/>
  <c r="M1836" i="6"/>
  <c r="L1836" i="6"/>
  <c r="M1835" i="6"/>
  <c r="L1835" i="6"/>
  <c r="M1834" i="6"/>
  <c r="L1834" i="6"/>
  <c r="M1833" i="6"/>
  <c r="L1833" i="6"/>
  <c r="M1832" i="6"/>
  <c r="L1832" i="6"/>
  <c r="M1831" i="6"/>
  <c r="L1831" i="6"/>
  <c r="M1830" i="6"/>
  <c r="L1830" i="6"/>
  <c r="M1829" i="6"/>
  <c r="L1829" i="6"/>
  <c r="M1828" i="6"/>
  <c r="L1828" i="6"/>
  <c r="M1827" i="6"/>
  <c r="L1827" i="6"/>
  <c r="M1826" i="6"/>
  <c r="L1826" i="6"/>
  <c r="M1825" i="6"/>
  <c r="L1825" i="6"/>
  <c r="M1824" i="6"/>
  <c r="L1824" i="6"/>
  <c r="M1823" i="6"/>
  <c r="L1823" i="6"/>
  <c r="M1822" i="6"/>
  <c r="L1822" i="6"/>
  <c r="M1821" i="6"/>
  <c r="L1821" i="6"/>
  <c r="M1820" i="6"/>
  <c r="L1820" i="6"/>
  <c r="M1819" i="6"/>
  <c r="L1819" i="6"/>
  <c r="M1818" i="6"/>
  <c r="L1818" i="6"/>
  <c r="M1817" i="6"/>
  <c r="L1817" i="6"/>
  <c r="M1816" i="6"/>
  <c r="L1816" i="6"/>
  <c r="M1815" i="6"/>
  <c r="L1815" i="6"/>
  <c r="M1814" i="6"/>
  <c r="L1814" i="6"/>
  <c r="M1813" i="6"/>
  <c r="L1813" i="6"/>
  <c r="M1812" i="6"/>
  <c r="L1812" i="6"/>
  <c r="M1811" i="6"/>
  <c r="L1811" i="6"/>
  <c r="M1810" i="6"/>
  <c r="L1810" i="6"/>
  <c r="M1809" i="6"/>
  <c r="L1809" i="6"/>
  <c r="M1808" i="6"/>
  <c r="L1808" i="6"/>
  <c r="M1807" i="6"/>
  <c r="L1807" i="6"/>
  <c r="M1806" i="6"/>
  <c r="L1806" i="6"/>
  <c r="M1805" i="6"/>
  <c r="L1805" i="6"/>
  <c r="M1804" i="6"/>
  <c r="L1804" i="6"/>
  <c r="M1803" i="6"/>
  <c r="L1803" i="6"/>
  <c r="M1802" i="6"/>
  <c r="L1802" i="6"/>
  <c r="M1801" i="6"/>
  <c r="L1801" i="6"/>
  <c r="M1800" i="6"/>
  <c r="L1800" i="6"/>
  <c r="M1799" i="6"/>
  <c r="L1799" i="6"/>
  <c r="M1798" i="6"/>
  <c r="L1798" i="6"/>
  <c r="M1797" i="6"/>
  <c r="L1797" i="6"/>
  <c r="M1796" i="6"/>
  <c r="L1796" i="6"/>
  <c r="M1795" i="6"/>
  <c r="L1795" i="6"/>
  <c r="M1794" i="6"/>
  <c r="L1794" i="6"/>
  <c r="M1793" i="6"/>
  <c r="L1793" i="6"/>
  <c r="M1792" i="6"/>
  <c r="L1792" i="6"/>
  <c r="M1791" i="6"/>
  <c r="L1791" i="6"/>
  <c r="M1790" i="6"/>
  <c r="L1790" i="6"/>
  <c r="M1789" i="6"/>
  <c r="L1789" i="6"/>
  <c r="M1788" i="6"/>
  <c r="L1788" i="6"/>
  <c r="M1787" i="6"/>
  <c r="L1787" i="6"/>
  <c r="M1786" i="6"/>
  <c r="L1786" i="6"/>
  <c r="M1785" i="6"/>
  <c r="L1785" i="6"/>
  <c r="M1784" i="6"/>
  <c r="L1784" i="6"/>
  <c r="M1783" i="6"/>
  <c r="L1783" i="6"/>
  <c r="M1782" i="6"/>
  <c r="L1782" i="6"/>
  <c r="M1781" i="6"/>
  <c r="L1781" i="6"/>
  <c r="M1780" i="6"/>
  <c r="L1780" i="6"/>
  <c r="M1779" i="6"/>
  <c r="L1779" i="6"/>
  <c r="M1778" i="6"/>
  <c r="L1778" i="6"/>
  <c r="M1777" i="6"/>
  <c r="L1777" i="6"/>
  <c r="M1776" i="6"/>
  <c r="L1776" i="6"/>
  <c r="M1775" i="6"/>
  <c r="L1775" i="6"/>
  <c r="M1774" i="6"/>
  <c r="L1774" i="6"/>
  <c r="M1773" i="6"/>
  <c r="L1773" i="6"/>
  <c r="M1772" i="6"/>
  <c r="L1772" i="6"/>
  <c r="M1771" i="6"/>
  <c r="L1771" i="6"/>
  <c r="M1770" i="6"/>
  <c r="L1770" i="6"/>
  <c r="M1769" i="6"/>
  <c r="L1769" i="6"/>
  <c r="M1768" i="6"/>
  <c r="L1768" i="6"/>
  <c r="M1767" i="6"/>
  <c r="L1767" i="6"/>
  <c r="M1766" i="6"/>
  <c r="L1766" i="6"/>
  <c r="M1765" i="6"/>
  <c r="L1765" i="6"/>
  <c r="M1764" i="6"/>
  <c r="L1764" i="6"/>
  <c r="M1763" i="6"/>
  <c r="L1763" i="6"/>
  <c r="M1762" i="6"/>
  <c r="L1762" i="6"/>
  <c r="M1761" i="6"/>
  <c r="L1761" i="6"/>
  <c r="M1760" i="6"/>
  <c r="L1760" i="6"/>
  <c r="M1759" i="6"/>
  <c r="L1759" i="6"/>
  <c r="M1758" i="6"/>
  <c r="L1758" i="6"/>
  <c r="M1757" i="6"/>
  <c r="L1757" i="6"/>
  <c r="M1756" i="6"/>
  <c r="L1756" i="6"/>
  <c r="M1755" i="6"/>
  <c r="L1755" i="6"/>
  <c r="M1754" i="6"/>
  <c r="L1754" i="6"/>
  <c r="M1753" i="6"/>
  <c r="L1753" i="6"/>
  <c r="M1752" i="6"/>
  <c r="L1752" i="6"/>
  <c r="M1751" i="6"/>
  <c r="L1751" i="6"/>
  <c r="M1750" i="6"/>
  <c r="L1750" i="6"/>
  <c r="M1749" i="6"/>
  <c r="L1749" i="6"/>
  <c r="M1748" i="6"/>
  <c r="L1748" i="6"/>
  <c r="M1747" i="6"/>
  <c r="L1747" i="6"/>
  <c r="M1746" i="6"/>
  <c r="L1746" i="6"/>
  <c r="M1745" i="6"/>
  <c r="L1745" i="6"/>
  <c r="M1744" i="6"/>
  <c r="L1744" i="6"/>
  <c r="M1743" i="6"/>
  <c r="L1743" i="6"/>
  <c r="M1742" i="6"/>
  <c r="L1742" i="6"/>
  <c r="M1741" i="6"/>
  <c r="L1741" i="6"/>
  <c r="M1740" i="6"/>
  <c r="L1740" i="6"/>
  <c r="M1739" i="6"/>
  <c r="L1739" i="6"/>
  <c r="M1738" i="6"/>
  <c r="L1738" i="6"/>
  <c r="M1737" i="6"/>
  <c r="L1737" i="6"/>
  <c r="M1736" i="6"/>
  <c r="L1736" i="6"/>
  <c r="M1735" i="6"/>
  <c r="L1735" i="6"/>
  <c r="M1734" i="6"/>
  <c r="L1734" i="6"/>
  <c r="M1733" i="6"/>
  <c r="L1733" i="6"/>
  <c r="M1732" i="6"/>
  <c r="L1732" i="6"/>
  <c r="M1731" i="6"/>
  <c r="L1731" i="6"/>
  <c r="M1730" i="6"/>
  <c r="L1730" i="6"/>
  <c r="M1729" i="6"/>
  <c r="L1729" i="6"/>
  <c r="M1728" i="6"/>
  <c r="L1728" i="6"/>
  <c r="M1727" i="6"/>
  <c r="L1727" i="6"/>
  <c r="M1726" i="6"/>
  <c r="L1726" i="6"/>
  <c r="M1725" i="6"/>
  <c r="L1725" i="6"/>
  <c r="M1724" i="6"/>
  <c r="L1724" i="6"/>
  <c r="M1723" i="6"/>
  <c r="L1723" i="6"/>
  <c r="M1722" i="6"/>
  <c r="L1722" i="6"/>
  <c r="M1721" i="6"/>
  <c r="L1721" i="6"/>
  <c r="M1720" i="6"/>
  <c r="L1720" i="6"/>
  <c r="M1719" i="6"/>
  <c r="L1719" i="6"/>
  <c r="M1718" i="6"/>
  <c r="L1718" i="6"/>
  <c r="M1717" i="6"/>
  <c r="L1717" i="6"/>
  <c r="M1716" i="6"/>
  <c r="L1716" i="6"/>
  <c r="M1715" i="6"/>
  <c r="L1715" i="6"/>
  <c r="M1714" i="6"/>
  <c r="L1714" i="6"/>
  <c r="M1713" i="6"/>
  <c r="L1713" i="6"/>
  <c r="M1712" i="6"/>
  <c r="L1712" i="6"/>
  <c r="M1711" i="6"/>
  <c r="L1711" i="6"/>
  <c r="M1710" i="6"/>
  <c r="L1710" i="6"/>
  <c r="M1709" i="6"/>
  <c r="L1709" i="6"/>
  <c r="M1708" i="6"/>
  <c r="L1708" i="6"/>
  <c r="M1707" i="6"/>
  <c r="L1707" i="6"/>
  <c r="M1706" i="6"/>
  <c r="L1706" i="6"/>
  <c r="M1705" i="6"/>
  <c r="L1705" i="6"/>
  <c r="M1704" i="6"/>
  <c r="L1704" i="6"/>
  <c r="M1703" i="6"/>
  <c r="L1703" i="6"/>
  <c r="M1702" i="6"/>
  <c r="L1702" i="6"/>
  <c r="M1701" i="6"/>
  <c r="L1701" i="6"/>
  <c r="M1700" i="6"/>
  <c r="L1700" i="6"/>
  <c r="M1699" i="6"/>
  <c r="L1699" i="6"/>
  <c r="M1698" i="6"/>
  <c r="L1698" i="6"/>
  <c r="M1697" i="6"/>
  <c r="L1697" i="6"/>
  <c r="M1696" i="6"/>
  <c r="L1696" i="6"/>
  <c r="M1695" i="6"/>
  <c r="L1695" i="6"/>
  <c r="M1694" i="6"/>
  <c r="L1694" i="6"/>
  <c r="M1693" i="6"/>
  <c r="L1693" i="6"/>
  <c r="M1692" i="6"/>
  <c r="L1692" i="6"/>
  <c r="M1691" i="6"/>
  <c r="L1691" i="6"/>
  <c r="M1690" i="6"/>
  <c r="L1690" i="6"/>
  <c r="M1689" i="6"/>
  <c r="L1689" i="6"/>
  <c r="M1688" i="6"/>
  <c r="L1688" i="6"/>
  <c r="M1687" i="6"/>
  <c r="L1687" i="6"/>
  <c r="M1686" i="6"/>
  <c r="L1686" i="6"/>
  <c r="M1685" i="6"/>
  <c r="L1685" i="6"/>
  <c r="M1684" i="6"/>
  <c r="L1684" i="6"/>
  <c r="M1683" i="6"/>
  <c r="L1683" i="6"/>
  <c r="M1682" i="6"/>
  <c r="L1682" i="6"/>
  <c r="M1681" i="6"/>
  <c r="L1681" i="6"/>
  <c r="M1680" i="6"/>
  <c r="L1680" i="6"/>
  <c r="M1679" i="6"/>
  <c r="L1679" i="6"/>
  <c r="M1678" i="6"/>
  <c r="L1678" i="6"/>
  <c r="M1677" i="6"/>
  <c r="L1677" i="6"/>
  <c r="M1676" i="6"/>
  <c r="L1676" i="6"/>
  <c r="M1675" i="6"/>
  <c r="L1675" i="6"/>
  <c r="M1674" i="6"/>
  <c r="L1674" i="6"/>
  <c r="M1673" i="6"/>
  <c r="L1673" i="6"/>
  <c r="M1672" i="6"/>
  <c r="L1672" i="6"/>
  <c r="M1671" i="6"/>
  <c r="L1671" i="6"/>
  <c r="M1670" i="6"/>
  <c r="L1670" i="6"/>
  <c r="M1669" i="6"/>
  <c r="L1669" i="6"/>
  <c r="M1668" i="6"/>
  <c r="L1668" i="6"/>
  <c r="M1667" i="6"/>
  <c r="L1667" i="6"/>
  <c r="M1666" i="6"/>
  <c r="L1666" i="6"/>
  <c r="M1665" i="6"/>
  <c r="L1665" i="6"/>
  <c r="M1664" i="6"/>
  <c r="L1664" i="6"/>
  <c r="M1663" i="6"/>
  <c r="L1663" i="6"/>
  <c r="M1662" i="6"/>
  <c r="L1662" i="6"/>
  <c r="M1661" i="6"/>
  <c r="L1661" i="6"/>
  <c r="M1660" i="6"/>
  <c r="L1660" i="6"/>
  <c r="M1659" i="6"/>
  <c r="L1659" i="6"/>
  <c r="M1658" i="6"/>
  <c r="L1658" i="6"/>
  <c r="M1657" i="6"/>
  <c r="L1657" i="6"/>
  <c r="M1656" i="6"/>
  <c r="L1656" i="6"/>
  <c r="M1655" i="6"/>
  <c r="L1655" i="6"/>
  <c r="M1654" i="6"/>
  <c r="L1654" i="6"/>
  <c r="M1653" i="6"/>
  <c r="L1653" i="6"/>
  <c r="M1652" i="6"/>
  <c r="L1652" i="6"/>
  <c r="M1651" i="6"/>
  <c r="L1651" i="6"/>
  <c r="M1650" i="6"/>
  <c r="L1650" i="6"/>
  <c r="M1649" i="6"/>
  <c r="L1649" i="6"/>
  <c r="M1648" i="6"/>
  <c r="L1648" i="6"/>
  <c r="M1647" i="6"/>
  <c r="L1647" i="6"/>
  <c r="M1646" i="6"/>
  <c r="L1646" i="6"/>
  <c r="M1645" i="6"/>
  <c r="L1645" i="6"/>
  <c r="M1644" i="6"/>
  <c r="L1644" i="6"/>
  <c r="M1643" i="6"/>
  <c r="L1643" i="6"/>
  <c r="M1642" i="6"/>
  <c r="L1642" i="6"/>
  <c r="M1641" i="6"/>
  <c r="L1641" i="6"/>
  <c r="M1640" i="6"/>
  <c r="L1640" i="6"/>
  <c r="M1639" i="6"/>
  <c r="L1639" i="6"/>
  <c r="M1638" i="6"/>
  <c r="L1638" i="6"/>
  <c r="M1637" i="6"/>
  <c r="L1637" i="6"/>
  <c r="M1636" i="6"/>
  <c r="L1636" i="6"/>
  <c r="M1635" i="6"/>
  <c r="L1635" i="6"/>
  <c r="M1634" i="6"/>
  <c r="L1634" i="6"/>
  <c r="M1633" i="6"/>
  <c r="L1633" i="6"/>
  <c r="M1632" i="6"/>
  <c r="L1632" i="6"/>
  <c r="M1631" i="6"/>
  <c r="L1631" i="6"/>
  <c r="M1630" i="6"/>
  <c r="L1630" i="6"/>
  <c r="M1629" i="6"/>
  <c r="L1629" i="6"/>
  <c r="M1628" i="6"/>
  <c r="L1628" i="6"/>
  <c r="M1627" i="6"/>
  <c r="L1627" i="6"/>
  <c r="M1626" i="6"/>
  <c r="L1626" i="6"/>
  <c r="M1625" i="6"/>
  <c r="L1625" i="6"/>
  <c r="M1624" i="6"/>
  <c r="L1624" i="6"/>
  <c r="M1623" i="6"/>
  <c r="L1623" i="6"/>
  <c r="M1622" i="6"/>
  <c r="L1622" i="6"/>
  <c r="M1621" i="6"/>
  <c r="L1621" i="6"/>
  <c r="M1620" i="6"/>
  <c r="L1620" i="6"/>
  <c r="M1619" i="6"/>
  <c r="L1619" i="6"/>
  <c r="M1618" i="6"/>
  <c r="L1618" i="6"/>
  <c r="M1617" i="6"/>
  <c r="L1617" i="6"/>
  <c r="M1616" i="6"/>
  <c r="L1616" i="6"/>
  <c r="M1615" i="6"/>
  <c r="L1615" i="6"/>
  <c r="M1614" i="6"/>
  <c r="L1614" i="6"/>
  <c r="M1613" i="6"/>
  <c r="L1613" i="6"/>
  <c r="M1612" i="6"/>
  <c r="L1612" i="6"/>
  <c r="M1611" i="6"/>
  <c r="L1611" i="6"/>
  <c r="M1610" i="6"/>
  <c r="L1610" i="6"/>
  <c r="M1609" i="6"/>
  <c r="L1609" i="6"/>
  <c r="M1608" i="6"/>
  <c r="L1608" i="6"/>
  <c r="M1607" i="6"/>
  <c r="L1607" i="6"/>
  <c r="M1606" i="6"/>
  <c r="L1606" i="6"/>
  <c r="M1605" i="6"/>
  <c r="L1605" i="6"/>
  <c r="M1604" i="6"/>
  <c r="L1604" i="6"/>
  <c r="M1603" i="6"/>
  <c r="L1603" i="6"/>
  <c r="M1602" i="6"/>
  <c r="L1602" i="6"/>
  <c r="M1601" i="6"/>
  <c r="L1601" i="6"/>
  <c r="M1600" i="6"/>
  <c r="L1600" i="6"/>
  <c r="M1599" i="6"/>
  <c r="L1599" i="6"/>
  <c r="M1598" i="6"/>
  <c r="L1598" i="6"/>
  <c r="M1597" i="6"/>
  <c r="L1597" i="6"/>
  <c r="M1596" i="6"/>
  <c r="L1596" i="6"/>
  <c r="M1595" i="6"/>
  <c r="L1595" i="6"/>
  <c r="M1594" i="6"/>
  <c r="L1594" i="6"/>
  <c r="M1593" i="6"/>
  <c r="L1593" i="6"/>
  <c r="M1592" i="6"/>
  <c r="L1592" i="6"/>
  <c r="M1591" i="6"/>
  <c r="L1591" i="6"/>
  <c r="M1590" i="6"/>
  <c r="L1590" i="6"/>
  <c r="M1589" i="6"/>
  <c r="L1589" i="6"/>
  <c r="M1588" i="6"/>
  <c r="L1588" i="6"/>
  <c r="M1587" i="6"/>
  <c r="L1587" i="6"/>
  <c r="M1586" i="6"/>
  <c r="L1586" i="6"/>
  <c r="M1585" i="6"/>
  <c r="L1585" i="6"/>
  <c r="M1584" i="6"/>
  <c r="L1584" i="6"/>
  <c r="M1583" i="6"/>
  <c r="L1583" i="6"/>
  <c r="M1582" i="6"/>
  <c r="L1582" i="6"/>
  <c r="M1581" i="6"/>
  <c r="L1581" i="6"/>
  <c r="M1580" i="6"/>
  <c r="L1580" i="6"/>
  <c r="M1579" i="6"/>
  <c r="L1579" i="6"/>
  <c r="M1578" i="6"/>
  <c r="L1578" i="6"/>
  <c r="M1577" i="6"/>
  <c r="L1577" i="6"/>
  <c r="M1576" i="6"/>
  <c r="L1576" i="6"/>
  <c r="M1575" i="6"/>
  <c r="L1575" i="6"/>
  <c r="M1574" i="6"/>
  <c r="L1574" i="6"/>
  <c r="M1573" i="6"/>
  <c r="L1573" i="6"/>
  <c r="M1572" i="6"/>
  <c r="L1572" i="6"/>
  <c r="M1571" i="6"/>
  <c r="L1571" i="6"/>
  <c r="M1570" i="6"/>
  <c r="L1570" i="6"/>
  <c r="M1569" i="6"/>
  <c r="L1569" i="6"/>
  <c r="M1568" i="6"/>
  <c r="L1568" i="6"/>
  <c r="M1567" i="6"/>
  <c r="L1567" i="6"/>
  <c r="M1566" i="6"/>
  <c r="L1566" i="6"/>
  <c r="M1565" i="6"/>
  <c r="L1565" i="6"/>
  <c r="M1564" i="6"/>
  <c r="L1564" i="6"/>
  <c r="M1563" i="6"/>
  <c r="L1563" i="6"/>
  <c r="M1562" i="6"/>
  <c r="L1562" i="6"/>
  <c r="M1561" i="6"/>
  <c r="L1561" i="6"/>
  <c r="M1560" i="6"/>
  <c r="L1560" i="6"/>
  <c r="M1559" i="6"/>
  <c r="L1559" i="6"/>
  <c r="M1558" i="6"/>
  <c r="L1558" i="6"/>
  <c r="M1557" i="6"/>
  <c r="L1557" i="6"/>
  <c r="M1556" i="6"/>
  <c r="L1556" i="6"/>
  <c r="M1555" i="6"/>
  <c r="L1555" i="6"/>
  <c r="M1554" i="6"/>
  <c r="L1554" i="6"/>
  <c r="M1553" i="6"/>
  <c r="L1553" i="6"/>
  <c r="M1552" i="6"/>
  <c r="L1552" i="6"/>
  <c r="M1551" i="6"/>
  <c r="L1551" i="6"/>
  <c r="M1550" i="6"/>
  <c r="L1550" i="6"/>
  <c r="M1549" i="6"/>
  <c r="L1549" i="6"/>
  <c r="M1548" i="6"/>
  <c r="L1548" i="6"/>
  <c r="M1547" i="6"/>
  <c r="L1547" i="6"/>
  <c r="M1546" i="6"/>
  <c r="L1546" i="6"/>
  <c r="M1545" i="6"/>
  <c r="L1545" i="6"/>
  <c r="M1544" i="6"/>
  <c r="L1544" i="6"/>
  <c r="M1543" i="6"/>
  <c r="L1543" i="6"/>
  <c r="M1542" i="6"/>
  <c r="L1542" i="6"/>
  <c r="M1541" i="6"/>
  <c r="L1541" i="6"/>
  <c r="M1540" i="6"/>
  <c r="L1540" i="6"/>
  <c r="M1539" i="6"/>
  <c r="L1539" i="6"/>
  <c r="M1538" i="6"/>
  <c r="L1538" i="6"/>
  <c r="M1537" i="6"/>
  <c r="L1537" i="6"/>
  <c r="M1536" i="6"/>
  <c r="L1536" i="6"/>
  <c r="M1535" i="6"/>
  <c r="L1535" i="6"/>
  <c r="M1534" i="6"/>
  <c r="L1534" i="6"/>
  <c r="M1533" i="6"/>
  <c r="L1533" i="6"/>
  <c r="M1532" i="6"/>
  <c r="L1532" i="6"/>
  <c r="M1531" i="6"/>
  <c r="L1531" i="6"/>
  <c r="M1530" i="6"/>
  <c r="L1530" i="6"/>
  <c r="M1529" i="6"/>
  <c r="L1529" i="6"/>
  <c r="M1528" i="6"/>
  <c r="L1528" i="6"/>
  <c r="M1527" i="6"/>
  <c r="L1527" i="6"/>
  <c r="M1526" i="6"/>
  <c r="L1526" i="6"/>
  <c r="M1525" i="6"/>
  <c r="L1525" i="6"/>
  <c r="M1524" i="6"/>
  <c r="L1524" i="6"/>
  <c r="M1523" i="6"/>
  <c r="L1523" i="6"/>
  <c r="M1522" i="6"/>
  <c r="L1522" i="6"/>
  <c r="M1521" i="6"/>
  <c r="L1521" i="6"/>
  <c r="M1520" i="6"/>
  <c r="L1520" i="6"/>
  <c r="M1519" i="6"/>
  <c r="L1519" i="6"/>
  <c r="M1518" i="6"/>
  <c r="L1518" i="6"/>
  <c r="M1517" i="6"/>
  <c r="L1517" i="6"/>
  <c r="M1516" i="6"/>
  <c r="L1516" i="6"/>
  <c r="M1515" i="6"/>
  <c r="L1515" i="6"/>
  <c r="M1514" i="6"/>
  <c r="L1514" i="6"/>
  <c r="M1513" i="6"/>
  <c r="L1513" i="6"/>
  <c r="M1512" i="6"/>
  <c r="L1512" i="6"/>
  <c r="M1511" i="6"/>
  <c r="L1511" i="6"/>
  <c r="M1510" i="6"/>
  <c r="L1510" i="6"/>
  <c r="M1509" i="6"/>
  <c r="L1509" i="6"/>
  <c r="M1508" i="6"/>
  <c r="L1508" i="6"/>
  <c r="M1507" i="6"/>
  <c r="L1507" i="6"/>
  <c r="M1506" i="6"/>
  <c r="L1506" i="6"/>
  <c r="M1505" i="6"/>
  <c r="L1505" i="6"/>
  <c r="M1504" i="6"/>
  <c r="L1504" i="6"/>
  <c r="M1503" i="6"/>
  <c r="L1503" i="6"/>
  <c r="M1502" i="6"/>
  <c r="L1502" i="6"/>
  <c r="M1501" i="6"/>
  <c r="L1501" i="6"/>
  <c r="M1500" i="6"/>
  <c r="L1500" i="6"/>
  <c r="M1499" i="6"/>
  <c r="L1499" i="6"/>
  <c r="M1498" i="6"/>
  <c r="L1498" i="6"/>
  <c r="M1497" i="6"/>
  <c r="L1497" i="6"/>
  <c r="M1496" i="6"/>
  <c r="L1496" i="6"/>
  <c r="M1495" i="6"/>
  <c r="L1495" i="6"/>
  <c r="M1494" i="6"/>
  <c r="L1494" i="6"/>
  <c r="M1493" i="6"/>
  <c r="L1493" i="6"/>
  <c r="M1492" i="6"/>
  <c r="L1492" i="6"/>
  <c r="M1491" i="6"/>
  <c r="L1491" i="6"/>
  <c r="M1490" i="6"/>
  <c r="L1490" i="6"/>
  <c r="M1489" i="6"/>
  <c r="L1489" i="6"/>
  <c r="M1488" i="6"/>
  <c r="L1488" i="6"/>
  <c r="M1487" i="6"/>
  <c r="L1487" i="6"/>
  <c r="M1486" i="6"/>
  <c r="L1486" i="6"/>
  <c r="M1485" i="6"/>
  <c r="L1485" i="6"/>
  <c r="M1484" i="6"/>
  <c r="L1484" i="6"/>
  <c r="M1483" i="6"/>
  <c r="L1483" i="6"/>
  <c r="M1482" i="6"/>
  <c r="L1482" i="6"/>
  <c r="M1481" i="6"/>
  <c r="L1481" i="6"/>
  <c r="M1480" i="6"/>
  <c r="L1480" i="6"/>
  <c r="M1479" i="6"/>
  <c r="L1479" i="6"/>
  <c r="M1478" i="6"/>
  <c r="L1478" i="6"/>
  <c r="M1477" i="6"/>
  <c r="L1477" i="6"/>
  <c r="M1476" i="6"/>
  <c r="L1476" i="6"/>
  <c r="M1475" i="6"/>
  <c r="L1475" i="6"/>
  <c r="M1474" i="6"/>
  <c r="L1474" i="6"/>
  <c r="M1473" i="6"/>
  <c r="L1473" i="6"/>
  <c r="M1472" i="6"/>
  <c r="L1472" i="6"/>
  <c r="M1471" i="6"/>
  <c r="L1471" i="6"/>
  <c r="M1470" i="6"/>
  <c r="L1470" i="6"/>
  <c r="M1469" i="6"/>
  <c r="L1469" i="6"/>
  <c r="M1468" i="6"/>
  <c r="L1468" i="6"/>
  <c r="M1467" i="6"/>
  <c r="L1467" i="6"/>
  <c r="M1466" i="6"/>
  <c r="L1466" i="6"/>
  <c r="M1465" i="6"/>
  <c r="L1465" i="6"/>
  <c r="M1464" i="6"/>
  <c r="L1464" i="6"/>
  <c r="M1463" i="6"/>
  <c r="L1463" i="6"/>
  <c r="M1462" i="6"/>
  <c r="L1462" i="6"/>
  <c r="M1461" i="6"/>
  <c r="L1461" i="6"/>
  <c r="M1460" i="6"/>
  <c r="L1460" i="6"/>
  <c r="M1459" i="6"/>
  <c r="L1459" i="6"/>
  <c r="M1458" i="6"/>
  <c r="L1458" i="6"/>
  <c r="M1457" i="6"/>
  <c r="L1457" i="6"/>
  <c r="M1456" i="6"/>
  <c r="L1456" i="6"/>
  <c r="M1455" i="6"/>
  <c r="L1455" i="6"/>
  <c r="M1454" i="6"/>
  <c r="L1454" i="6"/>
  <c r="M1453" i="6"/>
  <c r="L1453" i="6"/>
  <c r="M1452" i="6"/>
  <c r="L1452" i="6"/>
  <c r="M1451" i="6"/>
  <c r="L1451" i="6"/>
  <c r="M1450" i="6"/>
  <c r="L1450" i="6"/>
  <c r="M1449" i="6"/>
  <c r="L1449" i="6"/>
  <c r="M1448" i="6"/>
  <c r="L1448" i="6"/>
  <c r="M1447" i="6"/>
  <c r="L1447" i="6"/>
  <c r="M1446" i="6"/>
  <c r="L1446" i="6"/>
  <c r="M1445" i="6"/>
  <c r="L1445" i="6"/>
  <c r="M1444" i="6"/>
  <c r="L1444" i="6"/>
  <c r="M1443" i="6"/>
  <c r="L1443" i="6"/>
  <c r="M1442" i="6"/>
  <c r="L1442" i="6"/>
  <c r="M1441" i="6"/>
  <c r="L1441" i="6"/>
  <c r="M1440" i="6"/>
  <c r="L1440" i="6"/>
  <c r="M1439" i="6"/>
  <c r="L1439" i="6"/>
  <c r="M1438" i="6"/>
  <c r="L1438" i="6"/>
  <c r="M1437" i="6"/>
  <c r="L1437" i="6"/>
  <c r="M1436" i="6"/>
  <c r="L1436" i="6"/>
  <c r="M1435" i="6"/>
  <c r="L1435" i="6"/>
  <c r="M1434" i="6"/>
  <c r="L1434" i="6"/>
  <c r="M1433" i="6"/>
  <c r="L1433" i="6"/>
  <c r="M1432" i="6"/>
  <c r="L1432" i="6"/>
  <c r="M1431" i="6"/>
  <c r="L1431" i="6"/>
  <c r="M1430" i="6"/>
  <c r="L1430" i="6"/>
  <c r="M1429" i="6"/>
  <c r="L1429" i="6"/>
  <c r="M1428" i="6"/>
  <c r="L1428" i="6"/>
  <c r="M1427" i="6"/>
  <c r="L1427" i="6"/>
  <c r="M1426" i="6"/>
  <c r="L1426" i="6"/>
  <c r="M1425" i="6"/>
  <c r="L1425" i="6"/>
  <c r="M1424" i="6"/>
  <c r="L1424" i="6"/>
  <c r="M1423" i="6"/>
  <c r="L1423" i="6"/>
  <c r="M1422" i="6"/>
  <c r="L1422" i="6"/>
  <c r="M1421" i="6"/>
  <c r="L1421" i="6"/>
  <c r="M1420" i="6"/>
  <c r="L1420" i="6"/>
  <c r="M1419" i="6"/>
  <c r="L1419" i="6"/>
  <c r="M1418" i="6"/>
  <c r="L1418" i="6"/>
  <c r="M1417" i="6"/>
  <c r="L1417" i="6"/>
  <c r="M1416" i="6"/>
  <c r="L1416" i="6"/>
  <c r="M1415" i="6"/>
  <c r="L1415" i="6"/>
  <c r="M1414" i="6"/>
  <c r="L1414" i="6"/>
  <c r="M1413" i="6"/>
  <c r="L1413" i="6"/>
  <c r="M1412" i="6"/>
  <c r="L1412" i="6"/>
  <c r="M1411" i="6"/>
  <c r="L1411" i="6"/>
  <c r="M1410" i="6"/>
  <c r="L1410" i="6"/>
  <c r="M1409" i="6"/>
  <c r="L1409" i="6"/>
  <c r="M1408" i="6"/>
  <c r="L1408" i="6"/>
  <c r="M1407" i="6"/>
  <c r="L1407" i="6"/>
  <c r="M1406" i="6"/>
  <c r="L1406" i="6"/>
  <c r="M1405" i="6"/>
  <c r="L1405" i="6"/>
  <c r="M1404" i="6"/>
  <c r="L1404" i="6"/>
  <c r="M1403" i="6"/>
  <c r="L1403" i="6"/>
  <c r="M1402" i="6"/>
  <c r="L1402" i="6"/>
  <c r="M1401" i="6"/>
  <c r="L1401" i="6"/>
  <c r="M1400" i="6"/>
  <c r="L1400" i="6"/>
  <c r="M1399" i="6"/>
  <c r="L1399" i="6"/>
  <c r="M1398" i="6"/>
  <c r="L1398" i="6"/>
  <c r="M1397" i="6"/>
  <c r="L1397" i="6"/>
  <c r="M1396" i="6"/>
  <c r="L1396" i="6"/>
  <c r="M1395" i="6"/>
  <c r="L1395" i="6"/>
  <c r="M1394" i="6"/>
  <c r="L1394" i="6"/>
  <c r="M1393" i="6"/>
  <c r="L1393" i="6"/>
  <c r="M1392" i="6"/>
  <c r="L1392" i="6"/>
  <c r="M1391" i="6"/>
  <c r="L1391" i="6"/>
  <c r="M1390" i="6"/>
  <c r="L1390" i="6"/>
  <c r="M1389" i="6"/>
  <c r="L1389" i="6"/>
  <c r="M1388" i="6"/>
  <c r="L1388" i="6"/>
  <c r="M1387" i="6"/>
  <c r="L1387" i="6"/>
  <c r="M1386" i="6"/>
  <c r="L1386" i="6"/>
  <c r="M1385" i="6"/>
  <c r="L1385" i="6"/>
  <c r="M1384" i="6"/>
  <c r="L1384" i="6"/>
  <c r="M1383" i="6"/>
  <c r="L1383" i="6"/>
  <c r="M1382" i="6"/>
  <c r="L1382" i="6"/>
  <c r="M1381" i="6"/>
  <c r="L1381" i="6"/>
  <c r="M1380" i="6"/>
  <c r="L1380" i="6"/>
  <c r="M1379" i="6"/>
  <c r="L1379" i="6"/>
  <c r="M1378" i="6"/>
  <c r="L1378" i="6"/>
  <c r="M1377" i="6"/>
  <c r="L1377" i="6"/>
  <c r="M1376" i="6"/>
  <c r="L1376" i="6"/>
  <c r="M1375" i="6"/>
  <c r="L1375" i="6"/>
  <c r="M1374" i="6"/>
  <c r="L1374" i="6"/>
  <c r="M1373" i="6"/>
  <c r="L1373" i="6"/>
  <c r="M1372" i="6"/>
  <c r="L1372" i="6"/>
  <c r="M1371" i="6"/>
  <c r="L1371" i="6"/>
  <c r="M1370" i="6"/>
  <c r="L1370" i="6"/>
  <c r="M1369" i="6"/>
  <c r="L1369" i="6"/>
  <c r="M1368" i="6"/>
  <c r="L1368" i="6"/>
  <c r="M1367" i="6"/>
  <c r="L1367" i="6"/>
  <c r="M1366" i="6"/>
  <c r="L1366" i="6"/>
  <c r="M1365" i="6"/>
  <c r="L1365" i="6"/>
  <c r="M1364" i="6"/>
  <c r="L1364" i="6"/>
  <c r="M1363" i="6"/>
  <c r="L1363" i="6"/>
  <c r="M1362" i="6"/>
  <c r="L1362" i="6"/>
  <c r="M1361" i="6"/>
  <c r="L1361" i="6"/>
  <c r="M1360" i="6"/>
  <c r="L1360" i="6"/>
  <c r="M1359" i="6"/>
  <c r="L1359" i="6"/>
  <c r="M1358" i="6"/>
  <c r="L1358" i="6"/>
  <c r="M1357" i="6"/>
  <c r="L1357" i="6"/>
  <c r="M1356" i="6"/>
  <c r="L1356" i="6"/>
  <c r="M1355" i="6"/>
  <c r="L1355" i="6"/>
  <c r="M1354" i="6"/>
  <c r="L1354" i="6"/>
  <c r="M1353" i="6"/>
  <c r="L1353" i="6"/>
  <c r="M1352" i="6"/>
  <c r="L1352" i="6"/>
  <c r="M1351" i="6"/>
  <c r="L1351" i="6"/>
  <c r="M1350" i="6"/>
  <c r="L1350" i="6"/>
  <c r="M1349" i="6"/>
  <c r="L1349" i="6"/>
  <c r="M1348" i="6"/>
  <c r="L1348" i="6"/>
  <c r="M1347" i="6"/>
  <c r="L1347" i="6"/>
  <c r="M1346" i="6"/>
  <c r="L1346" i="6"/>
  <c r="M1345" i="6"/>
  <c r="L1345" i="6"/>
  <c r="M1344" i="6"/>
  <c r="L1344" i="6"/>
  <c r="M1343" i="6"/>
  <c r="L1343" i="6"/>
  <c r="M1342" i="6"/>
  <c r="L1342" i="6"/>
  <c r="M1341" i="6"/>
  <c r="L1341" i="6"/>
  <c r="M1340" i="6"/>
  <c r="L1340" i="6"/>
  <c r="M1339" i="6"/>
  <c r="L1339" i="6"/>
  <c r="M1338" i="6"/>
  <c r="L1338" i="6"/>
  <c r="M1337" i="6"/>
  <c r="L1337" i="6"/>
  <c r="M1336" i="6"/>
  <c r="L1336" i="6"/>
  <c r="M1335" i="6"/>
  <c r="L1335" i="6"/>
  <c r="M1334" i="6"/>
  <c r="L1334" i="6"/>
  <c r="M1333" i="6"/>
  <c r="L1333" i="6"/>
  <c r="M1332" i="6"/>
  <c r="L1332" i="6"/>
  <c r="M1331" i="6"/>
  <c r="L1331" i="6"/>
  <c r="M1330" i="6"/>
  <c r="L1330" i="6"/>
  <c r="M1329" i="6"/>
  <c r="L1329" i="6"/>
  <c r="M1328" i="6"/>
  <c r="L1328" i="6"/>
  <c r="M1327" i="6"/>
  <c r="L1327" i="6"/>
  <c r="M1326" i="6"/>
  <c r="L1326" i="6"/>
  <c r="M1325" i="6"/>
  <c r="L1325" i="6"/>
  <c r="M1324" i="6"/>
  <c r="L1324" i="6"/>
  <c r="M1323" i="6"/>
  <c r="L1323" i="6"/>
  <c r="M1322" i="6"/>
  <c r="L1322" i="6"/>
  <c r="M1321" i="6"/>
  <c r="L1321" i="6"/>
  <c r="M1320" i="6"/>
  <c r="L1320" i="6"/>
  <c r="M1319" i="6"/>
  <c r="L1319" i="6"/>
  <c r="M1318" i="6"/>
  <c r="L1318" i="6"/>
  <c r="M1317" i="6"/>
  <c r="L1317" i="6"/>
  <c r="M1316" i="6"/>
  <c r="L1316" i="6"/>
  <c r="M1315" i="6"/>
  <c r="L1315" i="6"/>
  <c r="M1314" i="6"/>
  <c r="L1314" i="6"/>
  <c r="M1313" i="6"/>
  <c r="L1313" i="6"/>
  <c r="M1312" i="6"/>
  <c r="L1312" i="6"/>
  <c r="M1311" i="6"/>
  <c r="L1311" i="6"/>
  <c r="M1310" i="6"/>
  <c r="L1310" i="6"/>
  <c r="M1309" i="6"/>
  <c r="L1309" i="6"/>
  <c r="M1308" i="6"/>
  <c r="L1308" i="6"/>
  <c r="M1307" i="6"/>
  <c r="L1307" i="6"/>
  <c r="M1306" i="6"/>
  <c r="L1306" i="6"/>
  <c r="M1305" i="6"/>
  <c r="L1305" i="6"/>
  <c r="M1304" i="6"/>
  <c r="L1304" i="6"/>
  <c r="M1303" i="6"/>
  <c r="L1303" i="6"/>
  <c r="M1302" i="6"/>
  <c r="L1302" i="6"/>
  <c r="M1301" i="6"/>
  <c r="L1301" i="6"/>
  <c r="M1300" i="6"/>
  <c r="L1300" i="6"/>
  <c r="M1299" i="6"/>
  <c r="L1299" i="6"/>
  <c r="M1298" i="6"/>
  <c r="L1298" i="6"/>
  <c r="M1297" i="6"/>
  <c r="L1297" i="6"/>
  <c r="M1296" i="6"/>
  <c r="L1296" i="6"/>
  <c r="M1295" i="6"/>
  <c r="L1295" i="6"/>
  <c r="M1294" i="6"/>
  <c r="L1294" i="6"/>
  <c r="M1293" i="6"/>
  <c r="L1293" i="6"/>
  <c r="M1292" i="6"/>
  <c r="L1292" i="6"/>
  <c r="M1291" i="6"/>
  <c r="L1291" i="6"/>
  <c r="M1290" i="6"/>
  <c r="L1290" i="6"/>
  <c r="M1289" i="6"/>
  <c r="L1289" i="6"/>
  <c r="M1288" i="6"/>
  <c r="L1288" i="6"/>
  <c r="M1287" i="6"/>
  <c r="L1287" i="6"/>
  <c r="M1286" i="6"/>
  <c r="L1286" i="6"/>
  <c r="M1285" i="6"/>
  <c r="L1285" i="6"/>
  <c r="M1284" i="6"/>
  <c r="L1284" i="6"/>
  <c r="M1283" i="6"/>
  <c r="L1283" i="6"/>
  <c r="M1282" i="6"/>
  <c r="L1282" i="6"/>
  <c r="M1281" i="6"/>
  <c r="L1281" i="6"/>
  <c r="M1280" i="6"/>
  <c r="L1280" i="6"/>
  <c r="M1279" i="6"/>
  <c r="L1279" i="6"/>
  <c r="M1278" i="6"/>
  <c r="L1278" i="6"/>
  <c r="M1277" i="6"/>
  <c r="L1277" i="6"/>
  <c r="M1276" i="6"/>
  <c r="L1276" i="6"/>
  <c r="M1275" i="6"/>
  <c r="L1275" i="6"/>
  <c r="M1274" i="6"/>
  <c r="L1274" i="6"/>
  <c r="M1273" i="6"/>
  <c r="L1273" i="6"/>
  <c r="M1272" i="6"/>
  <c r="L1272" i="6"/>
  <c r="M1271" i="6"/>
  <c r="L1271" i="6"/>
  <c r="M1270" i="6"/>
  <c r="L1270" i="6"/>
  <c r="M1269" i="6"/>
  <c r="L1269" i="6"/>
  <c r="M1268" i="6"/>
  <c r="L1268" i="6"/>
  <c r="M1267" i="6"/>
  <c r="L1267" i="6"/>
  <c r="M1266" i="6"/>
  <c r="L1266" i="6"/>
  <c r="M1265" i="6"/>
  <c r="L1265" i="6"/>
  <c r="M1264" i="6"/>
  <c r="L1264" i="6"/>
  <c r="M1263" i="6"/>
  <c r="L1263" i="6"/>
  <c r="M1262" i="6"/>
  <c r="L1262" i="6"/>
  <c r="M1261" i="6"/>
  <c r="L1261" i="6"/>
  <c r="M1260" i="6"/>
  <c r="L1260" i="6"/>
  <c r="M1259" i="6"/>
  <c r="L1259" i="6"/>
  <c r="M1258" i="6"/>
  <c r="L1258" i="6"/>
  <c r="M1257" i="6"/>
  <c r="L1257" i="6"/>
  <c r="M1256" i="6"/>
  <c r="L1256" i="6"/>
  <c r="M1255" i="6"/>
  <c r="L1255" i="6"/>
  <c r="M1254" i="6"/>
  <c r="L1254" i="6"/>
  <c r="M1253" i="6"/>
  <c r="L1253" i="6"/>
  <c r="M1252" i="6"/>
  <c r="L1252" i="6"/>
  <c r="M1251" i="6"/>
  <c r="L1251" i="6"/>
  <c r="M1250" i="6"/>
  <c r="L1250" i="6"/>
  <c r="M1249" i="6"/>
  <c r="L1249" i="6"/>
  <c r="M1248" i="6"/>
  <c r="L1248" i="6"/>
  <c r="M1247" i="6"/>
  <c r="L1247" i="6"/>
  <c r="M1246" i="6"/>
  <c r="L1246" i="6"/>
  <c r="M1245" i="6"/>
  <c r="L1245" i="6"/>
  <c r="M1244" i="6"/>
  <c r="L1244" i="6"/>
  <c r="M1243" i="6"/>
  <c r="L1243" i="6"/>
  <c r="M1242" i="6"/>
  <c r="L1242" i="6"/>
  <c r="M1241" i="6"/>
  <c r="L1241" i="6"/>
  <c r="M1240" i="6"/>
  <c r="L1240" i="6"/>
  <c r="M1239" i="6"/>
  <c r="L1239" i="6"/>
  <c r="M1238" i="6"/>
  <c r="L1238" i="6"/>
  <c r="M1237" i="6"/>
  <c r="L1237" i="6"/>
  <c r="M1236" i="6"/>
  <c r="L1236" i="6"/>
  <c r="M1235" i="6"/>
  <c r="L1235" i="6"/>
  <c r="M1234" i="6"/>
  <c r="L1234" i="6"/>
  <c r="M1233" i="6"/>
  <c r="L1233" i="6"/>
  <c r="M1232" i="6"/>
  <c r="L1232" i="6"/>
  <c r="M1231" i="6"/>
  <c r="L1231" i="6"/>
  <c r="M1230" i="6"/>
  <c r="L1230" i="6"/>
  <c r="M1229" i="6"/>
  <c r="L1229" i="6"/>
  <c r="M1228" i="6"/>
  <c r="L1228" i="6"/>
  <c r="M1227" i="6"/>
  <c r="L1227" i="6"/>
  <c r="M1226" i="6"/>
  <c r="L1226" i="6"/>
  <c r="M1225" i="6"/>
  <c r="L1225" i="6"/>
  <c r="M1224" i="6"/>
  <c r="L1224" i="6"/>
  <c r="M1223" i="6"/>
  <c r="L1223" i="6"/>
  <c r="M1222" i="6"/>
  <c r="L1222" i="6"/>
  <c r="M1221" i="6"/>
  <c r="L1221" i="6"/>
  <c r="M1220" i="6"/>
  <c r="L1220" i="6"/>
  <c r="M1219" i="6"/>
  <c r="L1219" i="6"/>
  <c r="M1218" i="6"/>
  <c r="L1218" i="6"/>
  <c r="M1217" i="6"/>
  <c r="L1217" i="6"/>
  <c r="M1216" i="6"/>
  <c r="L1216" i="6"/>
  <c r="M1215" i="6"/>
  <c r="L1215" i="6"/>
  <c r="M1214" i="6"/>
  <c r="L1214" i="6"/>
  <c r="M1213" i="6"/>
  <c r="L1213" i="6"/>
  <c r="M1212" i="6"/>
  <c r="L1212" i="6"/>
  <c r="M1211" i="6"/>
  <c r="L1211" i="6"/>
  <c r="M1210" i="6"/>
  <c r="L1210" i="6"/>
  <c r="M1209" i="6"/>
  <c r="L1209" i="6"/>
  <c r="M1208" i="6"/>
  <c r="L1208" i="6"/>
  <c r="M1207" i="6"/>
  <c r="L1207" i="6"/>
  <c r="M1206" i="6"/>
  <c r="L1206" i="6"/>
  <c r="M1205" i="6"/>
  <c r="L1205" i="6"/>
  <c r="M1204" i="6"/>
  <c r="L1204" i="6"/>
  <c r="M1203" i="6"/>
  <c r="L1203" i="6"/>
  <c r="M1202" i="6"/>
  <c r="L1202" i="6"/>
  <c r="M1201" i="6"/>
  <c r="L1201" i="6"/>
  <c r="M1200" i="6"/>
  <c r="L1200" i="6"/>
  <c r="M1199" i="6"/>
  <c r="L1199" i="6"/>
  <c r="M1198" i="6"/>
  <c r="L1198" i="6"/>
  <c r="M1197" i="6"/>
  <c r="L1197" i="6"/>
  <c r="M1196" i="6"/>
  <c r="L1196" i="6"/>
  <c r="M1195" i="6"/>
  <c r="L1195" i="6"/>
  <c r="M1194" i="6"/>
  <c r="L1194" i="6"/>
  <c r="M1193" i="6"/>
  <c r="L1193" i="6"/>
  <c r="M1192" i="6"/>
  <c r="L1192" i="6"/>
  <c r="M1191" i="6"/>
  <c r="L1191" i="6"/>
  <c r="M1190" i="6"/>
  <c r="L1190" i="6"/>
  <c r="M1189" i="6"/>
  <c r="L1189" i="6"/>
  <c r="M1188" i="6"/>
  <c r="L1188" i="6"/>
  <c r="M1187" i="6"/>
  <c r="L1187" i="6"/>
  <c r="M1186" i="6"/>
  <c r="L1186" i="6"/>
  <c r="M1185" i="6"/>
  <c r="L1185" i="6"/>
  <c r="M1184" i="6"/>
  <c r="L1184" i="6"/>
  <c r="M1183" i="6"/>
  <c r="L1183" i="6"/>
  <c r="M1182" i="6"/>
  <c r="L1182" i="6"/>
  <c r="M1181" i="6"/>
  <c r="L1181" i="6"/>
  <c r="M1180" i="6"/>
  <c r="L1180" i="6"/>
  <c r="M1179" i="6"/>
  <c r="L1179" i="6"/>
  <c r="M1178" i="6"/>
  <c r="L1178" i="6"/>
  <c r="M1177" i="6"/>
  <c r="L1177" i="6"/>
  <c r="M1176" i="6"/>
  <c r="L1176" i="6"/>
  <c r="M1175" i="6"/>
  <c r="L1175" i="6"/>
  <c r="M1174" i="6"/>
  <c r="L1174" i="6"/>
  <c r="M1173" i="6"/>
  <c r="L1173" i="6"/>
  <c r="M1172" i="6"/>
  <c r="L1172" i="6"/>
  <c r="M1171" i="6"/>
  <c r="L1171" i="6"/>
  <c r="M1170" i="6"/>
  <c r="L1170" i="6"/>
  <c r="M1169" i="6"/>
  <c r="L1169" i="6"/>
  <c r="M1168" i="6"/>
  <c r="L1168" i="6"/>
  <c r="M1167" i="6"/>
  <c r="L1167" i="6"/>
  <c r="M1166" i="6"/>
  <c r="L1166" i="6"/>
  <c r="M1165" i="6"/>
  <c r="L1165" i="6"/>
  <c r="M1164" i="6"/>
  <c r="L1164" i="6"/>
  <c r="M1163" i="6"/>
  <c r="L1163" i="6"/>
  <c r="M1162" i="6"/>
  <c r="L1162" i="6"/>
  <c r="M1161" i="6"/>
  <c r="L1161" i="6"/>
  <c r="M1160" i="6"/>
  <c r="L1160" i="6"/>
  <c r="M1159" i="6"/>
  <c r="L1159" i="6"/>
  <c r="M1158" i="6"/>
  <c r="L1158" i="6"/>
  <c r="M1157" i="6"/>
  <c r="L1157" i="6"/>
  <c r="M1156" i="6"/>
  <c r="L1156" i="6"/>
  <c r="M1155" i="6"/>
  <c r="L1155" i="6"/>
  <c r="M1154" i="6"/>
  <c r="L1154" i="6"/>
  <c r="M1153" i="6"/>
  <c r="L1153" i="6"/>
  <c r="M1152" i="6"/>
  <c r="L1152" i="6"/>
  <c r="M1151" i="6"/>
  <c r="L1151" i="6"/>
  <c r="M1150" i="6"/>
  <c r="L1150" i="6"/>
  <c r="M1149" i="6"/>
  <c r="L1149" i="6"/>
  <c r="M1148" i="6"/>
  <c r="L1148" i="6"/>
  <c r="M1147" i="6"/>
  <c r="L1147" i="6"/>
  <c r="M1146" i="6"/>
  <c r="L1146" i="6"/>
  <c r="M1145" i="6"/>
  <c r="L1145" i="6"/>
  <c r="M1144" i="6"/>
  <c r="L1144" i="6"/>
  <c r="M1143" i="6"/>
  <c r="L1143" i="6"/>
  <c r="M1142" i="6"/>
  <c r="L1142" i="6"/>
  <c r="M1141" i="6"/>
  <c r="L1141" i="6"/>
  <c r="M1140" i="6"/>
  <c r="L1140" i="6"/>
  <c r="M1139" i="6"/>
  <c r="L1139" i="6"/>
  <c r="M1138" i="6"/>
  <c r="L1138" i="6"/>
  <c r="M1137" i="6"/>
  <c r="L1137" i="6"/>
  <c r="M1136" i="6"/>
  <c r="L1136" i="6"/>
  <c r="M1135" i="6"/>
  <c r="L1135" i="6"/>
  <c r="M1134" i="6"/>
  <c r="L1134" i="6"/>
  <c r="M1133" i="6"/>
  <c r="L1133" i="6"/>
  <c r="M1132" i="6"/>
  <c r="L1132" i="6"/>
  <c r="M1131" i="6"/>
  <c r="L1131" i="6"/>
  <c r="M1130" i="6"/>
  <c r="L1130" i="6"/>
  <c r="M1129" i="6"/>
  <c r="L1129" i="6"/>
  <c r="M1128" i="6"/>
  <c r="L1128" i="6"/>
  <c r="M1127" i="6"/>
  <c r="L1127" i="6"/>
  <c r="M1126" i="6"/>
  <c r="L1126" i="6"/>
  <c r="M1125" i="6"/>
  <c r="L1125" i="6"/>
  <c r="M1124" i="6"/>
  <c r="L1124" i="6"/>
  <c r="M1123" i="6"/>
  <c r="L1123" i="6"/>
  <c r="M1122" i="6"/>
  <c r="L1122" i="6"/>
  <c r="M1121" i="6"/>
  <c r="L1121" i="6"/>
  <c r="M1120" i="6"/>
  <c r="L1120" i="6"/>
  <c r="M1119" i="6"/>
  <c r="L1119" i="6"/>
  <c r="M1118" i="6"/>
  <c r="L1118" i="6"/>
  <c r="M1117" i="6"/>
  <c r="L1117" i="6"/>
  <c r="M1116" i="6"/>
  <c r="L1116" i="6"/>
  <c r="M1115" i="6"/>
  <c r="L1115" i="6"/>
  <c r="M1114" i="6"/>
  <c r="L1114" i="6"/>
  <c r="M1113" i="6"/>
  <c r="L1113" i="6"/>
  <c r="M1112" i="6"/>
  <c r="L1112" i="6"/>
  <c r="M1111" i="6"/>
  <c r="L1111" i="6"/>
  <c r="M1110" i="6"/>
  <c r="L1110" i="6"/>
  <c r="M1109" i="6"/>
  <c r="L1109" i="6"/>
  <c r="M1108" i="6"/>
  <c r="L1108" i="6"/>
  <c r="M1107" i="6"/>
  <c r="L1107" i="6"/>
  <c r="M1106" i="6"/>
  <c r="L1106" i="6"/>
  <c r="M1105" i="6"/>
  <c r="L1105" i="6"/>
  <c r="M1104" i="6"/>
  <c r="L1104" i="6"/>
  <c r="M1103" i="6"/>
  <c r="L1103" i="6"/>
  <c r="M1102" i="6"/>
  <c r="L1102" i="6"/>
  <c r="M1101" i="6"/>
  <c r="L1101" i="6"/>
  <c r="M1100" i="6"/>
  <c r="L1100" i="6"/>
  <c r="M1099" i="6"/>
  <c r="L1099" i="6"/>
  <c r="M1098" i="6"/>
  <c r="L1098" i="6"/>
  <c r="M1097" i="6"/>
  <c r="L1097" i="6"/>
  <c r="M1096" i="6"/>
  <c r="L1096" i="6"/>
  <c r="M1095" i="6"/>
  <c r="L1095" i="6"/>
  <c r="M1094" i="6"/>
  <c r="L1094" i="6"/>
  <c r="M1093" i="6"/>
  <c r="L1093" i="6"/>
  <c r="M1092" i="6"/>
  <c r="L1092" i="6"/>
  <c r="M1091" i="6"/>
  <c r="L1091" i="6"/>
  <c r="M1090" i="6"/>
  <c r="L1090" i="6"/>
  <c r="M1089" i="6"/>
  <c r="L1089" i="6"/>
  <c r="M1088" i="6"/>
  <c r="L1088" i="6"/>
  <c r="M1087" i="6"/>
  <c r="L1087" i="6"/>
  <c r="M1086" i="6"/>
  <c r="L1086" i="6"/>
  <c r="M1085" i="6"/>
  <c r="L1085" i="6"/>
  <c r="M1084" i="6"/>
  <c r="L1084" i="6"/>
  <c r="M1083" i="6"/>
  <c r="L1083" i="6"/>
  <c r="M1082" i="6"/>
  <c r="L1082" i="6"/>
  <c r="M1081" i="6"/>
  <c r="L1081" i="6"/>
  <c r="M1080" i="6"/>
  <c r="L1080" i="6"/>
  <c r="M1079" i="6"/>
  <c r="L1079" i="6"/>
  <c r="M1078" i="6"/>
  <c r="L1078" i="6"/>
  <c r="M1077" i="6"/>
  <c r="L1077" i="6"/>
  <c r="M1076" i="6"/>
  <c r="L1076" i="6"/>
  <c r="M1075" i="6"/>
  <c r="L1075" i="6"/>
  <c r="M1074" i="6"/>
  <c r="L1074" i="6"/>
  <c r="M1073" i="6"/>
  <c r="L1073" i="6"/>
  <c r="M1072" i="6"/>
  <c r="L1072" i="6"/>
  <c r="M1071" i="6"/>
  <c r="L1071" i="6"/>
  <c r="M1070" i="6"/>
  <c r="L1070" i="6"/>
  <c r="M1069" i="6"/>
  <c r="L1069" i="6"/>
  <c r="M1068" i="6"/>
  <c r="L1068" i="6"/>
  <c r="M1067" i="6"/>
  <c r="L1067" i="6"/>
  <c r="M1066" i="6"/>
  <c r="L1066" i="6"/>
  <c r="M1065" i="6"/>
  <c r="L1065" i="6"/>
  <c r="M1064" i="6"/>
  <c r="L1064" i="6"/>
  <c r="M1063" i="6"/>
  <c r="L1063" i="6"/>
  <c r="M1062" i="6"/>
  <c r="L1062" i="6"/>
  <c r="M1061" i="6"/>
  <c r="L1061" i="6"/>
  <c r="M1060" i="6"/>
  <c r="L1060" i="6"/>
  <c r="M1059" i="6"/>
  <c r="L1059" i="6"/>
  <c r="M1058" i="6"/>
  <c r="L1058" i="6"/>
  <c r="M1057" i="6"/>
  <c r="L1057" i="6"/>
  <c r="M1056" i="6"/>
  <c r="L1056" i="6"/>
  <c r="M1055" i="6"/>
  <c r="L1055" i="6"/>
  <c r="M1054" i="6"/>
  <c r="L1054" i="6"/>
  <c r="M1053" i="6"/>
  <c r="L1053" i="6"/>
  <c r="M1052" i="6"/>
  <c r="L1052" i="6"/>
  <c r="M1051" i="6"/>
  <c r="L1051" i="6"/>
  <c r="M1050" i="6"/>
  <c r="L1050" i="6"/>
  <c r="M1049" i="6"/>
  <c r="L1049" i="6"/>
  <c r="M1048" i="6"/>
  <c r="L1048" i="6"/>
  <c r="M1047" i="6"/>
  <c r="L1047" i="6"/>
  <c r="M1046" i="6"/>
  <c r="L1046" i="6"/>
  <c r="M1045" i="6"/>
  <c r="L1045" i="6"/>
  <c r="M1044" i="6"/>
  <c r="L1044" i="6"/>
  <c r="M1043" i="6"/>
  <c r="L1043" i="6"/>
  <c r="M1042" i="6"/>
  <c r="L1042" i="6"/>
  <c r="M1041" i="6"/>
  <c r="L1041" i="6"/>
  <c r="M1040" i="6"/>
  <c r="L1040" i="6"/>
  <c r="M1039" i="6"/>
  <c r="L1039" i="6"/>
  <c r="M1038" i="6"/>
  <c r="L1038" i="6"/>
  <c r="M1037" i="6"/>
  <c r="L1037" i="6"/>
  <c r="M1036" i="6"/>
  <c r="L1036" i="6"/>
  <c r="M1035" i="6"/>
  <c r="L1035" i="6"/>
  <c r="M1034" i="6"/>
  <c r="L1034" i="6"/>
  <c r="M1033" i="6"/>
  <c r="L1033" i="6"/>
  <c r="M1032" i="6"/>
  <c r="L1032" i="6"/>
  <c r="M1031" i="6"/>
  <c r="L1031" i="6"/>
  <c r="M1030" i="6"/>
  <c r="L1030" i="6"/>
  <c r="M1029" i="6"/>
  <c r="L1029" i="6"/>
  <c r="M1028" i="6"/>
  <c r="L1028" i="6"/>
  <c r="M1027" i="6"/>
  <c r="L1027" i="6"/>
  <c r="M1026" i="6"/>
  <c r="L1026" i="6"/>
  <c r="M1025" i="6"/>
  <c r="L1025" i="6"/>
  <c r="M1024" i="6"/>
  <c r="L1024" i="6"/>
  <c r="M1023" i="6"/>
  <c r="L1023" i="6"/>
  <c r="M1022" i="6"/>
  <c r="L1022" i="6"/>
  <c r="M1021" i="6"/>
  <c r="L1021" i="6"/>
  <c r="M1020" i="6"/>
  <c r="L1020" i="6"/>
  <c r="M1019" i="6"/>
  <c r="L1019" i="6"/>
  <c r="M1018" i="6"/>
  <c r="L1018" i="6"/>
  <c r="M1017" i="6"/>
  <c r="L1017" i="6"/>
  <c r="M1016" i="6"/>
  <c r="L1016" i="6"/>
  <c r="M1015" i="6"/>
  <c r="L1015" i="6"/>
  <c r="M1014" i="6"/>
  <c r="L1014" i="6"/>
  <c r="M1013" i="6"/>
  <c r="L1013" i="6"/>
  <c r="M1012" i="6"/>
  <c r="L1012" i="6"/>
  <c r="M1011" i="6"/>
  <c r="L1011" i="6"/>
  <c r="M1010" i="6"/>
  <c r="L1010" i="6"/>
  <c r="M1009" i="6"/>
  <c r="L1009" i="6"/>
  <c r="M1008" i="6"/>
  <c r="L1008" i="6"/>
  <c r="M1007" i="6"/>
  <c r="L1007" i="6"/>
  <c r="M1006" i="6"/>
  <c r="L1006" i="6"/>
  <c r="M1005" i="6"/>
  <c r="L1005" i="6"/>
  <c r="M1004" i="6"/>
  <c r="L1004" i="6"/>
  <c r="M1003" i="6"/>
  <c r="L1003" i="6"/>
  <c r="M1002" i="6"/>
  <c r="L1002" i="6"/>
  <c r="M1001" i="6"/>
  <c r="L1001" i="6"/>
  <c r="M1000" i="6"/>
  <c r="L1000" i="6"/>
  <c r="M999" i="6"/>
  <c r="L999" i="6"/>
  <c r="M998" i="6"/>
  <c r="L998" i="6"/>
  <c r="M997" i="6"/>
  <c r="L997" i="6"/>
  <c r="M996" i="6"/>
  <c r="L996" i="6"/>
  <c r="M995" i="6"/>
  <c r="L995" i="6"/>
  <c r="M994" i="6"/>
  <c r="L994" i="6"/>
  <c r="M993" i="6"/>
  <c r="L993" i="6"/>
  <c r="M992" i="6"/>
  <c r="L992" i="6"/>
  <c r="M991" i="6"/>
  <c r="L991" i="6"/>
  <c r="M990" i="6"/>
  <c r="L990" i="6"/>
  <c r="M989" i="6"/>
  <c r="L989" i="6"/>
  <c r="M988" i="6"/>
  <c r="L988" i="6"/>
  <c r="M987" i="6"/>
  <c r="L987" i="6"/>
  <c r="M986" i="6"/>
  <c r="L986" i="6"/>
  <c r="M985" i="6"/>
  <c r="L985" i="6"/>
  <c r="M984" i="6"/>
  <c r="L984" i="6"/>
  <c r="M983" i="6"/>
  <c r="L983" i="6"/>
  <c r="M982" i="6"/>
  <c r="L982" i="6"/>
  <c r="M981" i="6"/>
  <c r="L981" i="6"/>
  <c r="M980" i="6"/>
  <c r="L980" i="6"/>
  <c r="M979" i="6"/>
  <c r="L979" i="6"/>
  <c r="M978" i="6"/>
  <c r="L978" i="6"/>
  <c r="M977" i="6"/>
  <c r="L977" i="6"/>
  <c r="M976" i="6"/>
  <c r="L976" i="6"/>
  <c r="M975" i="6"/>
  <c r="L975" i="6"/>
  <c r="M974" i="6"/>
  <c r="L974" i="6"/>
  <c r="M973" i="6"/>
  <c r="L973" i="6"/>
  <c r="M972" i="6"/>
  <c r="L972" i="6"/>
  <c r="M971" i="6"/>
  <c r="L971" i="6"/>
  <c r="M970" i="6"/>
  <c r="L970" i="6"/>
  <c r="M969" i="6"/>
  <c r="L969" i="6"/>
  <c r="M968" i="6"/>
  <c r="L968" i="6"/>
  <c r="M967" i="6"/>
  <c r="L967" i="6"/>
  <c r="M966" i="6"/>
  <c r="L966" i="6"/>
  <c r="M965" i="6"/>
  <c r="L965" i="6"/>
  <c r="M964" i="6"/>
  <c r="L964" i="6"/>
  <c r="M963" i="6"/>
  <c r="L963" i="6"/>
  <c r="M962" i="6"/>
  <c r="L962" i="6"/>
  <c r="M961" i="6"/>
  <c r="L961" i="6"/>
  <c r="M960" i="6"/>
  <c r="L960" i="6"/>
  <c r="M959" i="6"/>
  <c r="L959" i="6"/>
  <c r="M958" i="6"/>
  <c r="L958" i="6"/>
  <c r="M957" i="6"/>
  <c r="L957" i="6"/>
  <c r="M956" i="6"/>
  <c r="L956" i="6"/>
  <c r="M955" i="6"/>
  <c r="L955" i="6"/>
  <c r="M954" i="6"/>
  <c r="L954" i="6"/>
  <c r="M953" i="6"/>
  <c r="L953" i="6"/>
  <c r="M952" i="6"/>
  <c r="L952" i="6"/>
  <c r="M951" i="6"/>
  <c r="L951" i="6"/>
  <c r="M950" i="6"/>
  <c r="L950" i="6"/>
  <c r="M949" i="6"/>
  <c r="L949" i="6"/>
  <c r="M948" i="6"/>
  <c r="L948" i="6"/>
  <c r="M947" i="6"/>
  <c r="L947" i="6"/>
  <c r="M946" i="6"/>
  <c r="L946" i="6"/>
  <c r="M945" i="6"/>
  <c r="L945" i="6"/>
  <c r="M944" i="6"/>
  <c r="L944" i="6"/>
  <c r="M943" i="6"/>
  <c r="L943" i="6"/>
  <c r="M942" i="6"/>
  <c r="L942" i="6"/>
  <c r="M941" i="6"/>
  <c r="L941" i="6"/>
  <c r="M940" i="6"/>
  <c r="L940" i="6"/>
  <c r="M939" i="6"/>
  <c r="L939" i="6"/>
  <c r="M938" i="6"/>
  <c r="L938" i="6"/>
  <c r="M937" i="6"/>
  <c r="L937" i="6"/>
  <c r="M936" i="6"/>
  <c r="L936" i="6"/>
  <c r="M935" i="6"/>
  <c r="L935" i="6"/>
  <c r="M934" i="6"/>
  <c r="L934" i="6"/>
  <c r="M933" i="6"/>
  <c r="L933" i="6"/>
  <c r="M932" i="6"/>
  <c r="L932" i="6"/>
  <c r="M931" i="6"/>
  <c r="L931" i="6"/>
  <c r="M930" i="6"/>
  <c r="L930" i="6"/>
  <c r="M929" i="6"/>
  <c r="L929" i="6"/>
  <c r="M928" i="6"/>
  <c r="L928" i="6"/>
  <c r="M927" i="6"/>
  <c r="L927" i="6"/>
  <c r="M926" i="6"/>
  <c r="L926" i="6"/>
  <c r="M925" i="6"/>
  <c r="L925" i="6"/>
  <c r="M924" i="6"/>
  <c r="L924" i="6"/>
  <c r="M923" i="6"/>
  <c r="L923" i="6"/>
  <c r="M922" i="6"/>
  <c r="L922" i="6"/>
  <c r="M921" i="6"/>
  <c r="L921" i="6"/>
  <c r="M920" i="6"/>
  <c r="L920" i="6"/>
  <c r="M919" i="6"/>
  <c r="L919" i="6"/>
  <c r="M918" i="6"/>
  <c r="L918" i="6"/>
  <c r="M917" i="6"/>
  <c r="L917" i="6"/>
  <c r="M916" i="6"/>
  <c r="L916" i="6"/>
  <c r="M915" i="6"/>
  <c r="L915" i="6"/>
  <c r="M914" i="6"/>
  <c r="L914" i="6"/>
  <c r="M913" i="6"/>
  <c r="L913" i="6"/>
  <c r="M912" i="6"/>
  <c r="L912" i="6"/>
  <c r="M911" i="6"/>
  <c r="L911" i="6"/>
  <c r="M910" i="6"/>
  <c r="L910" i="6"/>
  <c r="M909" i="6"/>
  <c r="L909" i="6"/>
  <c r="M908" i="6"/>
  <c r="L908" i="6"/>
  <c r="M907" i="6"/>
  <c r="L907" i="6"/>
  <c r="M906" i="6"/>
  <c r="L906" i="6"/>
  <c r="M905" i="6"/>
  <c r="L905" i="6"/>
  <c r="M904" i="6"/>
  <c r="L904" i="6"/>
  <c r="M903" i="6"/>
  <c r="L903" i="6"/>
  <c r="M902" i="6"/>
  <c r="L902" i="6"/>
  <c r="M901" i="6"/>
  <c r="L901" i="6"/>
  <c r="M900" i="6"/>
  <c r="L900" i="6"/>
  <c r="M899" i="6"/>
  <c r="L899" i="6"/>
  <c r="M898" i="6"/>
  <c r="L898" i="6"/>
  <c r="M897" i="6"/>
  <c r="L897" i="6"/>
  <c r="M896" i="6"/>
  <c r="L896" i="6"/>
  <c r="M895" i="6"/>
  <c r="L895" i="6"/>
  <c r="M894" i="6"/>
  <c r="L894" i="6"/>
  <c r="M893" i="6"/>
  <c r="L893" i="6"/>
  <c r="M892" i="6"/>
  <c r="L892" i="6"/>
  <c r="M891" i="6"/>
  <c r="L891" i="6"/>
  <c r="M890" i="6"/>
  <c r="L890" i="6"/>
  <c r="M889" i="6"/>
  <c r="L889" i="6"/>
  <c r="M888" i="6"/>
  <c r="L888" i="6"/>
  <c r="M887" i="6"/>
  <c r="L887" i="6"/>
  <c r="M886" i="6"/>
  <c r="L886" i="6"/>
  <c r="M885" i="6"/>
  <c r="L885" i="6"/>
  <c r="M884" i="6"/>
  <c r="L884" i="6"/>
  <c r="M883" i="6"/>
  <c r="L883" i="6"/>
  <c r="M882" i="6"/>
  <c r="L882" i="6"/>
  <c r="M881" i="6"/>
  <c r="L881" i="6"/>
  <c r="M880" i="6"/>
  <c r="L880" i="6"/>
  <c r="M879" i="6"/>
  <c r="L879" i="6"/>
  <c r="M878" i="6"/>
  <c r="L878" i="6"/>
  <c r="M877" i="6"/>
  <c r="L877" i="6"/>
  <c r="M876" i="6"/>
  <c r="L876" i="6"/>
  <c r="M875" i="6"/>
  <c r="L875" i="6"/>
  <c r="M874" i="6"/>
  <c r="L874" i="6"/>
  <c r="M873" i="6"/>
  <c r="L873" i="6"/>
  <c r="M872" i="6"/>
  <c r="L872" i="6"/>
  <c r="M871" i="6"/>
  <c r="L871" i="6"/>
  <c r="M870" i="6"/>
  <c r="L870" i="6"/>
  <c r="M869" i="6"/>
  <c r="L869" i="6"/>
  <c r="M868" i="6"/>
  <c r="L868" i="6"/>
  <c r="M867" i="6"/>
  <c r="L867" i="6"/>
  <c r="M866" i="6"/>
  <c r="L866" i="6"/>
  <c r="M865" i="6"/>
  <c r="L865" i="6"/>
  <c r="M864" i="6"/>
  <c r="L864" i="6"/>
  <c r="M863" i="6"/>
  <c r="L863" i="6"/>
  <c r="M862" i="6"/>
  <c r="L862" i="6"/>
  <c r="M861" i="6"/>
  <c r="L861" i="6"/>
  <c r="M860" i="6"/>
  <c r="L860" i="6"/>
  <c r="M859" i="6"/>
  <c r="L859" i="6"/>
  <c r="M858" i="6"/>
  <c r="L858" i="6"/>
  <c r="M857" i="6"/>
  <c r="L857" i="6"/>
  <c r="M856" i="6"/>
  <c r="L856" i="6"/>
  <c r="M855" i="6"/>
  <c r="L855" i="6"/>
  <c r="M854" i="6"/>
  <c r="L854" i="6"/>
  <c r="M853" i="6"/>
  <c r="L853" i="6"/>
  <c r="M852" i="6"/>
  <c r="L852" i="6"/>
  <c r="M851" i="6"/>
  <c r="L851" i="6"/>
  <c r="M850" i="6"/>
  <c r="L850" i="6"/>
  <c r="M849" i="6"/>
  <c r="L849" i="6"/>
  <c r="M848" i="6"/>
  <c r="L848" i="6"/>
  <c r="M847" i="6"/>
  <c r="L847" i="6"/>
  <c r="M846" i="6"/>
  <c r="L846" i="6"/>
  <c r="M845" i="6"/>
  <c r="L845" i="6"/>
  <c r="M844" i="6"/>
  <c r="L844" i="6"/>
  <c r="M843" i="6"/>
  <c r="L843" i="6"/>
  <c r="M842" i="6"/>
  <c r="L842" i="6"/>
  <c r="M841" i="6"/>
  <c r="L841" i="6"/>
  <c r="M840" i="6"/>
  <c r="L840" i="6"/>
  <c r="M839" i="6"/>
  <c r="L839" i="6"/>
  <c r="M838" i="6"/>
  <c r="L838" i="6"/>
  <c r="M837" i="6"/>
  <c r="L837" i="6"/>
  <c r="M836" i="6"/>
  <c r="L836" i="6"/>
  <c r="M835" i="6"/>
  <c r="L835" i="6"/>
  <c r="M834" i="6"/>
  <c r="L834" i="6"/>
  <c r="M833" i="6"/>
  <c r="L833" i="6"/>
  <c r="M832" i="6"/>
  <c r="L832" i="6"/>
  <c r="M831" i="6"/>
  <c r="L831" i="6"/>
  <c r="M830" i="6"/>
  <c r="L830" i="6"/>
  <c r="M829" i="6"/>
  <c r="L829" i="6"/>
  <c r="M828" i="6"/>
  <c r="L828" i="6"/>
  <c r="M827" i="6"/>
  <c r="L827" i="6"/>
  <c r="M826" i="6"/>
  <c r="L826" i="6"/>
  <c r="M825" i="6"/>
  <c r="L825" i="6"/>
  <c r="M824" i="6"/>
  <c r="L824" i="6"/>
  <c r="M823" i="6"/>
  <c r="L823" i="6"/>
  <c r="M822" i="6"/>
  <c r="L822" i="6"/>
  <c r="M821" i="6"/>
  <c r="L821" i="6"/>
  <c r="M820" i="6"/>
  <c r="L820" i="6"/>
  <c r="M819" i="6"/>
  <c r="L819" i="6"/>
  <c r="M818" i="6"/>
  <c r="L818" i="6"/>
  <c r="M817" i="6"/>
  <c r="L817" i="6"/>
  <c r="M816" i="6"/>
  <c r="L816" i="6"/>
  <c r="M815" i="6"/>
  <c r="L815" i="6"/>
  <c r="M814" i="6"/>
  <c r="L814" i="6"/>
  <c r="M813" i="6"/>
  <c r="L813" i="6"/>
  <c r="M812" i="6"/>
  <c r="L812" i="6"/>
  <c r="M811" i="6"/>
  <c r="L811" i="6"/>
  <c r="M810" i="6"/>
  <c r="L810" i="6"/>
  <c r="M809" i="6"/>
  <c r="L809" i="6"/>
  <c r="M808" i="6"/>
  <c r="L808" i="6"/>
  <c r="M807" i="6"/>
  <c r="L807" i="6"/>
  <c r="M806" i="6"/>
  <c r="L806" i="6"/>
  <c r="M805" i="6"/>
  <c r="L805" i="6"/>
  <c r="M804" i="6"/>
  <c r="L804" i="6"/>
  <c r="M803" i="6"/>
  <c r="L803" i="6"/>
  <c r="M802" i="6"/>
  <c r="L802" i="6"/>
  <c r="M801" i="6"/>
  <c r="L801" i="6"/>
  <c r="M800" i="6"/>
  <c r="L800" i="6"/>
  <c r="M799" i="6"/>
  <c r="L799" i="6"/>
  <c r="M798" i="6"/>
  <c r="L798" i="6"/>
  <c r="M797" i="6"/>
  <c r="L797" i="6"/>
  <c r="M796" i="6"/>
  <c r="L796" i="6"/>
  <c r="M795" i="6"/>
  <c r="L795" i="6"/>
  <c r="M794" i="6"/>
  <c r="L794" i="6"/>
  <c r="M793" i="6"/>
  <c r="L793" i="6"/>
  <c r="M792" i="6"/>
  <c r="L792" i="6"/>
  <c r="M791" i="6"/>
  <c r="L791" i="6"/>
  <c r="M790" i="6"/>
  <c r="L790" i="6"/>
  <c r="M789" i="6"/>
  <c r="L789" i="6"/>
  <c r="M788" i="6"/>
  <c r="L788" i="6"/>
  <c r="M787" i="6"/>
  <c r="L787" i="6"/>
  <c r="M786" i="6"/>
  <c r="L786" i="6"/>
  <c r="M785" i="6"/>
  <c r="L785" i="6"/>
  <c r="M784" i="6"/>
  <c r="L784" i="6"/>
  <c r="M783" i="6"/>
  <c r="L783" i="6"/>
  <c r="M782" i="6"/>
  <c r="L782" i="6"/>
  <c r="M781" i="6"/>
  <c r="L781" i="6"/>
  <c r="M780" i="6"/>
  <c r="L780" i="6"/>
  <c r="M779" i="6"/>
  <c r="L779" i="6"/>
  <c r="M778" i="6"/>
  <c r="L778" i="6"/>
  <c r="M777" i="6"/>
  <c r="L777" i="6"/>
  <c r="M776" i="6"/>
  <c r="L776" i="6"/>
  <c r="M775" i="6"/>
  <c r="L775" i="6"/>
  <c r="M774" i="6"/>
  <c r="L774" i="6"/>
  <c r="M773" i="6"/>
  <c r="L773" i="6"/>
  <c r="M772" i="6"/>
  <c r="L772" i="6"/>
  <c r="M771" i="6"/>
  <c r="L771" i="6"/>
  <c r="M770" i="6"/>
  <c r="L770" i="6"/>
  <c r="M769" i="6"/>
  <c r="L769" i="6"/>
  <c r="M768" i="6"/>
  <c r="L768" i="6"/>
  <c r="M767" i="6"/>
  <c r="L767" i="6"/>
  <c r="M766" i="6"/>
  <c r="L766" i="6"/>
  <c r="M765" i="6"/>
  <c r="L765" i="6"/>
  <c r="M764" i="6"/>
  <c r="L764" i="6"/>
  <c r="M763" i="6"/>
  <c r="L763" i="6"/>
  <c r="M762" i="6"/>
  <c r="L762" i="6"/>
  <c r="M761" i="6"/>
  <c r="L761" i="6"/>
  <c r="M760" i="6"/>
  <c r="L760" i="6"/>
  <c r="M759" i="6"/>
  <c r="L759" i="6"/>
  <c r="M758" i="6"/>
  <c r="L758" i="6"/>
  <c r="M757" i="6"/>
  <c r="L757" i="6"/>
  <c r="M756" i="6"/>
  <c r="L756" i="6"/>
  <c r="M755" i="6"/>
  <c r="L755" i="6"/>
  <c r="M754" i="6"/>
  <c r="L754" i="6"/>
  <c r="M753" i="6"/>
  <c r="L753" i="6"/>
  <c r="M752" i="6"/>
  <c r="L752" i="6"/>
  <c r="M751" i="6"/>
  <c r="L751" i="6"/>
  <c r="M750" i="6"/>
  <c r="L750" i="6"/>
  <c r="M749" i="6"/>
  <c r="L749" i="6"/>
  <c r="M748" i="6"/>
  <c r="L748" i="6"/>
  <c r="M747" i="6"/>
  <c r="L747" i="6"/>
  <c r="M746" i="6"/>
  <c r="L746" i="6"/>
  <c r="M745" i="6"/>
  <c r="L745" i="6"/>
  <c r="M744" i="6"/>
  <c r="L744" i="6"/>
  <c r="M743" i="6"/>
  <c r="L743" i="6"/>
  <c r="M742" i="6"/>
  <c r="L742" i="6"/>
  <c r="M741" i="6"/>
  <c r="L741" i="6"/>
  <c r="M740" i="6"/>
  <c r="L740" i="6"/>
  <c r="M739" i="6"/>
  <c r="L739" i="6"/>
  <c r="M738" i="6"/>
  <c r="L738" i="6"/>
  <c r="M737" i="6"/>
  <c r="L737" i="6"/>
  <c r="M736" i="6"/>
  <c r="L736" i="6"/>
  <c r="M735" i="6"/>
  <c r="L735" i="6"/>
  <c r="M734" i="6"/>
  <c r="L734" i="6"/>
  <c r="M733" i="6"/>
  <c r="L733" i="6"/>
  <c r="M732" i="6"/>
  <c r="L732" i="6"/>
  <c r="M731" i="6"/>
  <c r="L731" i="6"/>
  <c r="M730" i="6"/>
  <c r="L730" i="6"/>
  <c r="M729" i="6"/>
  <c r="L729" i="6"/>
  <c r="M728" i="6"/>
  <c r="L728" i="6"/>
  <c r="M727" i="6"/>
  <c r="L727" i="6"/>
  <c r="M726" i="6"/>
  <c r="L726" i="6"/>
  <c r="M725" i="6"/>
  <c r="L725" i="6"/>
  <c r="M724" i="6"/>
  <c r="L724" i="6"/>
  <c r="M723" i="6"/>
  <c r="L723" i="6"/>
  <c r="M722" i="6"/>
  <c r="L722" i="6"/>
  <c r="M721" i="6"/>
  <c r="L721" i="6"/>
  <c r="M720" i="6"/>
  <c r="L720" i="6"/>
  <c r="M719" i="6"/>
  <c r="L719" i="6"/>
  <c r="M718" i="6"/>
  <c r="L718" i="6"/>
  <c r="M717" i="6"/>
  <c r="L717" i="6"/>
  <c r="M716" i="6"/>
  <c r="L716" i="6"/>
  <c r="M715" i="6"/>
  <c r="L715" i="6"/>
  <c r="M714" i="6"/>
  <c r="L714" i="6"/>
  <c r="M713" i="6"/>
  <c r="L713" i="6"/>
  <c r="M712" i="6"/>
  <c r="L712" i="6"/>
  <c r="M711" i="6"/>
  <c r="L711" i="6"/>
  <c r="M710" i="6"/>
  <c r="L710" i="6"/>
  <c r="M709" i="6"/>
  <c r="L709" i="6"/>
  <c r="M708" i="6"/>
  <c r="L708" i="6"/>
  <c r="M707" i="6"/>
  <c r="L707" i="6"/>
  <c r="M706" i="6"/>
  <c r="L706" i="6"/>
  <c r="M705" i="6"/>
  <c r="L705" i="6"/>
  <c r="M704" i="6"/>
  <c r="L704" i="6"/>
  <c r="M703" i="6"/>
  <c r="L703" i="6"/>
  <c r="M702" i="6"/>
  <c r="L702" i="6"/>
  <c r="M701" i="6"/>
  <c r="L701" i="6"/>
  <c r="M700" i="6"/>
  <c r="L700" i="6"/>
  <c r="M699" i="6"/>
  <c r="L699" i="6"/>
  <c r="M698" i="6"/>
  <c r="L698" i="6"/>
  <c r="M697" i="6"/>
  <c r="L697" i="6"/>
  <c r="M696" i="6"/>
  <c r="L696" i="6"/>
  <c r="M695" i="6"/>
  <c r="L695" i="6"/>
  <c r="M694" i="6"/>
  <c r="L694" i="6"/>
  <c r="M693" i="6"/>
  <c r="L693" i="6"/>
  <c r="M692" i="6"/>
  <c r="L692" i="6"/>
  <c r="M691" i="6"/>
  <c r="L691" i="6"/>
  <c r="M690" i="6"/>
  <c r="L690" i="6"/>
  <c r="M689" i="6"/>
  <c r="L689" i="6"/>
  <c r="M688" i="6"/>
  <c r="L688" i="6"/>
  <c r="M687" i="6"/>
  <c r="L687" i="6"/>
  <c r="M686" i="6"/>
  <c r="L686" i="6"/>
  <c r="M685" i="6"/>
  <c r="L685" i="6"/>
  <c r="M684" i="6"/>
  <c r="L684" i="6"/>
  <c r="M683" i="6"/>
  <c r="L683" i="6"/>
  <c r="M682" i="6"/>
  <c r="L682" i="6"/>
  <c r="M681" i="6"/>
  <c r="L681" i="6"/>
  <c r="M680" i="6"/>
  <c r="L680" i="6"/>
  <c r="M679" i="6"/>
  <c r="L679" i="6"/>
  <c r="M678" i="6"/>
  <c r="L678" i="6"/>
  <c r="M677" i="6"/>
  <c r="L677" i="6"/>
  <c r="M676" i="6"/>
  <c r="L676" i="6"/>
  <c r="M675" i="6"/>
  <c r="L675" i="6"/>
  <c r="M674" i="6"/>
  <c r="L674" i="6"/>
  <c r="M673" i="6"/>
  <c r="L673" i="6"/>
  <c r="M672" i="6"/>
  <c r="L672" i="6"/>
  <c r="M671" i="6"/>
  <c r="L671" i="6"/>
  <c r="M670" i="6"/>
  <c r="L670" i="6"/>
  <c r="M669" i="6"/>
  <c r="L669" i="6"/>
  <c r="M668" i="6"/>
  <c r="L668" i="6"/>
  <c r="M667" i="6"/>
  <c r="L667" i="6"/>
  <c r="M666" i="6"/>
  <c r="L666" i="6"/>
  <c r="M665" i="6"/>
  <c r="L665" i="6"/>
  <c r="M664" i="6"/>
  <c r="L664" i="6"/>
  <c r="M663" i="6"/>
  <c r="L663" i="6"/>
  <c r="M662" i="6"/>
  <c r="L662" i="6"/>
  <c r="M661" i="6"/>
  <c r="L661" i="6"/>
  <c r="M660" i="6"/>
  <c r="L660" i="6"/>
  <c r="M659" i="6"/>
  <c r="L659" i="6"/>
  <c r="M658" i="6"/>
  <c r="L658" i="6"/>
  <c r="M657" i="6"/>
  <c r="L657" i="6"/>
  <c r="M656" i="6"/>
  <c r="L656" i="6"/>
  <c r="M655" i="6"/>
  <c r="L655" i="6"/>
  <c r="M654" i="6"/>
  <c r="L654" i="6"/>
  <c r="M653" i="6"/>
  <c r="L653" i="6"/>
  <c r="M652" i="6"/>
  <c r="L652" i="6"/>
  <c r="M651" i="6"/>
  <c r="L651" i="6"/>
  <c r="M650" i="6"/>
  <c r="L650" i="6"/>
  <c r="M649" i="6"/>
  <c r="L649" i="6"/>
  <c r="M648" i="6"/>
  <c r="L648" i="6"/>
  <c r="M647" i="6"/>
  <c r="L647" i="6"/>
  <c r="M646" i="6"/>
  <c r="L646" i="6"/>
  <c r="M645" i="6"/>
  <c r="L645" i="6"/>
  <c r="M644" i="6"/>
  <c r="L644" i="6"/>
  <c r="M643" i="6"/>
  <c r="L643" i="6"/>
  <c r="M642" i="6"/>
  <c r="L642" i="6"/>
  <c r="M641" i="6"/>
  <c r="L641" i="6"/>
  <c r="M640" i="6"/>
  <c r="L640" i="6"/>
  <c r="M639" i="6"/>
  <c r="L639" i="6"/>
  <c r="M638" i="6"/>
  <c r="L638" i="6"/>
  <c r="M637" i="6"/>
  <c r="L637" i="6"/>
  <c r="M636" i="6"/>
  <c r="L636" i="6"/>
  <c r="M635" i="6"/>
  <c r="L635" i="6"/>
  <c r="M634" i="6"/>
  <c r="L634" i="6"/>
  <c r="M633" i="6"/>
  <c r="L633" i="6"/>
  <c r="M632" i="6"/>
  <c r="L632" i="6"/>
  <c r="M631" i="6"/>
  <c r="L631" i="6"/>
  <c r="M630" i="6"/>
  <c r="L630" i="6"/>
  <c r="M629" i="6"/>
  <c r="L629" i="6"/>
  <c r="M628" i="6"/>
  <c r="L628" i="6"/>
  <c r="M627" i="6"/>
  <c r="L627" i="6"/>
  <c r="M626" i="6"/>
  <c r="L626" i="6"/>
  <c r="M625" i="6"/>
  <c r="L625" i="6"/>
  <c r="M624" i="6"/>
  <c r="L624" i="6"/>
  <c r="M623" i="6"/>
  <c r="L623" i="6"/>
  <c r="M622" i="6"/>
  <c r="L622" i="6"/>
  <c r="M621" i="6"/>
  <c r="L621" i="6"/>
  <c r="M620" i="6"/>
  <c r="L620" i="6"/>
  <c r="M619" i="6"/>
  <c r="L619" i="6"/>
  <c r="M618" i="6"/>
  <c r="L618" i="6"/>
  <c r="M617" i="6"/>
  <c r="L617" i="6"/>
  <c r="M616" i="6"/>
  <c r="L616" i="6"/>
  <c r="M615" i="6"/>
  <c r="L615" i="6"/>
  <c r="M614" i="6"/>
  <c r="L614" i="6"/>
  <c r="M613" i="6"/>
  <c r="L613" i="6"/>
  <c r="M612" i="6"/>
  <c r="L612" i="6"/>
  <c r="M611" i="6"/>
  <c r="L611" i="6"/>
  <c r="M610" i="6"/>
  <c r="L610" i="6"/>
  <c r="M609" i="6"/>
  <c r="L609" i="6"/>
  <c r="M608" i="6"/>
  <c r="L608" i="6"/>
  <c r="M607" i="6"/>
  <c r="L607" i="6"/>
  <c r="M606" i="6"/>
  <c r="L606" i="6"/>
  <c r="M605" i="6"/>
  <c r="L605" i="6"/>
  <c r="M604" i="6"/>
  <c r="L604" i="6"/>
  <c r="M603" i="6"/>
  <c r="L603" i="6"/>
  <c r="M602" i="6"/>
  <c r="L602" i="6"/>
  <c r="M601" i="6"/>
  <c r="L601" i="6"/>
  <c r="M600" i="6"/>
  <c r="L600" i="6"/>
  <c r="M599" i="6"/>
  <c r="L599" i="6"/>
  <c r="M598" i="6"/>
  <c r="L598" i="6"/>
  <c r="M597" i="6"/>
  <c r="L597" i="6"/>
  <c r="M596" i="6"/>
  <c r="L596" i="6"/>
  <c r="M595" i="6"/>
  <c r="L595" i="6"/>
  <c r="M594" i="6"/>
  <c r="L594" i="6"/>
  <c r="M593" i="6"/>
  <c r="L593" i="6"/>
  <c r="M592" i="6"/>
  <c r="L592" i="6"/>
  <c r="M591" i="6"/>
  <c r="L591" i="6"/>
  <c r="M590" i="6"/>
  <c r="L590" i="6"/>
  <c r="M589" i="6"/>
  <c r="L589" i="6"/>
  <c r="M588" i="6"/>
  <c r="L588" i="6"/>
  <c r="M587" i="6"/>
  <c r="L587" i="6"/>
  <c r="M586" i="6"/>
  <c r="L586" i="6"/>
  <c r="M585" i="6"/>
  <c r="L585" i="6"/>
  <c r="M584" i="6"/>
  <c r="L584" i="6"/>
  <c r="M583" i="6"/>
  <c r="L583" i="6"/>
  <c r="M582" i="6"/>
  <c r="L582" i="6"/>
  <c r="M581" i="6"/>
  <c r="L581" i="6"/>
  <c r="M580" i="6"/>
  <c r="L580" i="6"/>
  <c r="M579" i="6"/>
  <c r="L579" i="6"/>
  <c r="M578" i="6"/>
  <c r="L578" i="6"/>
  <c r="M577" i="6"/>
  <c r="L577" i="6"/>
  <c r="M576" i="6"/>
  <c r="L576" i="6"/>
  <c r="M575" i="6"/>
  <c r="L575" i="6"/>
  <c r="M574" i="6"/>
  <c r="L574" i="6"/>
  <c r="M573" i="6"/>
  <c r="L573" i="6"/>
  <c r="M572" i="6"/>
  <c r="L572" i="6"/>
  <c r="M571" i="6"/>
  <c r="L571" i="6"/>
  <c r="C19" i="5" s="1"/>
  <c r="M570" i="6"/>
  <c r="L570" i="6"/>
  <c r="M569" i="6"/>
  <c r="L569" i="6"/>
  <c r="M568" i="6"/>
  <c r="L568" i="6"/>
  <c r="M567" i="6"/>
  <c r="L567" i="6"/>
  <c r="M566" i="6"/>
  <c r="L566" i="6"/>
  <c r="M565" i="6"/>
  <c r="L565" i="6"/>
  <c r="M564" i="6"/>
  <c r="L564" i="6"/>
  <c r="M563" i="6"/>
  <c r="L563" i="6"/>
  <c r="M562" i="6"/>
  <c r="L562" i="6"/>
  <c r="M561" i="6"/>
  <c r="L561" i="6"/>
  <c r="M560" i="6"/>
  <c r="L560" i="6"/>
  <c r="M559" i="6"/>
  <c r="L559" i="6"/>
  <c r="M558" i="6"/>
  <c r="L558" i="6"/>
  <c r="M557" i="6"/>
  <c r="L557" i="6"/>
  <c r="M556" i="6"/>
  <c r="L556" i="6"/>
  <c r="M555" i="6"/>
  <c r="L555" i="6"/>
  <c r="M554" i="6"/>
  <c r="L554" i="6"/>
  <c r="M553" i="6"/>
  <c r="L553" i="6"/>
  <c r="M552" i="6"/>
  <c r="L552" i="6"/>
  <c r="M551" i="6"/>
  <c r="L551" i="6"/>
  <c r="M550" i="6"/>
  <c r="L550" i="6"/>
  <c r="M549" i="6"/>
  <c r="L549" i="6"/>
  <c r="M548" i="6"/>
  <c r="L548" i="6"/>
  <c r="M547" i="6"/>
  <c r="L547" i="6"/>
  <c r="M546" i="6"/>
  <c r="L546" i="6"/>
  <c r="M545" i="6"/>
  <c r="L545" i="6"/>
  <c r="M544" i="6"/>
  <c r="L544" i="6"/>
  <c r="M543" i="6"/>
  <c r="L543" i="6"/>
  <c r="M542" i="6"/>
  <c r="L542" i="6"/>
  <c r="M541" i="6"/>
  <c r="L541" i="6"/>
  <c r="M540" i="6"/>
  <c r="L540" i="6"/>
  <c r="M539" i="6"/>
  <c r="L539" i="6"/>
  <c r="M538" i="6"/>
  <c r="L538" i="6"/>
  <c r="M537" i="6"/>
  <c r="L537" i="6"/>
  <c r="M536" i="6"/>
  <c r="L536" i="6"/>
  <c r="M535" i="6"/>
  <c r="L535" i="6"/>
  <c r="M534" i="6"/>
  <c r="L534" i="6"/>
  <c r="M533" i="6"/>
  <c r="L533" i="6"/>
  <c r="M532" i="6"/>
  <c r="L532" i="6"/>
  <c r="M531" i="6"/>
  <c r="L531" i="6"/>
  <c r="M530" i="6"/>
  <c r="L530" i="6"/>
  <c r="M529" i="6"/>
  <c r="L529" i="6"/>
  <c r="M528" i="6"/>
  <c r="L528" i="6"/>
  <c r="M527" i="6"/>
  <c r="L527" i="6"/>
  <c r="M526" i="6"/>
  <c r="L526" i="6"/>
  <c r="M525" i="6"/>
  <c r="L525" i="6"/>
  <c r="M524" i="6"/>
  <c r="L524" i="6"/>
  <c r="M523" i="6"/>
  <c r="L523" i="6"/>
  <c r="M522" i="6"/>
  <c r="L522" i="6"/>
  <c r="M521" i="6"/>
  <c r="L521" i="6"/>
  <c r="M520" i="6"/>
  <c r="L520" i="6"/>
  <c r="M519" i="6"/>
  <c r="L519" i="6"/>
  <c r="M518" i="6"/>
  <c r="L518" i="6"/>
  <c r="M517" i="6"/>
  <c r="L517" i="6"/>
  <c r="M516" i="6"/>
  <c r="L516" i="6"/>
  <c r="M515" i="6"/>
  <c r="L515" i="6"/>
  <c r="M514" i="6"/>
  <c r="L514" i="6"/>
  <c r="M513" i="6"/>
  <c r="L513" i="6"/>
  <c r="M512" i="6"/>
  <c r="L512" i="6"/>
  <c r="M511" i="6"/>
  <c r="L511" i="6"/>
  <c r="M510" i="6"/>
  <c r="L510" i="6"/>
  <c r="M509" i="6"/>
  <c r="L509" i="6"/>
  <c r="M508" i="6"/>
  <c r="L508" i="6"/>
  <c r="M507" i="6"/>
  <c r="L507" i="6"/>
  <c r="M506" i="6"/>
  <c r="L506" i="6"/>
  <c r="M505" i="6"/>
  <c r="L505" i="6"/>
  <c r="M504" i="6"/>
  <c r="L504" i="6"/>
  <c r="M503" i="6"/>
  <c r="L503" i="6"/>
  <c r="M502" i="6"/>
  <c r="L502" i="6"/>
  <c r="M501" i="6"/>
  <c r="L501" i="6"/>
  <c r="M500" i="6"/>
  <c r="L500" i="6"/>
  <c r="M499" i="6"/>
  <c r="L499" i="6"/>
  <c r="M498" i="6"/>
  <c r="L498" i="6"/>
  <c r="M497" i="6"/>
  <c r="L497" i="6"/>
  <c r="M496" i="6"/>
  <c r="L496" i="6"/>
  <c r="M495" i="6"/>
  <c r="L495" i="6"/>
  <c r="M494" i="6"/>
  <c r="L494" i="6"/>
  <c r="M493" i="6"/>
  <c r="L493" i="6"/>
  <c r="M492" i="6"/>
  <c r="L492" i="6"/>
  <c r="M491" i="6"/>
  <c r="L491" i="6"/>
  <c r="M490" i="6"/>
  <c r="L490" i="6"/>
  <c r="M489" i="6"/>
  <c r="L489" i="6"/>
  <c r="M488" i="6"/>
  <c r="L488" i="6"/>
  <c r="M487" i="6"/>
  <c r="L487" i="6"/>
  <c r="M486" i="6"/>
  <c r="L486" i="6"/>
  <c r="M485" i="6"/>
  <c r="L485" i="6"/>
  <c r="M484" i="6"/>
  <c r="L484" i="6"/>
  <c r="M483" i="6"/>
  <c r="L483" i="6"/>
  <c r="M482" i="6"/>
  <c r="L482" i="6"/>
  <c r="M481" i="6"/>
  <c r="L481" i="6"/>
  <c r="M480" i="6"/>
  <c r="L480" i="6"/>
  <c r="M479" i="6"/>
  <c r="L479" i="6"/>
  <c r="M478" i="6"/>
  <c r="L478" i="6"/>
  <c r="M477" i="6"/>
  <c r="L477" i="6"/>
  <c r="M476" i="6"/>
  <c r="L476" i="6"/>
  <c r="M475" i="6"/>
  <c r="L475" i="6"/>
  <c r="M474" i="6"/>
  <c r="L474" i="6"/>
  <c r="M473" i="6"/>
  <c r="L473" i="6"/>
  <c r="M472" i="6"/>
  <c r="L472" i="6"/>
  <c r="M471" i="6"/>
  <c r="L471" i="6"/>
  <c r="M470" i="6"/>
  <c r="L470" i="6"/>
  <c r="M469" i="6"/>
  <c r="L469" i="6"/>
  <c r="M468" i="6"/>
  <c r="L468" i="6"/>
  <c r="M467" i="6"/>
  <c r="L467" i="6"/>
  <c r="M466" i="6"/>
  <c r="L466" i="6"/>
  <c r="M465" i="6"/>
  <c r="L465" i="6"/>
  <c r="M464" i="6"/>
  <c r="L464" i="6"/>
  <c r="M463" i="6"/>
  <c r="L463" i="6"/>
  <c r="M462" i="6"/>
  <c r="L462" i="6"/>
  <c r="M461" i="6"/>
  <c r="L461" i="6"/>
  <c r="M460" i="6"/>
  <c r="L460" i="6"/>
  <c r="M459" i="6"/>
  <c r="L459" i="6"/>
  <c r="M458" i="6"/>
  <c r="L458" i="6"/>
  <c r="M457" i="6"/>
  <c r="L457" i="6"/>
  <c r="M456" i="6"/>
  <c r="L456" i="6"/>
  <c r="M455" i="6"/>
  <c r="L455" i="6"/>
  <c r="M454" i="6"/>
  <c r="L454" i="6"/>
  <c r="M453" i="6"/>
  <c r="L453" i="6"/>
  <c r="M452" i="6"/>
  <c r="L452" i="6"/>
  <c r="M451" i="6"/>
  <c r="L451" i="6"/>
  <c r="M450" i="6"/>
  <c r="L450" i="6"/>
  <c r="M449" i="6"/>
  <c r="L449" i="6"/>
  <c r="M448" i="6"/>
  <c r="L448" i="6"/>
  <c r="M447" i="6"/>
  <c r="L447" i="6"/>
  <c r="M446" i="6"/>
  <c r="L446" i="6"/>
  <c r="M445" i="6"/>
  <c r="L445" i="6"/>
  <c r="M444" i="6"/>
  <c r="L444" i="6"/>
  <c r="M443" i="6"/>
  <c r="L443" i="6"/>
  <c r="M442" i="6"/>
  <c r="L442" i="6"/>
  <c r="M441" i="6"/>
  <c r="L441" i="6"/>
  <c r="M440" i="6"/>
  <c r="L440" i="6"/>
  <c r="M439" i="6"/>
  <c r="L439" i="6"/>
  <c r="M438" i="6"/>
  <c r="L438" i="6"/>
  <c r="M437" i="6"/>
  <c r="L437" i="6"/>
  <c r="M436" i="6"/>
  <c r="L436" i="6"/>
  <c r="M435" i="6"/>
  <c r="L435" i="6"/>
  <c r="M434" i="6"/>
  <c r="L434" i="6"/>
  <c r="M433" i="6"/>
  <c r="L433" i="6"/>
  <c r="M432" i="6"/>
  <c r="L432" i="6"/>
  <c r="M431" i="6"/>
  <c r="L431" i="6"/>
  <c r="M430" i="6"/>
  <c r="L430" i="6"/>
  <c r="M429" i="6"/>
  <c r="L429" i="6"/>
  <c r="M428" i="6"/>
  <c r="L428" i="6"/>
  <c r="M427" i="6"/>
  <c r="L427" i="6"/>
  <c r="M426" i="6"/>
  <c r="L426" i="6"/>
  <c r="M425" i="6"/>
  <c r="L425" i="6"/>
  <c r="M424" i="6"/>
  <c r="L424" i="6"/>
  <c r="M423" i="6"/>
  <c r="L423" i="6"/>
  <c r="M422" i="6"/>
  <c r="L422" i="6"/>
  <c r="M421" i="6"/>
  <c r="L421" i="6"/>
  <c r="M420" i="6"/>
  <c r="L420" i="6"/>
  <c r="M419" i="6"/>
  <c r="L419" i="6"/>
  <c r="M418" i="6"/>
  <c r="L418" i="6"/>
  <c r="M417" i="6"/>
  <c r="L417" i="6"/>
  <c r="M416" i="6"/>
  <c r="L416" i="6"/>
  <c r="M415" i="6"/>
  <c r="L415" i="6"/>
  <c r="M414" i="6"/>
  <c r="L414" i="6"/>
  <c r="M413" i="6"/>
  <c r="L413" i="6"/>
  <c r="M412" i="6"/>
  <c r="L412" i="6"/>
  <c r="M411" i="6"/>
  <c r="L411" i="6"/>
  <c r="M410" i="6"/>
  <c r="L410" i="6"/>
  <c r="M409" i="6"/>
  <c r="L409" i="6"/>
  <c r="M408" i="6"/>
  <c r="L408" i="6"/>
  <c r="M407" i="6"/>
  <c r="L407" i="6"/>
  <c r="M406" i="6"/>
  <c r="L406" i="6"/>
  <c r="M405" i="6"/>
  <c r="L405" i="6"/>
  <c r="M404" i="6"/>
  <c r="L404" i="6"/>
  <c r="M403" i="6"/>
  <c r="L403" i="6"/>
  <c r="M402" i="6"/>
  <c r="L402" i="6"/>
  <c r="M401" i="6"/>
  <c r="L401" i="6"/>
  <c r="M400" i="6"/>
  <c r="L400" i="6"/>
  <c r="M399" i="6"/>
  <c r="L399" i="6"/>
  <c r="M398" i="6"/>
  <c r="L398" i="6"/>
  <c r="M397" i="6"/>
  <c r="L397" i="6"/>
  <c r="M396" i="6"/>
  <c r="L396" i="6"/>
  <c r="M395" i="6"/>
  <c r="L395" i="6"/>
  <c r="M394" i="6"/>
  <c r="L394" i="6"/>
  <c r="M393" i="6"/>
  <c r="L393" i="6"/>
  <c r="M392" i="6"/>
  <c r="L392" i="6"/>
  <c r="M391" i="6"/>
  <c r="L391" i="6"/>
  <c r="M390" i="6"/>
  <c r="L390" i="6"/>
  <c r="M389" i="6"/>
  <c r="L389" i="6"/>
  <c r="M388" i="6"/>
  <c r="L388" i="6"/>
  <c r="M387" i="6"/>
  <c r="L387" i="6"/>
  <c r="M386" i="6"/>
  <c r="L386" i="6"/>
  <c r="M385" i="6"/>
  <c r="L385" i="6"/>
  <c r="M384" i="6"/>
  <c r="L384" i="6"/>
  <c r="M383" i="6"/>
  <c r="L383" i="6"/>
  <c r="M382" i="6"/>
  <c r="L382" i="6"/>
  <c r="M381" i="6"/>
  <c r="L381" i="6"/>
  <c r="M380" i="6"/>
  <c r="L380" i="6"/>
  <c r="M379" i="6"/>
  <c r="L379" i="6"/>
  <c r="M378" i="6"/>
  <c r="L378" i="6"/>
  <c r="M377" i="6"/>
  <c r="L377" i="6"/>
  <c r="M376" i="6"/>
  <c r="L376" i="6"/>
  <c r="M375" i="6"/>
  <c r="L375" i="6"/>
  <c r="M374" i="6"/>
  <c r="L374" i="6"/>
  <c r="M373" i="6"/>
  <c r="L373" i="6"/>
  <c r="M372" i="6"/>
  <c r="L372" i="6"/>
  <c r="M371" i="6"/>
  <c r="L371" i="6"/>
  <c r="M370" i="6"/>
  <c r="L370" i="6"/>
  <c r="M369" i="6"/>
  <c r="L369" i="6"/>
  <c r="M368" i="6"/>
  <c r="L368" i="6"/>
  <c r="M367" i="6"/>
  <c r="L367" i="6"/>
  <c r="M366" i="6"/>
  <c r="L366" i="6"/>
  <c r="M365" i="6"/>
  <c r="L365" i="6"/>
  <c r="M364" i="6"/>
  <c r="L364" i="6"/>
  <c r="M363" i="6"/>
  <c r="L363" i="6"/>
  <c r="M362" i="6"/>
  <c r="L362" i="6"/>
  <c r="M361" i="6"/>
  <c r="L361" i="6"/>
  <c r="M360" i="6"/>
  <c r="L360" i="6"/>
  <c r="M359" i="6"/>
  <c r="L359" i="6"/>
  <c r="M358" i="6"/>
  <c r="L358" i="6"/>
  <c r="M357" i="6"/>
  <c r="L357" i="6"/>
  <c r="M356" i="6"/>
  <c r="L356" i="6"/>
  <c r="M355" i="6"/>
  <c r="L355" i="6"/>
  <c r="M354" i="6"/>
  <c r="L354" i="6"/>
  <c r="M353" i="6"/>
  <c r="L353" i="6"/>
  <c r="M352" i="6"/>
  <c r="L352" i="6"/>
  <c r="M351" i="6"/>
  <c r="L351" i="6"/>
  <c r="M350" i="6"/>
  <c r="L350" i="6"/>
  <c r="M349" i="6"/>
  <c r="L349" i="6"/>
  <c r="M348" i="6"/>
  <c r="L348" i="6"/>
  <c r="M347" i="6"/>
  <c r="L347" i="6"/>
  <c r="M346" i="6"/>
  <c r="L346" i="6"/>
  <c r="M345" i="6"/>
  <c r="L345" i="6"/>
  <c r="M344" i="6"/>
  <c r="L344" i="6"/>
  <c r="M343" i="6"/>
  <c r="L343" i="6"/>
  <c r="M342" i="6"/>
  <c r="L342" i="6"/>
  <c r="M341" i="6"/>
  <c r="L341" i="6"/>
  <c r="M340" i="6"/>
  <c r="L340" i="6"/>
  <c r="M339" i="6"/>
  <c r="L339" i="6"/>
  <c r="M338" i="6"/>
  <c r="L338" i="6"/>
  <c r="M337" i="6"/>
  <c r="L337" i="6"/>
  <c r="M336" i="6"/>
  <c r="L336" i="6"/>
  <c r="M335" i="6"/>
  <c r="L335" i="6"/>
  <c r="M334" i="6"/>
  <c r="L334" i="6"/>
  <c r="M333" i="6"/>
  <c r="L333" i="6"/>
  <c r="M332" i="6"/>
  <c r="L332" i="6"/>
  <c r="M331" i="6"/>
  <c r="L331" i="6"/>
  <c r="M330" i="6"/>
  <c r="L330" i="6"/>
  <c r="M329" i="6"/>
  <c r="L329" i="6"/>
  <c r="M328" i="6"/>
  <c r="L328" i="6"/>
  <c r="M327" i="6"/>
  <c r="L327" i="6"/>
  <c r="M326" i="6"/>
  <c r="L326" i="6"/>
  <c r="M325" i="6"/>
  <c r="L325" i="6"/>
  <c r="M324" i="6"/>
  <c r="L324" i="6"/>
  <c r="M323" i="6"/>
  <c r="L323" i="6"/>
  <c r="M322" i="6"/>
  <c r="L322" i="6"/>
  <c r="M321" i="6"/>
  <c r="L321" i="6"/>
  <c r="M320" i="6"/>
  <c r="L320" i="6"/>
  <c r="M319" i="6"/>
  <c r="L319" i="6"/>
  <c r="M318" i="6"/>
  <c r="L318" i="6"/>
  <c r="M317" i="6"/>
  <c r="L317" i="6"/>
  <c r="M316" i="6"/>
  <c r="L316" i="6"/>
  <c r="M315" i="6"/>
  <c r="L315" i="6"/>
  <c r="M314" i="6"/>
  <c r="L314" i="6"/>
  <c r="M313" i="6"/>
  <c r="L313" i="6"/>
  <c r="M312" i="6"/>
  <c r="L312" i="6"/>
  <c r="M311" i="6"/>
  <c r="L311" i="6"/>
  <c r="M310" i="6"/>
  <c r="L310" i="6"/>
  <c r="M309" i="6"/>
  <c r="L309" i="6"/>
  <c r="M308" i="6"/>
  <c r="L308" i="6"/>
  <c r="M307" i="6"/>
  <c r="L307" i="6"/>
  <c r="M306" i="6"/>
  <c r="L306" i="6"/>
  <c r="M305" i="6"/>
  <c r="L305" i="6"/>
  <c r="M304" i="6"/>
  <c r="L304" i="6"/>
  <c r="M303" i="6"/>
  <c r="L303" i="6"/>
  <c r="M302" i="6"/>
  <c r="L302" i="6"/>
  <c r="M301" i="6"/>
  <c r="L301" i="6"/>
  <c r="M300" i="6"/>
  <c r="L300" i="6"/>
  <c r="M299" i="6"/>
  <c r="L299" i="6"/>
  <c r="M298" i="6"/>
  <c r="L298" i="6"/>
  <c r="M297" i="6"/>
  <c r="L297" i="6"/>
  <c r="M296" i="6"/>
  <c r="L296" i="6"/>
  <c r="M295" i="6"/>
  <c r="L295" i="6"/>
  <c r="M294" i="6"/>
  <c r="L294" i="6"/>
  <c r="M293" i="6"/>
  <c r="L293" i="6"/>
  <c r="M292" i="6"/>
  <c r="L292" i="6"/>
  <c r="M291" i="6"/>
  <c r="L291" i="6"/>
  <c r="M290" i="6"/>
  <c r="L290" i="6"/>
  <c r="M289" i="6"/>
  <c r="L289" i="6"/>
  <c r="M288" i="6"/>
  <c r="L288" i="6"/>
  <c r="M287" i="6"/>
  <c r="L287" i="6"/>
  <c r="M286" i="6"/>
  <c r="L286" i="6"/>
  <c r="M285" i="6"/>
  <c r="L285" i="6"/>
  <c r="M284" i="6"/>
  <c r="L284" i="6"/>
  <c r="M283" i="6"/>
  <c r="L283" i="6"/>
  <c r="M282" i="6"/>
  <c r="L282" i="6"/>
  <c r="M281" i="6"/>
  <c r="L281" i="6"/>
  <c r="M280" i="6"/>
  <c r="L280" i="6"/>
  <c r="M279" i="6"/>
  <c r="L279" i="6"/>
  <c r="M278" i="6"/>
  <c r="L278" i="6"/>
  <c r="M277" i="6"/>
  <c r="L277" i="6"/>
  <c r="M276" i="6"/>
  <c r="L276" i="6"/>
  <c r="M275" i="6"/>
  <c r="L275" i="6"/>
  <c r="M274" i="6"/>
  <c r="L274" i="6"/>
  <c r="M273" i="6"/>
  <c r="L273" i="6"/>
  <c r="M272" i="6"/>
  <c r="L272" i="6"/>
  <c r="M271" i="6"/>
  <c r="L271" i="6"/>
  <c r="M270" i="6"/>
  <c r="L270" i="6"/>
  <c r="M269" i="6"/>
  <c r="L269" i="6"/>
  <c r="M268" i="6"/>
  <c r="L268" i="6"/>
  <c r="M267" i="6"/>
  <c r="L267" i="6"/>
  <c r="M266" i="6"/>
  <c r="L266" i="6"/>
  <c r="M265" i="6"/>
  <c r="L265" i="6"/>
  <c r="M264" i="6"/>
  <c r="L264" i="6"/>
  <c r="M263" i="6"/>
  <c r="L263" i="6"/>
  <c r="M262" i="6"/>
  <c r="L262" i="6"/>
  <c r="M261" i="6"/>
  <c r="L261" i="6"/>
  <c r="M260" i="6"/>
  <c r="L260" i="6"/>
  <c r="M259" i="6"/>
  <c r="L259" i="6"/>
  <c r="M258" i="6"/>
  <c r="L258" i="6"/>
  <c r="M257" i="6"/>
  <c r="L257" i="6"/>
  <c r="M256" i="6"/>
  <c r="L256" i="6"/>
  <c r="M255" i="6"/>
  <c r="L255" i="6"/>
  <c r="M254" i="6"/>
  <c r="L254" i="6"/>
  <c r="M253" i="6"/>
  <c r="L253" i="6"/>
  <c r="M252" i="6"/>
  <c r="L252" i="6"/>
  <c r="M251" i="6"/>
  <c r="L251" i="6"/>
  <c r="M250" i="6"/>
  <c r="L250" i="6"/>
  <c r="M249" i="6"/>
  <c r="L249" i="6"/>
  <c r="M248" i="6"/>
  <c r="L248" i="6"/>
  <c r="M247" i="6"/>
  <c r="L247" i="6"/>
  <c r="M246" i="6"/>
  <c r="L246" i="6"/>
  <c r="M245" i="6"/>
  <c r="L245" i="6"/>
  <c r="M244" i="6"/>
  <c r="L244" i="6"/>
  <c r="M243" i="6"/>
  <c r="L243" i="6"/>
  <c r="M242" i="6"/>
  <c r="L242" i="6"/>
  <c r="M241" i="6"/>
  <c r="L241" i="6"/>
  <c r="M240" i="6"/>
  <c r="L240" i="6"/>
  <c r="M239" i="6"/>
  <c r="L239" i="6"/>
  <c r="M238" i="6"/>
  <c r="L238" i="6"/>
  <c r="M237" i="6"/>
  <c r="L237" i="6"/>
  <c r="M236" i="6"/>
  <c r="L236" i="6"/>
  <c r="M235" i="6"/>
  <c r="L235" i="6"/>
  <c r="M234" i="6"/>
  <c r="L234" i="6"/>
  <c r="M233" i="6"/>
  <c r="L233" i="6"/>
  <c r="M232" i="6"/>
  <c r="L232" i="6"/>
  <c r="M231" i="6"/>
  <c r="L231" i="6"/>
  <c r="M230" i="6"/>
  <c r="L230" i="6"/>
  <c r="M229" i="6"/>
  <c r="L229" i="6"/>
  <c r="M228" i="6"/>
  <c r="L228" i="6"/>
  <c r="M227" i="6"/>
  <c r="L227" i="6"/>
  <c r="M226" i="6"/>
  <c r="L226" i="6"/>
  <c r="M225" i="6"/>
  <c r="L225" i="6"/>
  <c r="M224" i="6"/>
  <c r="L224" i="6"/>
  <c r="M223" i="6"/>
  <c r="L223" i="6"/>
  <c r="M222" i="6"/>
  <c r="L222" i="6"/>
  <c r="M221" i="6"/>
  <c r="L221" i="6"/>
  <c r="M220" i="6"/>
  <c r="L220" i="6"/>
  <c r="M219" i="6"/>
  <c r="L219" i="6"/>
  <c r="M218" i="6"/>
  <c r="L218" i="6"/>
  <c r="M217" i="6"/>
  <c r="L217" i="6"/>
  <c r="M216" i="6"/>
  <c r="L216" i="6"/>
  <c r="M215" i="6"/>
  <c r="L215" i="6"/>
  <c r="M214" i="6"/>
  <c r="L214" i="6"/>
  <c r="M213" i="6"/>
  <c r="L213" i="6"/>
  <c r="M212" i="6"/>
  <c r="L212" i="6"/>
  <c r="M211" i="6"/>
  <c r="L211" i="6"/>
  <c r="M210" i="6"/>
  <c r="L210" i="6"/>
  <c r="M209" i="6"/>
  <c r="L209" i="6"/>
  <c r="M208" i="6"/>
  <c r="L208" i="6"/>
  <c r="M207" i="6"/>
  <c r="L207" i="6"/>
  <c r="M206" i="6"/>
  <c r="L206" i="6"/>
  <c r="M205" i="6"/>
  <c r="L205" i="6"/>
  <c r="M204" i="6"/>
  <c r="L204" i="6"/>
  <c r="M203" i="6"/>
  <c r="L203" i="6"/>
  <c r="M202" i="6"/>
  <c r="L202" i="6"/>
  <c r="M201" i="6"/>
  <c r="L201" i="6"/>
  <c r="M200" i="6"/>
  <c r="L200" i="6"/>
  <c r="M199" i="6"/>
  <c r="L199" i="6"/>
  <c r="M198" i="6"/>
  <c r="L198" i="6"/>
  <c r="M197" i="6"/>
  <c r="L197" i="6"/>
  <c r="M196" i="6"/>
  <c r="L196" i="6"/>
  <c r="M195" i="6"/>
  <c r="L195" i="6"/>
  <c r="M194" i="6"/>
  <c r="L194" i="6"/>
  <c r="M193" i="6"/>
  <c r="L193" i="6"/>
  <c r="M192" i="6"/>
  <c r="L192" i="6"/>
  <c r="M191" i="6"/>
  <c r="L191" i="6"/>
  <c r="M190" i="6"/>
  <c r="L190" i="6"/>
  <c r="M189" i="6"/>
  <c r="L189" i="6"/>
  <c r="M188" i="6"/>
  <c r="L188" i="6"/>
  <c r="M187" i="6"/>
  <c r="L187" i="6"/>
  <c r="M186" i="6"/>
  <c r="L186" i="6"/>
  <c r="M185" i="6"/>
  <c r="L185" i="6"/>
  <c r="M184" i="6"/>
  <c r="L184" i="6"/>
  <c r="M183" i="6"/>
  <c r="L183" i="6"/>
  <c r="M182" i="6"/>
  <c r="L182" i="6"/>
  <c r="M181" i="6"/>
  <c r="L181" i="6"/>
  <c r="M180" i="6"/>
  <c r="L180" i="6"/>
  <c r="M179" i="6"/>
  <c r="L179" i="6"/>
  <c r="M178" i="6"/>
  <c r="L178" i="6"/>
  <c r="M177" i="6"/>
  <c r="L177" i="6"/>
  <c r="M176" i="6"/>
  <c r="L176" i="6"/>
  <c r="M175" i="6"/>
  <c r="L175" i="6"/>
  <c r="M174" i="6"/>
  <c r="L174" i="6"/>
  <c r="M173" i="6"/>
  <c r="L173" i="6"/>
  <c r="M172" i="6"/>
  <c r="L172" i="6"/>
  <c r="M171" i="6"/>
  <c r="L171" i="6"/>
  <c r="M170" i="6"/>
  <c r="L170" i="6"/>
  <c r="M169" i="6"/>
  <c r="L169" i="6"/>
  <c r="M168" i="6"/>
  <c r="L168" i="6"/>
  <c r="M167" i="6"/>
  <c r="L167" i="6"/>
  <c r="M166" i="6"/>
  <c r="L166" i="6"/>
  <c r="M165" i="6"/>
  <c r="L165" i="6"/>
  <c r="M164" i="6"/>
  <c r="L164" i="6"/>
  <c r="M163" i="6"/>
  <c r="L163" i="6"/>
  <c r="M162" i="6"/>
  <c r="L162" i="6"/>
  <c r="M161" i="6"/>
  <c r="L161" i="6"/>
  <c r="M160" i="6"/>
  <c r="L160" i="6"/>
  <c r="M159" i="6"/>
  <c r="L159" i="6"/>
  <c r="M158" i="6"/>
  <c r="L158" i="6"/>
  <c r="M157" i="6"/>
  <c r="L157" i="6"/>
  <c r="M156" i="6"/>
  <c r="L156" i="6"/>
  <c r="M155" i="6"/>
  <c r="L155" i="6"/>
  <c r="M154" i="6"/>
  <c r="L154" i="6"/>
  <c r="M153" i="6"/>
  <c r="L153" i="6"/>
  <c r="M152" i="6"/>
  <c r="L152" i="6"/>
  <c r="M151" i="6"/>
  <c r="L151" i="6"/>
  <c r="M150" i="6"/>
  <c r="L150" i="6"/>
  <c r="M149" i="6"/>
  <c r="L149" i="6"/>
  <c r="M148" i="6"/>
  <c r="L148" i="6"/>
  <c r="M147" i="6"/>
  <c r="L147" i="6"/>
  <c r="M146" i="6"/>
  <c r="L146" i="6"/>
  <c r="M145" i="6"/>
  <c r="L145" i="6"/>
  <c r="M144" i="6"/>
  <c r="L144" i="6"/>
  <c r="M143" i="6"/>
  <c r="L143" i="6"/>
  <c r="M142" i="6"/>
  <c r="L142" i="6"/>
  <c r="M141" i="6"/>
  <c r="L141" i="6"/>
  <c r="M140" i="6"/>
  <c r="L140" i="6"/>
  <c r="M139" i="6"/>
  <c r="L139" i="6"/>
  <c r="M138" i="6"/>
  <c r="L138" i="6"/>
  <c r="M137" i="6"/>
  <c r="L137" i="6"/>
  <c r="M136" i="6"/>
  <c r="L136" i="6"/>
  <c r="M135" i="6"/>
  <c r="L135" i="6"/>
  <c r="M134" i="6"/>
  <c r="L134" i="6"/>
  <c r="M133" i="6"/>
  <c r="L133" i="6"/>
  <c r="M132" i="6"/>
  <c r="L132" i="6"/>
  <c r="M131" i="6"/>
  <c r="L131" i="6"/>
  <c r="M130" i="6"/>
  <c r="L130" i="6"/>
  <c r="M129" i="6"/>
  <c r="L129" i="6"/>
  <c r="M128" i="6"/>
  <c r="L128" i="6"/>
  <c r="M127" i="6"/>
  <c r="L127" i="6"/>
  <c r="M126" i="6"/>
  <c r="L126" i="6"/>
  <c r="M125" i="6"/>
  <c r="L125" i="6"/>
  <c r="M124" i="6"/>
  <c r="L124" i="6"/>
  <c r="M123" i="6"/>
  <c r="L123" i="6"/>
  <c r="M122" i="6"/>
  <c r="L122" i="6"/>
  <c r="M121" i="6"/>
  <c r="L121" i="6"/>
  <c r="M120" i="6"/>
  <c r="L120" i="6"/>
  <c r="M119" i="6"/>
  <c r="L119" i="6"/>
  <c r="M118" i="6"/>
  <c r="L118" i="6"/>
  <c r="M117" i="6"/>
  <c r="L117" i="6"/>
  <c r="M116" i="6"/>
  <c r="L116" i="6"/>
  <c r="M115" i="6"/>
  <c r="L115" i="6"/>
  <c r="M114" i="6"/>
  <c r="L114" i="6"/>
  <c r="M113" i="6"/>
  <c r="L113" i="6"/>
  <c r="M112" i="6"/>
  <c r="L112" i="6"/>
  <c r="M111" i="6"/>
  <c r="L111" i="6"/>
  <c r="M110" i="6"/>
  <c r="L110" i="6"/>
  <c r="M109" i="6"/>
  <c r="L109" i="6"/>
  <c r="M108" i="6"/>
  <c r="L108" i="6"/>
  <c r="M107" i="6"/>
  <c r="L107" i="6"/>
  <c r="M106" i="6"/>
  <c r="L106" i="6"/>
  <c r="M105" i="6"/>
  <c r="L105" i="6"/>
  <c r="M104" i="6"/>
  <c r="L104" i="6"/>
  <c r="M103" i="6"/>
  <c r="L103" i="6"/>
  <c r="M102" i="6"/>
  <c r="L102" i="6"/>
  <c r="M101" i="6"/>
  <c r="L101" i="6"/>
  <c r="M100" i="6"/>
  <c r="L100" i="6"/>
  <c r="M99" i="6"/>
  <c r="L99" i="6"/>
  <c r="M98" i="6"/>
  <c r="L98" i="6"/>
  <c r="M97" i="6"/>
  <c r="L97" i="6"/>
  <c r="M96" i="6"/>
  <c r="L96" i="6"/>
  <c r="M95" i="6"/>
  <c r="L95" i="6"/>
  <c r="M94" i="6"/>
  <c r="L94" i="6"/>
  <c r="M93" i="6"/>
  <c r="L93" i="6"/>
  <c r="M92" i="6"/>
  <c r="L92" i="6"/>
  <c r="M91" i="6"/>
  <c r="L91" i="6"/>
  <c r="M90" i="6"/>
  <c r="L90" i="6"/>
  <c r="M89" i="6"/>
  <c r="L89" i="6"/>
  <c r="M88" i="6"/>
  <c r="L88" i="6"/>
  <c r="M87" i="6"/>
  <c r="L87" i="6"/>
  <c r="M86" i="6"/>
  <c r="L86" i="6"/>
  <c r="M85" i="6"/>
  <c r="L85" i="6"/>
  <c r="M84" i="6"/>
  <c r="L84" i="6"/>
  <c r="M83" i="6"/>
  <c r="L83" i="6"/>
  <c r="M82" i="6"/>
  <c r="L82" i="6"/>
  <c r="M81" i="6"/>
  <c r="L81" i="6"/>
  <c r="M80" i="6"/>
  <c r="L80" i="6"/>
  <c r="M79" i="6"/>
  <c r="L79" i="6"/>
  <c r="M78" i="6"/>
  <c r="L78" i="6"/>
  <c r="M77" i="6"/>
  <c r="L77" i="6"/>
  <c r="M76" i="6"/>
  <c r="L76" i="6"/>
  <c r="M75" i="6"/>
  <c r="L75" i="6"/>
  <c r="M74" i="6"/>
  <c r="L74" i="6"/>
  <c r="M73" i="6"/>
  <c r="L73" i="6"/>
  <c r="M72" i="6"/>
  <c r="L72" i="6"/>
  <c r="M71" i="6"/>
  <c r="L71" i="6"/>
  <c r="M70" i="6"/>
  <c r="L70" i="6"/>
  <c r="M69" i="6"/>
  <c r="L69" i="6"/>
  <c r="M68" i="6"/>
  <c r="L68" i="6"/>
  <c r="M67" i="6"/>
  <c r="L67" i="6"/>
  <c r="M66" i="6"/>
  <c r="L66" i="6"/>
  <c r="M65" i="6"/>
  <c r="L65" i="6"/>
  <c r="M64" i="6"/>
  <c r="L64" i="6"/>
  <c r="M63" i="6"/>
  <c r="L63" i="6"/>
  <c r="M62" i="6"/>
  <c r="L62" i="6"/>
  <c r="M61" i="6"/>
  <c r="L61" i="6"/>
  <c r="M60" i="6"/>
  <c r="L60" i="6"/>
  <c r="M59" i="6"/>
  <c r="L59" i="6"/>
  <c r="M58" i="6"/>
  <c r="L58" i="6"/>
  <c r="M57" i="6"/>
  <c r="L57" i="6"/>
  <c r="M56" i="6"/>
  <c r="L56" i="6"/>
  <c r="M55" i="6"/>
  <c r="L55" i="6"/>
  <c r="M54" i="6"/>
  <c r="L54" i="6"/>
  <c r="M53" i="6"/>
  <c r="L53" i="6"/>
  <c r="M52" i="6"/>
  <c r="L52" i="6"/>
  <c r="M51" i="6"/>
  <c r="L51" i="6"/>
  <c r="M50" i="6"/>
  <c r="L50" i="6"/>
  <c r="M49" i="6"/>
  <c r="L49" i="6"/>
  <c r="M48" i="6"/>
  <c r="L48" i="6"/>
  <c r="M47" i="6"/>
  <c r="L47" i="6"/>
  <c r="M46" i="6"/>
  <c r="L46" i="6"/>
  <c r="M45" i="6"/>
  <c r="L45" i="6"/>
  <c r="M44" i="6"/>
  <c r="L44" i="6"/>
  <c r="M43" i="6"/>
  <c r="L43" i="6"/>
  <c r="M42" i="6"/>
  <c r="L42" i="6"/>
  <c r="M41" i="6"/>
  <c r="L41" i="6"/>
  <c r="M40" i="6"/>
  <c r="L40" i="6"/>
  <c r="M39" i="6"/>
  <c r="L39" i="6"/>
  <c r="M38" i="6"/>
  <c r="L38" i="6"/>
  <c r="M37" i="6"/>
  <c r="L37" i="6"/>
  <c r="M36" i="6"/>
  <c r="L36" i="6"/>
  <c r="M35" i="6"/>
  <c r="L35" i="6"/>
  <c r="M34" i="6"/>
  <c r="L34" i="6"/>
  <c r="M33" i="6"/>
  <c r="L33" i="6"/>
  <c r="M32" i="6"/>
  <c r="L32" i="6"/>
  <c r="M31" i="6"/>
  <c r="L31" i="6"/>
  <c r="M30" i="6"/>
  <c r="L30" i="6"/>
  <c r="M29" i="6"/>
  <c r="L29" i="6"/>
  <c r="M28" i="6"/>
  <c r="L28" i="6"/>
  <c r="M27" i="6"/>
  <c r="L27" i="6"/>
  <c r="M26" i="6"/>
  <c r="L26" i="6"/>
  <c r="M25" i="6"/>
  <c r="L25" i="6"/>
  <c r="M24" i="6"/>
  <c r="L24" i="6"/>
  <c r="M23" i="6"/>
  <c r="L23" i="6"/>
  <c r="M22" i="6"/>
  <c r="L22" i="6"/>
  <c r="M21" i="6"/>
  <c r="L21" i="6"/>
  <c r="M20" i="6"/>
  <c r="L20" i="6"/>
  <c r="M19" i="6"/>
  <c r="L19" i="6"/>
  <c r="M18" i="6"/>
  <c r="L18" i="6"/>
  <c r="M17" i="6"/>
  <c r="L17" i="6"/>
  <c r="M16" i="6"/>
  <c r="L16" i="6"/>
  <c r="M15" i="6"/>
  <c r="L15" i="6"/>
  <c r="M14" i="6"/>
  <c r="L14" i="6"/>
  <c r="M13" i="6"/>
  <c r="L13" i="6"/>
  <c r="M12" i="6"/>
  <c r="L12" i="6"/>
  <c r="M11" i="6"/>
  <c r="L11" i="6"/>
  <c r="M10" i="6"/>
  <c r="L10" i="6"/>
  <c r="M9" i="6"/>
  <c r="L9" i="6"/>
  <c r="M8" i="6"/>
  <c r="L8" i="6"/>
  <c r="M7" i="6"/>
  <c r="L7" i="6"/>
  <c r="M6" i="6"/>
  <c r="L6" i="6"/>
  <c r="M5" i="6"/>
  <c r="L5" i="6"/>
  <c r="M4" i="6"/>
  <c r="L4" i="6"/>
  <c r="M3" i="6"/>
  <c r="L3" i="6"/>
  <c r="M2" i="6"/>
  <c r="L2" i="6"/>
  <c r="C17" i="4"/>
  <c r="C16" i="4"/>
  <c r="C15" i="4"/>
  <c r="C14" i="4"/>
  <c r="C13" i="4"/>
  <c r="C12" i="4"/>
  <c r="C11" i="4"/>
  <c r="C10" i="4"/>
  <c r="C9" i="4"/>
  <c r="C8" i="4"/>
  <c r="C7" i="4"/>
  <c r="C6" i="4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M164" i="3"/>
  <c r="G164" i="3"/>
  <c r="M163" i="3"/>
  <c r="G163" i="3"/>
  <c r="M162" i="3"/>
  <c r="G162" i="3"/>
  <c r="M161" i="3"/>
  <c r="G161" i="3"/>
  <c r="M160" i="3"/>
  <c r="G160" i="3"/>
  <c r="D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M150" i="3"/>
  <c r="G150" i="3"/>
  <c r="M149" i="3"/>
  <c r="G149" i="3"/>
  <c r="M148" i="3"/>
  <c r="G148" i="3"/>
  <c r="M147" i="3"/>
  <c r="G147" i="3"/>
  <c r="M146" i="3"/>
  <c r="G146" i="3"/>
  <c r="D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M137" i="3"/>
  <c r="G137" i="3"/>
  <c r="M136" i="3"/>
  <c r="G136" i="3"/>
  <c r="M135" i="3"/>
  <c r="G135" i="3"/>
  <c r="M134" i="3"/>
  <c r="G134" i="3"/>
  <c r="M133" i="3"/>
  <c r="G133" i="3"/>
  <c r="M132" i="3"/>
  <c r="G132" i="3"/>
  <c r="N132" i="3" s="1"/>
  <c r="D132" i="3"/>
  <c r="M131" i="3"/>
  <c r="G131" i="3"/>
  <c r="N131" i="3" s="1"/>
  <c r="M130" i="3"/>
  <c r="G130" i="3"/>
  <c r="M129" i="3"/>
  <c r="G129" i="3"/>
  <c r="M128" i="3"/>
  <c r="G128" i="3"/>
  <c r="M127" i="3"/>
  <c r="G127" i="3"/>
  <c r="M126" i="3"/>
  <c r="G126" i="3"/>
  <c r="L126" i="3" s="1"/>
  <c r="M125" i="3"/>
  <c r="G125" i="3"/>
  <c r="M124" i="3"/>
  <c r="G124" i="3"/>
  <c r="M123" i="3"/>
  <c r="G123" i="3"/>
  <c r="N123" i="3" s="1"/>
  <c r="M122" i="3"/>
  <c r="G122" i="3"/>
  <c r="M121" i="3"/>
  <c r="G121" i="3"/>
  <c r="M120" i="3"/>
  <c r="G120" i="3"/>
  <c r="N120" i="3" s="1"/>
  <c r="M119" i="3"/>
  <c r="G119" i="3"/>
  <c r="M118" i="3"/>
  <c r="G118" i="3"/>
  <c r="K118" i="3" s="1"/>
  <c r="D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M110" i="3"/>
  <c r="G110" i="3"/>
  <c r="M109" i="3"/>
  <c r="G109" i="3"/>
  <c r="M108" i="3"/>
  <c r="G108" i="3"/>
  <c r="M107" i="3"/>
  <c r="G107" i="3"/>
  <c r="M106" i="3"/>
  <c r="G106" i="3"/>
  <c r="M105" i="3"/>
  <c r="G105" i="3"/>
  <c r="M104" i="3"/>
  <c r="G104" i="3"/>
  <c r="D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N98" i="3" s="1"/>
  <c r="M97" i="3"/>
  <c r="G97" i="3"/>
  <c r="M96" i="3"/>
  <c r="G96" i="3"/>
  <c r="M95" i="3"/>
  <c r="G95" i="3"/>
  <c r="K95" i="3" s="1"/>
  <c r="M94" i="3"/>
  <c r="G94" i="3"/>
  <c r="M93" i="3"/>
  <c r="G93" i="3"/>
  <c r="K93" i="3" s="1"/>
  <c r="M92" i="3"/>
  <c r="G92" i="3"/>
  <c r="M91" i="3"/>
  <c r="G91" i="3"/>
  <c r="M90" i="3"/>
  <c r="G90" i="3"/>
  <c r="D90" i="3"/>
  <c r="M89" i="3"/>
  <c r="G89" i="3"/>
  <c r="L89" i="3" s="1"/>
  <c r="M88" i="3"/>
  <c r="G88" i="3"/>
  <c r="M87" i="3"/>
  <c r="G87" i="3"/>
  <c r="M86" i="3"/>
  <c r="G86" i="3"/>
  <c r="L86" i="3" s="1"/>
  <c r="M85" i="3"/>
  <c r="G85" i="3"/>
  <c r="M84" i="3"/>
  <c r="G84" i="3"/>
  <c r="M83" i="3"/>
  <c r="G83" i="3"/>
  <c r="M82" i="3"/>
  <c r="G82" i="3"/>
  <c r="M81" i="3"/>
  <c r="G81" i="3"/>
  <c r="N81" i="3" s="1"/>
  <c r="M80" i="3"/>
  <c r="G80" i="3"/>
  <c r="M79" i="3"/>
  <c r="G79" i="3"/>
  <c r="M78" i="3"/>
  <c r="G78" i="3"/>
  <c r="M77" i="3"/>
  <c r="G77" i="3"/>
  <c r="M76" i="3"/>
  <c r="G76" i="3"/>
  <c r="N76" i="3" s="1"/>
  <c r="D76" i="3"/>
  <c r="M75" i="3"/>
  <c r="G75" i="3"/>
  <c r="M74" i="3"/>
  <c r="G74" i="3"/>
  <c r="M73" i="3"/>
  <c r="G73" i="3"/>
  <c r="M72" i="3"/>
  <c r="G72" i="3"/>
  <c r="M71" i="3"/>
  <c r="G71" i="3"/>
  <c r="M70" i="3"/>
  <c r="G70" i="3"/>
  <c r="M69" i="3"/>
  <c r="G69" i="3"/>
  <c r="M68" i="3"/>
  <c r="G68" i="3"/>
  <c r="M67" i="3"/>
  <c r="G67" i="3"/>
  <c r="M66" i="3"/>
  <c r="G66" i="3"/>
  <c r="M65" i="3"/>
  <c r="G65" i="3"/>
  <c r="M64" i="3"/>
  <c r="G64" i="3"/>
  <c r="M63" i="3"/>
  <c r="G63" i="3"/>
  <c r="M62" i="3"/>
  <c r="G62" i="3"/>
  <c r="N62" i="3" s="1"/>
  <c r="D62" i="3"/>
  <c r="M61" i="3"/>
  <c r="G61" i="3"/>
  <c r="M60" i="3"/>
  <c r="G60" i="3"/>
  <c r="M59" i="3"/>
  <c r="G59" i="3"/>
  <c r="M58" i="3"/>
  <c r="G58" i="3"/>
  <c r="M57" i="3"/>
  <c r="G57" i="3"/>
  <c r="M56" i="3"/>
  <c r="G56" i="3"/>
  <c r="M55" i="3"/>
  <c r="G55" i="3"/>
  <c r="M54" i="3"/>
  <c r="G54" i="3"/>
  <c r="M53" i="3"/>
  <c r="G53" i="3"/>
  <c r="M52" i="3"/>
  <c r="G52" i="3"/>
  <c r="M51" i="3"/>
  <c r="G51" i="3"/>
  <c r="M50" i="3"/>
  <c r="G50" i="3"/>
  <c r="M49" i="3"/>
  <c r="G49" i="3"/>
  <c r="M48" i="3"/>
  <c r="G48" i="3"/>
  <c r="N48" i="3" s="1"/>
  <c r="D48" i="3"/>
  <c r="M47" i="3"/>
  <c r="G47" i="3"/>
  <c r="M46" i="3"/>
  <c r="G46" i="3"/>
  <c r="M45" i="3"/>
  <c r="G45" i="3"/>
  <c r="M44" i="3"/>
  <c r="G44" i="3"/>
  <c r="M43" i="3"/>
  <c r="G43" i="3"/>
  <c r="M42" i="3"/>
  <c r="G42" i="3"/>
  <c r="M41" i="3"/>
  <c r="G41" i="3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D34" i="3"/>
  <c r="M33" i="3"/>
  <c r="G33" i="3"/>
  <c r="M32" i="3"/>
  <c r="G32" i="3"/>
  <c r="M31" i="3"/>
  <c r="G31" i="3"/>
  <c r="M30" i="3"/>
  <c r="G30" i="3"/>
  <c r="M29" i="3"/>
  <c r="G29" i="3"/>
  <c r="M28" i="3"/>
  <c r="G28" i="3"/>
  <c r="M27" i="3"/>
  <c r="G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L20" i="3" s="1"/>
  <c r="D20" i="3"/>
  <c r="M19" i="3"/>
  <c r="G19" i="3"/>
  <c r="M18" i="3"/>
  <c r="G18" i="3"/>
  <c r="M17" i="3"/>
  <c r="G17" i="3"/>
  <c r="M16" i="3"/>
  <c r="G16" i="3"/>
  <c r="M15" i="3"/>
  <c r="G15" i="3"/>
  <c r="M14" i="3"/>
  <c r="G14" i="3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D6" i="3"/>
  <c r="B7" i="2"/>
  <c r="E120" i="3" s="1"/>
  <c r="C21" i="5" l="1"/>
  <c r="C7" i="5"/>
  <c r="C9" i="5"/>
  <c r="C10" i="5"/>
  <c r="C13" i="5"/>
  <c r="D20" i="5"/>
  <c r="D21" i="5"/>
  <c r="D7" i="5"/>
  <c r="D9" i="5"/>
  <c r="D10" i="5"/>
  <c r="D11" i="5"/>
  <c r="D13" i="5"/>
  <c r="D22" i="5"/>
  <c r="D8" i="5"/>
  <c r="D12" i="5"/>
  <c r="C30" i="1"/>
  <c r="D19" i="5"/>
  <c r="C18" i="5"/>
  <c r="C22" i="5"/>
  <c r="C8" i="5"/>
  <c r="C12" i="5"/>
  <c r="C28" i="1"/>
  <c r="D18" i="5"/>
  <c r="K62" i="3"/>
  <c r="N86" i="3"/>
  <c r="D17" i="5"/>
  <c r="C17" i="5"/>
  <c r="K86" i="3"/>
  <c r="C24" i="1"/>
  <c r="L123" i="3"/>
  <c r="C31" i="1"/>
  <c r="C20" i="5"/>
  <c r="C27" i="1"/>
  <c r="L98" i="3"/>
  <c r="L131" i="3"/>
  <c r="C11" i="5"/>
  <c r="K123" i="3"/>
  <c r="L118" i="3"/>
  <c r="L93" i="3"/>
  <c r="K98" i="3"/>
  <c r="C25" i="1"/>
  <c r="N93" i="3"/>
  <c r="C22" i="1"/>
  <c r="E64" i="3"/>
  <c r="E17" i="3"/>
  <c r="E28" i="3"/>
  <c r="E44" i="3"/>
  <c r="E13" i="3"/>
  <c r="E8" i="3"/>
  <c r="E40" i="3"/>
  <c r="E32" i="3"/>
  <c r="E24" i="3"/>
  <c r="E78" i="3"/>
  <c r="E20" i="3"/>
  <c r="F20" i="3" s="1"/>
  <c r="E52" i="3"/>
  <c r="N89" i="3"/>
  <c r="K132" i="3"/>
  <c r="E36" i="3"/>
  <c r="C21" i="1"/>
  <c r="K76" i="3"/>
  <c r="K81" i="3"/>
  <c r="K120" i="3"/>
  <c r="L132" i="3"/>
  <c r="E62" i="3"/>
  <c r="F62" i="3" s="1"/>
  <c r="H62" i="3" s="1"/>
  <c r="J62" i="3" s="1"/>
  <c r="L81" i="3"/>
  <c r="L120" i="3"/>
  <c r="L62" i="3"/>
  <c r="E101" i="3"/>
  <c r="D15" i="5"/>
  <c r="K48" i="3"/>
  <c r="K131" i="3"/>
  <c r="L48" i="3"/>
  <c r="E10" i="3"/>
  <c r="E14" i="3"/>
  <c r="E18" i="3"/>
  <c r="E66" i="3"/>
  <c r="E71" i="3"/>
  <c r="E98" i="3"/>
  <c r="E37" i="3"/>
  <c r="D4" i="3"/>
  <c r="E25" i="3"/>
  <c r="E29" i="3"/>
  <c r="E6" i="3"/>
  <c r="F6" i="3" s="1"/>
  <c r="E38" i="3"/>
  <c r="E42" i="3"/>
  <c r="E50" i="3"/>
  <c r="E59" i="3"/>
  <c r="E85" i="3"/>
  <c r="E131" i="3"/>
  <c r="E122" i="3"/>
  <c r="E58" i="3"/>
  <c r="E19" i="3"/>
  <c r="E41" i="3"/>
  <c r="E11" i="3"/>
  <c r="E7" i="3"/>
  <c r="E39" i="3"/>
  <c r="E43" i="3"/>
  <c r="E51" i="3"/>
  <c r="E63" i="3"/>
  <c r="E77" i="3"/>
  <c r="E119" i="3"/>
  <c r="D5" i="1"/>
  <c r="E30" i="3"/>
  <c r="E55" i="3"/>
  <c r="E15" i="3"/>
  <c r="E23" i="3"/>
  <c r="E27" i="3"/>
  <c r="E31" i="3"/>
  <c r="E48" i="3"/>
  <c r="F48" i="3" s="1"/>
  <c r="H48" i="3" s="1"/>
  <c r="I48" i="3" s="1"/>
  <c r="D49" i="3" s="1"/>
  <c r="E56" i="3"/>
  <c r="E68" i="3"/>
  <c r="E73" i="3"/>
  <c r="E104" i="3"/>
  <c r="F104" i="3" s="1"/>
  <c r="E22" i="3"/>
  <c r="E26" i="3"/>
  <c r="E34" i="3"/>
  <c r="F34" i="3" s="1"/>
  <c r="H34" i="3" s="1"/>
  <c r="E12" i="3"/>
  <c r="E16" i="3"/>
  <c r="N95" i="3"/>
  <c r="L95" i="3"/>
  <c r="D8" i="4"/>
  <c r="N34" i="3"/>
  <c r="L34" i="3"/>
  <c r="K34" i="3"/>
  <c r="N79" i="3"/>
  <c r="L79" i="3"/>
  <c r="K79" i="3"/>
  <c r="C29" i="1"/>
  <c r="C20" i="1"/>
  <c r="C23" i="1"/>
  <c r="D6" i="4"/>
  <c r="N6" i="3"/>
  <c r="L6" i="3"/>
  <c r="C8" i="1"/>
  <c r="K6" i="3"/>
  <c r="C19" i="1"/>
  <c r="C18" i="1"/>
  <c r="D7" i="4"/>
  <c r="E65" i="3"/>
  <c r="E79" i="3"/>
  <c r="E86" i="3"/>
  <c r="E107" i="3"/>
  <c r="D16" i="5"/>
  <c r="E72" i="3"/>
  <c r="E90" i="3"/>
  <c r="F90" i="3" s="1"/>
  <c r="E94" i="3"/>
  <c r="L101" i="3"/>
  <c r="N101" i="3"/>
  <c r="L104" i="3"/>
  <c r="K104" i="3"/>
  <c r="E110" i="3"/>
  <c r="E113" i="3"/>
  <c r="E129" i="3"/>
  <c r="L125" i="3"/>
  <c r="N125" i="3"/>
  <c r="K125" i="3"/>
  <c r="D13" i="4"/>
  <c r="D12" i="4"/>
  <c r="N90" i="3"/>
  <c r="E93" i="3"/>
  <c r="N127" i="3"/>
  <c r="K127" i="3"/>
  <c r="N129" i="3"/>
  <c r="K129" i="3"/>
  <c r="E170" i="3"/>
  <c r="E70" i="3"/>
  <c r="E84" i="3"/>
  <c r="E89" i="3"/>
  <c r="E100" i="3"/>
  <c r="K101" i="3"/>
  <c r="E138" i="3"/>
  <c r="E143" i="3"/>
  <c r="E148" i="3"/>
  <c r="K20" i="3"/>
  <c r="E49" i="3"/>
  <c r="E76" i="3"/>
  <c r="E83" i="3"/>
  <c r="N104" i="3"/>
  <c r="E112" i="3"/>
  <c r="E115" i="3"/>
  <c r="L127" i="3"/>
  <c r="L129" i="3"/>
  <c r="K90" i="3"/>
  <c r="E96" i="3"/>
  <c r="E105" i="3"/>
  <c r="E124" i="3"/>
  <c r="L160" i="3"/>
  <c r="K160" i="3"/>
  <c r="D17" i="4"/>
  <c r="N160" i="3"/>
  <c r="E75" i="3"/>
  <c r="D11" i="4"/>
  <c r="L76" i="3"/>
  <c r="E82" i="3"/>
  <c r="E88" i="3"/>
  <c r="L90" i="3"/>
  <c r="E99" i="3"/>
  <c r="E102" i="3"/>
  <c r="E126" i="3"/>
  <c r="E146" i="3"/>
  <c r="F146" i="3" s="1"/>
  <c r="E171" i="3"/>
  <c r="N20" i="3"/>
  <c r="E35" i="3"/>
  <c r="E47" i="3"/>
  <c r="E54" i="3"/>
  <c r="E61" i="3"/>
  <c r="D10" i="4"/>
  <c r="E111" i="3"/>
  <c r="E114" i="3"/>
  <c r="N126" i="3"/>
  <c r="E128" i="3"/>
  <c r="E139" i="3"/>
  <c r="K146" i="3"/>
  <c r="N146" i="3"/>
  <c r="D16" i="4"/>
  <c r="L146" i="3"/>
  <c r="D6" i="5"/>
  <c r="C16" i="5"/>
  <c r="E46" i="3"/>
  <c r="D9" i="4"/>
  <c r="E53" i="3"/>
  <c r="E67" i="3"/>
  <c r="E74" i="3"/>
  <c r="K89" i="3"/>
  <c r="E95" i="3"/>
  <c r="E108" i="3"/>
  <c r="C26" i="1"/>
  <c r="E164" i="3"/>
  <c r="E152" i="3"/>
  <c r="E140" i="3"/>
  <c r="E165" i="3"/>
  <c r="E153" i="3"/>
  <c r="E141" i="3"/>
  <c r="E166" i="3"/>
  <c r="E154" i="3"/>
  <c r="E142" i="3"/>
  <c r="E130" i="3"/>
  <c r="E118" i="3"/>
  <c r="F118" i="3" s="1"/>
  <c r="E106" i="3"/>
  <c r="E168" i="3"/>
  <c r="E169" i="3"/>
  <c r="E157" i="3"/>
  <c r="E145" i="3"/>
  <c r="E133" i="3"/>
  <c r="E121" i="3"/>
  <c r="E109" i="3"/>
  <c r="E97" i="3"/>
  <c r="E173" i="3"/>
  <c r="E161" i="3"/>
  <c r="E149" i="3"/>
  <c r="E137" i="3"/>
  <c r="D4" i="5"/>
  <c r="E162" i="3"/>
  <c r="E151" i="3"/>
  <c r="E125" i="3"/>
  <c r="E160" i="3"/>
  <c r="F160" i="3" s="1"/>
  <c r="E158" i="3"/>
  <c r="E136" i="3"/>
  <c r="E156" i="3"/>
  <c r="E144" i="3"/>
  <c r="E134" i="3"/>
  <c r="E116" i="3"/>
  <c r="E81" i="3"/>
  <c r="E69" i="3"/>
  <c r="E57" i="3"/>
  <c r="E147" i="3"/>
  <c r="E127" i="3"/>
  <c r="E117" i="3"/>
  <c r="E103" i="3"/>
  <c r="E92" i="3"/>
  <c r="E172" i="3"/>
  <c r="E159" i="3"/>
  <c r="E150" i="3"/>
  <c r="E123" i="3"/>
  <c r="E167" i="3"/>
  <c r="E163" i="3"/>
  <c r="E155" i="3"/>
  <c r="E135" i="3"/>
  <c r="D4" i="4"/>
  <c r="E9" i="3"/>
  <c r="E21" i="3"/>
  <c r="E33" i="3"/>
  <c r="E45" i="3"/>
  <c r="E60" i="3"/>
  <c r="E80" i="3"/>
  <c r="E87" i="3"/>
  <c r="E91" i="3"/>
  <c r="K126" i="3"/>
  <c r="E132" i="3"/>
  <c r="F132" i="3" s="1"/>
  <c r="C6" i="5"/>
  <c r="C15" i="5"/>
  <c r="D14" i="4"/>
  <c r="N118" i="3"/>
  <c r="D15" i="4"/>
  <c r="H20" i="3" l="1"/>
  <c r="J20" i="3" s="1"/>
  <c r="D22" i="1"/>
  <c r="F49" i="3"/>
  <c r="H49" i="3" s="1"/>
  <c r="D25" i="1"/>
  <c r="D19" i="1"/>
  <c r="D29" i="1"/>
  <c r="H104" i="3"/>
  <c r="J104" i="3" s="1"/>
  <c r="D20" i="1"/>
  <c r="D28" i="1"/>
  <c r="D31" i="1"/>
  <c r="D30" i="1"/>
  <c r="H146" i="3"/>
  <c r="D26" i="1"/>
  <c r="D21" i="1"/>
  <c r="H160" i="3"/>
  <c r="I34" i="3"/>
  <c r="D35" i="3" s="1"/>
  <c r="F35" i="3" s="1"/>
  <c r="J48" i="3"/>
  <c r="F76" i="3"/>
  <c r="D18" i="1"/>
  <c r="H90" i="3"/>
  <c r="D27" i="1"/>
  <c r="H6" i="3"/>
  <c r="D24" i="1"/>
  <c r="J34" i="3"/>
  <c r="D23" i="1"/>
  <c r="H118" i="3"/>
  <c r="H132" i="3"/>
  <c r="I62" i="3"/>
  <c r="D63" i="3" s="1"/>
  <c r="F63" i="3" s="1"/>
  <c r="I20" i="3" l="1"/>
  <c r="D21" i="3" s="1"/>
  <c r="F21" i="3" s="1"/>
  <c r="H21" i="3" s="1"/>
  <c r="I21" i="3" s="1"/>
  <c r="D22" i="3" s="1"/>
  <c r="F22" i="3" s="1"/>
  <c r="I104" i="3"/>
  <c r="D105" i="3" s="1"/>
  <c r="F105" i="3" s="1"/>
  <c r="H105" i="3" s="1"/>
  <c r="I105" i="3" s="1"/>
  <c r="D106" i="3" s="1"/>
  <c r="F106" i="3" s="1"/>
  <c r="H106" i="3" s="1"/>
  <c r="H76" i="3"/>
  <c r="J160" i="3"/>
  <c r="J118" i="3"/>
  <c r="I160" i="3"/>
  <c r="D161" i="3" s="1"/>
  <c r="F161" i="3" s="1"/>
  <c r="I118" i="3"/>
  <c r="D119" i="3" s="1"/>
  <c r="F119" i="3" s="1"/>
  <c r="J90" i="3"/>
  <c r="J6" i="3"/>
  <c r="H63" i="3"/>
  <c r="I63" i="3" s="1"/>
  <c r="D64" i="3" s="1"/>
  <c r="F64" i="3" s="1"/>
  <c r="I6" i="3"/>
  <c r="J49" i="3"/>
  <c r="K49" i="3"/>
  <c r="J132" i="3"/>
  <c r="I132" i="3"/>
  <c r="D133" i="3" s="1"/>
  <c r="F133" i="3" s="1"/>
  <c r="I49" i="3"/>
  <c r="D50" i="3" s="1"/>
  <c r="F50" i="3" s="1"/>
  <c r="I90" i="3"/>
  <c r="D91" i="3" s="1"/>
  <c r="F91" i="3" s="1"/>
  <c r="J146" i="3"/>
  <c r="H35" i="3"/>
  <c r="I35" i="3" s="1"/>
  <c r="D36" i="3" s="1"/>
  <c r="F36" i="3" s="1"/>
  <c r="I146" i="3"/>
  <c r="D147" i="3" s="1"/>
  <c r="F147" i="3" s="1"/>
  <c r="K105" i="3" l="1"/>
  <c r="J105" i="3"/>
  <c r="L105" i="3" s="1"/>
  <c r="H22" i="3"/>
  <c r="H91" i="3"/>
  <c r="I91" i="3" s="1"/>
  <c r="D92" i="3" s="1"/>
  <c r="F92" i="3" s="1"/>
  <c r="H36" i="3"/>
  <c r="I36" i="3" s="1"/>
  <c r="D37" i="3" s="1"/>
  <c r="F37" i="3" s="1"/>
  <c r="H50" i="3"/>
  <c r="I50" i="3" s="1"/>
  <c r="D51" i="3" s="1"/>
  <c r="F51" i="3" s="1"/>
  <c r="H64" i="3"/>
  <c r="J63" i="3"/>
  <c r="K63" i="3"/>
  <c r="J76" i="3"/>
  <c r="F18" i="1" s="1"/>
  <c r="H133" i="3"/>
  <c r="I133" i="3" s="1"/>
  <c r="D134" i="3" s="1"/>
  <c r="F134" i="3" s="1"/>
  <c r="H119" i="3"/>
  <c r="I119" i="3" s="1"/>
  <c r="D120" i="3" s="1"/>
  <c r="F120" i="3" s="1"/>
  <c r="I76" i="3"/>
  <c r="D77" i="3" s="1"/>
  <c r="F77" i="3" s="1"/>
  <c r="H147" i="3"/>
  <c r="H161" i="3"/>
  <c r="J106" i="3"/>
  <c r="K106" i="3"/>
  <c r="J35" i="3"/>
  <c r="K35" i="3"/>
  <c r="L49" i="3"/>
  <c r="N49" i="3"/>
  <c r="I106" i="3"/>
  <c r="D107" i="3" s="1"/>
  <c r="F107" i="3" s="1"/>
  <c r="D7" i="3"/>
  <c r="F7" i="3" s="1"/>
  <c r="K21" i="3"/>
  <c r="J21" i="3"/>
  <c r="E18" i="1" l="1"/>
  <c r="N105" i="3"/>
  <c r="N2721" i="6" s="1"/>
  <c r="H51" i="3"/>
  <c r="H92" i="3"/>
  <c r="I92" i="3" s="1"/>
  <c r="D93" i="3" s="1"/>
  <c r="F93" i="3" s="1"/>
  <c r="N2549" i="6"/>
  <c r="N2540" i="6"/>
  <c r="N2564" i="6"/>
  <c r="N2438" i="6"/>
  <c r="N2156" i="6"/>
  <c r="N2454" i="6"/>
  <c r="N2239" i="6"/>
  <c r="N2001" i="6"/>
  <c r="N2096" i="6"/>
  <c r="N1794" i="6"/>
  <c r="N1875" i="6"/>
  <c r="N1456" i="6"/>
  <c r="N1389" i="6"/>
  <c r="N1239" i="6"/>
  <c r="N951" i="6"/>
  <c r="N583" i="6"/>
  <c r="N939" i="6"/>
  <c r="N543" i="6"/>
  <c r="N183" i="6"/>
  <c r="N315" i="6"/>
  <c r="N244" i="6"/>
  <c r="N415" i="6"/>
  <c r="N478" i="6"/>
  <c r="N160" i="6"/>
  <c r="N286" i="6"/>
  <c r="N208" i="6"/>
  <c r="N87" i="6"/>
  <c r="N656" i="6"/>
  <c r="N283" i="6"/>
  <c r="N5" i="6"/>
  <c r="N617" i="6"/>
  <c r="N1270" i="6"/>
  <c r="N158" i="6"/>
  <c r="N361" i="6"/>
  <c r="N829" i="6"/>
  <c r="N803" i="6"/>
  <c r="N356" i="6"/>
  <c r="N1878" i="6"/>
  <c r="N1634" i="6"/>
  <c r="N1381" i="6"/>
  <c r="N1963" i="6"/>
  <c r="N238" i="6"/>
  <c r="N1264" i="6"/>
  <c r="N1362" i="6"/>
  <c r="H120" i="3"/>
  <c r="J120" i="3" s="1"/>
  <c r="H37" i="3"/>
  <c r="I37" i="3" s="1"/>
  <c r="D38" i="3" s="1"/>
  <c r="F38" i="3" s="1"/>
  <c r="N106" i="3"/>
  <c r="L106" i="3"/>
  <c r="J50" i="3"/>
  <c r="K50" i="3"/>
  <c r="J119" i="3"/>
  <c r="K119" i="3"/>
  <c r="K36" i="3"/>
  <c r="J36" i="3"/>
  <c r="K161" i="3"/>
  <c r="J161" i="3"/>
  <c r="K147" i="3"/>
  <c r="J147" i="3"/>
  <c r="H107" i="3"/>
  <c r="I107" i="3" s="1"/>
  <c r="D108" i="3" s="1"/>
  <c r="F108" i="3" s="1"/>
  <c r="H77" i="3"/>
  <c r="I77" i="3" s="1"/>
  <c r="D78" i="3" s="1"/>
  <c r="F78" i="3" s="1"/>
  <c r="N63" i="3"/>
  <c r="L63" i="3"/>
  <c r="N35" i="3"/>
  <c r="L35" i="3"/>
  <c r="K133" i="3"/>
  <c r="J133" i="3"/>
  <c r="J64" i="3"/>
  <c r="K64" i="3"/>
  <c r="J22" i="3"/>
  <c r="K22" i="3"/>
  <c r="N21" i="3"/>
  <c r="L21" i="3"/>
  <c r="N2694" i="6"/>
  <c r="N2837" i="6"/>
  <c r="I161" i="3"/>
  <c r="D162" i="3" s="1"/>
  <c r="F162" i="3" s="1"/>
  <c r="H7" i="3"/>
  <c r="I7" i="3" s="1"/>
  <c r="I147" i="3"/>
  <c r="D148" i="3" s="1"/>
  <c r="F148" i="3" s="1"/>
  <c r="J91" i="3"/>
  <c r="K91" i="3"/>
  <c r="H134" i="3"/>
  <c r="I134" i="3" s="1"/>
  <c r="D135" i="3" s="1"/>
  <c r="F135" i="3" s="1"/>
  <c r="I64" i="3"/>
  <c r="D65" i="3" s="1"/>
  <c r="F65" i="3" s="1"/>
  <c r="I22" i="3"/>
  <c r="D23" i="3" s="1"/>
  <c r="F23" i="3" s="1"/>
  <c r="N2871" i="6" l="1"/>
  <c r="P2871" i="6" s="1"/>
  <c r="N2853" i="6"/>
  <c r="P2853" i="6" s="1"/>
  <c r="H108" i="3"/>
  <c r="H135" i="3"/>
  <c r="I135" i="3" s="1"/>
  <c r="D136" i="3" s="1"/>
  <c r="F136" i="3" s="1"/>
  <c r="P1264" i="6"/>
  <c r="O1264" i="6"/>
  <c r="N64" i="3"/>
  <c r="L64" i="3"/>
  <c r="O1963" i="6"/>
  <c r="P1963" i="6"/>
  <c r="P283" i="6"/>
  <c r="O283" i="6"/>
  <c r="P939" i="6"/>
  <c r="O939" i="6"/>
  <c r="O2156" i="6"/>
  <c r="P2156" i="6"/>
  <c r="P183" i="6"/>
  <c r="O183" i="6"/>
  <c r="O1381" i="6"/>
  <c r="P1381" i="6"/>
  <c r="H65" i="3"/>
  <c r="N50" i="3"/>
  <c r="L50" i="3"/>
  <c r="D8" i="3"/>
  <c r="F8" i="3" s="1"/>
  <c r="E19" i="1"/>
  <c r="O2454" i="6"/>
  <c r="P2454" i="6"/>
  <c r="P1634" i="6"/>
  <c r="O1634" i="6"/>
  <c r="P2694" i="6"/>
  <c r="O2694" i="6"/>
  <c r="O1878" i="6"/>
  <c r="P1878" i="6"/>
  <c r="O1239" i="6"/>
  <c r="P1239" i="6"/>
  <c r="O2540" i="6"/>
  <c r="P2540" i="6"/>
  <c r="H78" i="3"/>
  <c r="I78" i="3" s="1"/>
  <c r="D79" i="3" s="1"/>
  <c r="F79" i="3" s="1"/>
  <c r="P238" i="6"/>
  <c r="O238" i="6"/>
  <c r="P2837" i="6"/>
  <c r="O2837" i="6"/>
  <c r="N133" i="3"/>
  <c r="L133" i="3"/>
  <c r="P2721" i="6"/>
  <c r="O2721" i="6"/>
  <c r="N147" i="3"/>
  <c r="L147" i="3"/>
  <c r="P87" i="6"/>
  <c r="O87" i="6"/>
  <c r="N2816" i="6"/>
  <c r="N2863" i="6"/>
  <c r="N2779" i="6"/>
  <c r="N2820" i="6"/>
  <c r="N2714" i="6"/>
  <c r="P356" i="6"/>
  <c r="O356" i="6"/>
  <c r="O286" i="6"/>
  <c r="P286" i="6"/>
  <c r="P1389" i="6"/>
  <c r="O1389" i="6"/>
  <c r="O2549" i="6"/>
  <c r="P2549" i="6"/>
  <c r="O2239" i="6"/>
  <c r="P2239" i="6"/>
  <c r="K107" i="3"/>
  <c r="J107" i="3"/>
  <c r="P543" i="6"/>
  <c r="O543" i="6"/>
  <c r="H23" i="3"/>
  <c r="O656" i="6"/>
  <c r="P656" i="6"/>
  <c r="O208" i="6"/>
  <c r="P208" i="6"/>
  <c r="N2799" i="6"/>
  <c r="N2823" i="6"/>
  <c r="N2684" i="6"/>
  <c r="N2728" i="6"/>
  <c r="N161" i="3"/>
  <c r="L161" i="3"/>
  <c r="K37" i="3"/>
  <c r="J37" i="3"/>
  <c r="O803" i="6"/>
  <c r="P803" i="6"/>
  <c r="O160" i="6"/>
  <c r="P160" i="6"/>
  <c r="O1456" i="6"/>
  <c r="P1456" i="6"/>
  <c r="O478" i="6"/>
  <c r="P478" i="6"/>
  <c r="P1875" i="6"/>
  <c r="O1875" i="6"/>
  <c r="H93" i="3"/>
  <c r="I93" i="3" s="1"/>
  <c r="D94" i="3" s="1"/>
  <c r="F94" i="3" s="1"/>
  <c r="P5" i="6"/>
  <c r="O5" i="6"/>
  <c r="P583" i="6"/>
  <c r="O583" i="6"/>
  <c r="O2564" i="6"/>
  <c r="P2564" i="6"/>
  <c r="K134" i="3"/>
  <c r="J134" i="3"/>
  <c r="H38" i="3"/>
  <c r="N91" i="3"/>
  <c r="N63" i="6" s="1"/>
  <c r="L91" i="3"/>
  <c r="N2330" i="6"/>
  <c r="N1937" i="6"/>
  <c r="N2125" i="6"/>
  <c r="N1473" i="6"/>
  <c r="N1695" i="6"/>
  <c r="N1115" i="6"/>
  <c r="N1582" i="6"/>
  <c r="N1200" i="6"/>
  <c r="N1263" i="6"/>
  <c r="N948" i="6"/>
  <c r="N569" i="6"/>
  <c r="N1638" i="6"/>
  <c r="N572" i="6"/>
  <c r="N2190" i="6"/>
  <c r="N2062" i="6"/>
  <c r="N773" i="6"/>
  <c r="N1205" i="6"/>
  <c r="N1854" i="6"/>
  <c r="N1889" i="6"/>
  <c r="N1375" i="6"/>
  <c r="N1707" i="6"/>
  <c r="N36" i="3"/>
  <c r="L36" i="3"/>
  <c r="P361" i="6"/>
  <c r="O361" i="6"/>
  <c r="O415" i="6"/>
  <c r="P415" i="6"/>
  <c r="P1794" i="6"/>
  <c r="O1794" i="6"/>
  <c r="K92" i="3"/>
  <c r="J92" i="3"/>
  <c r="P617" i="6"/>
  <c r="O617" i="6"/>
  <c r="H162" i="3"/>
  <c r="I162" i="3" s="1"/>
  <c r="D163" i="3" s="1"/>
  <c r="F163" i="3" s="1"/>
  <c r="N119" i="3"/>
  <c r="N2707" i="6" s="1"/>
  <c r="L119" i="3"/>
  <c r="O2438" i="6"/>
  <c r="P2438" i="6"/>
  <c r="P951" i="6"/>
  <c r="O951" i="6"/>
  <c r="P829" i="6"/>
  <c r="O829" i="6"/>
  <c r="I120" i="3"/>
  <c r="D121" i="3" s="1"/>
  <c r="F121" i="3" s="1"/>
  <c r="P158" i="6"/>
  <c r="O158" i="6"/>
  <c r="O244" i="6"/>
  <c r="P244" i="6"/>
  <c r="O2096" i="6"/>
  <c r="P2096" i="6"/>
  <c r="J51" i="3"/>
  <c r="K51" i="3"/>
  <c r="H148" i="3"/>
  <c r="I148" i="3" s="1"/>
  <c r="D149" i="3" s="1"/>
  <c r="F149" i="3" s="1"/>
  <c r="N2806" i="6"/>
  <c r="N2855" i="6"/>
  <c r="N2814" i="6"/>
  <c r="N2781" i="6"/>
  <c r="N2764" i="6"/>
  <c r="N2768" i="6"/>
  <c r="N2832" i="6"/>
  <c r="N2773" i="6"/>
  <c r="K7" i="3"/>
  <c r="J7" i="3"/>
  <c r="N22" i="3"/>
  <c r="L22" i="3"/>
  <c r="J77" i="3"/>
  <c r="K77" i="3"/>
  <c r="O1362" i="6"/>
  <c r="P1362" i="6"/>
  <c r="O1270" i="6"/>
  <c r="P1270" i="6"/>
  <c r="P315" i="6"/>
  <c r="O315" i="6"/>
  <c r="P2001" i="6"/>
  <c r="O2001" i="6"/>
  <c r="I51" i="3"/>
  <c r="D52" i="3" s="1"/>
  <c r="F52" i="3" s="1"/>
  <c r="O2871" i="6" l="1"/>
  <c r="O2853" i="6"/>
  <c r="H94" i="3"/>
  <c r="I94" i="3" s="1"/>
  <c r="D95" i="3" s="1"/>
  <c r="F95" i="3" s="1"/>
  <c r="P1638" i="6"/>
  <c r="O1638" i="6"/>
  <c r="P2814" i="6"/>
  <c r="O2814" i="6"/>
  <c r="N2867" i="6"/>
  <c r="N2862" i="6"/>
  <c r="N2744" i="6"/>
  <c r="N2881" i="6"/>
  <c r="N2840" i="6"/>
  <c r="N2757" i="6"/>
  <c r="O1707" i="6"/>
  <c r="P1707" i="6"/>
  <c r="K38" i="3"/>
  <c r="J38" i="3"/>
  <c r="N37" i="3"/>
  <c r="L37" i="3"/>
  <c r="P2816" i="6"/>
  <c r="O2816" i="6"/>
  <c r="K65" i="3"/>
  <c r="J65" i="3"/>
  <c r="P63" i="6"/>
  <c r="O63" i="6"/>
  <c r="P1263" i="6"/>
  <c r="O1263" i="6"/>
  <c r="O2806" i="6"/>
  <c r="P2806" i="6"/>
  <c r="P1375" i="6"/>
  <c r="O1375" i="6"/>
  <c r="O1200" i="6"/>
  <c r="P1200" i="6"/>
  <c r="I38" i="3"/>
  <c r="D39" i="3" s="1"/>
  <c r="F39" i="3" s="1"/>
  <c r="I65" i="3"/>
  <c r="D66" i="3" s="1"/>
  <c r="F66" i="3" s="1"/>
  <c r="P2768" i="6"/>
  <c r="O2768" i="6"/>
  <c r="O2707" i="6"/>
  <c r="P2707" i="6"/>
  <c r="P2781" i="6"/>
  <c r="O2781" i="6"/>
  <c r="P569" i="6"/>
  <c r="O569" i="6"/>
  <c r="P948" i="6"/>
  <c r="O948" i="6"/>
  <c r="J93" i="3"/>
  <c r="N2599" i="6"/>
  <c r="N2667" i="6"/>
  <c r="N2306" i="6"/>
  <c r="N2108" i="6"/>
  <c r="N2503" i="6"/>
  <c r="N2672" i="6"/>
  <c r="N2250" i="6"/>
  <c r="N2247" i="6"/>
  <c r="N2010" i="6"/>
  <c r="N1974" i="6"/>
  <c r="N1723" i="6"/>
  <c r="N1816" i="6"/>
  <c r="N1864" i="6"/>
  <c r="N1835" i="6"/>
  <c r="N1042" i="6"/>
  <c r="N1007" i="6"/>
  <c r="N1887" i="6"/>
  <c r="N1014" i="6"/>
  <c r="N1322" i="6"/>
  <c r="N1136" i="6"/>
  <c r="N1728" i="6"/>
  <c r="N811" i="6"/>
  <c r="N173" i="6"/>
  <c r="N535" i="6"/>
  <c r="N73" i="6"/>
  <c r="N150" i="6"/>
  <c r="N35" i="6"/>
  <c r="N255" i="6"/>
  <c r="N135" i="6"/>
  <c r="N302" i="6"/>
  <c r="N317" i="6"/>
  <c r="N13" i="6"/>
  <c r="N179" i="6"/>
  <c r="N451" i="6"/>
  <c r="N1780" i="6"/>
  <c r="N611" i="6"/>
  <c r="N209" i="6"/>
  <c r="N650" i="6"/>
  <c r="N1304" i="6"/>
  <c r="N1490" i="6"/>
  <c r="N502" i="6"/>
  <c r="N383" i="6"/>
  <c r="N68" i="6"/>
  <c r="N32" i="6"/>
  <c r="N841" i="6"/>
  <c r="N1766" i="6"/>
  <c r="N2064" i="6"/>
  <c r="N1785" i="6"/>
  <c r="N189" i="6"/>
  <c r="N1966" i="6"/>
  <c r="N1232" i="6"/>
  <c r="N2128" i="6"/>
  <c r="N1672" i="6"/>
  <c r="N2530" i="6"/>
  <c r="N2309" i="6"/>
  <c r="N2645" i="6"/>
  <c r="N2087" i="6"/>
  <c r="O2855" i="6"/>
  <c r="P2855" i="6"/>
  <c r="H121" i="3"/>
  <c r="I121" i="3" s="1"/>
  <c r="D122" i="3" s="1"/>
  <c r="F122" i="3" s="1"/>
  <c r="H149" i="3"/>
  <c r="I149" i="3" s="1"/>
  <c r="D150" i="3" s="1"/>
  <c r="F150" i="3" s="1"/>
  <c r="N92" i="3"/>
  <c r="N43" i="6" s="1"/>
  <c r="L92" i="3"/>
  <c r="P1582" i="6"/>
  <c r="O1582" i="6"/>
  <c r="P1115" i="6"/>
  <c r="O1115" i="6"/>
  <c r="P2820" i="6"/>
  <c r="O2820" i="6"/>
  <c r="H52" i="3"/>
  <c r="N77" i="3"/>
  <c r="N53" i="6" s="1"/>
  <c r="L77" i="3"/>
  <c r="H163" i="3"/>
  <c r="J23" i="3"/>
  <c r="K23" i="3"/>
  <c r="O1695" i="6"/>
  <c r="P1695" i="6"/>
  <c r="N2551" i="6"/>
  <c r="N2562" i="6"/>
  <c r="N2595" i="6"/>
  <c r="N2327" i="6"/>
  <c r="N2003" i="6"/>
  <c r="N2040" i="6"/>
  <c r="N2141" i="6"/>
  <c r="N1317" i="6"/>
  <c r="N1364" i="6"/>
  <c r="N1504" i="6"/>
  <c r="N1128" i="6"/>
  <c r="N957" i="6"/>
  <c r="N850" i="6"/>
  <c r="N786" i="6"/>
  <c r="N598" i="6"/>
  <c r="N534" i="6"/>
  <c r="N326" i="6"/>
  <c r="N316" i="6"/>
  <c r="N30" i="6"/>
  <c r="N424" i="6"/>
  <c r="N328" i="6"/>
  <c r="N10" i="6"/>
  <c r="N90" i="6"/>
  <c r="N85" i="6"/>
  <c r="N115" i="6"/>
  <c r="N491" i="6"/>
  <c r="N1466" i="6"/>
  <c r="N284" i="6"/>
  <c r="N700" i="6"/>
  <c r="N644" i="6"/>
  <c r="N1259" i="6"/>
  <c r="N2130" i="6"/>
  <c r="N2147" i="6"/>
  <c r="N1185" i="6"/>
  <c r="N1339" i="6"/>
  <c r="N2246" i="6"/>
  <c r="N1012" i="6"/>
  <c r="N2155" i="6"/>
  <c r="N2618" i="6"/>
  <c r="N2134" i="6"/>
  <c r="N1168" i="6"/>
  <c r="N524" i="6"/>
  <c r="N2539" i="6"/>
  <c r="N2256" i="6"/>
  <c r="N1310" i="6"/>
  <c r="I23" i="3"/>
  <c r="D24" i="3" s="1"/>
  <c r="F24" i="3" s="1"/>
  <c r="L51" i="3"/>
  <c r="N51" i="3"/>
  <c r="P773" i="6"/>
  <c r="O773" i="6"/>
  <c r="O1473" i="6"/>
  <c r="P1473" i="6"/>
  <c r="P2728" i="6"/>
  <c r="O2728" i="6"/>
  <c r="N2480" i="6"/>
  <c r="N2364" i="6"/>
  <c r="N2427" i="6"/>
  <c r="N1995" i="6"/>
  <c r="N1492" i="6"/>
  <c r="N1594" i="6"/>
  <c r="N1278" i="6"/>
  <c r="N1396" i="6"/>
  <c r="N1363" i="6"/>
  <c r="N1221" i="6"/>
  <c r="N398" i="6"/>
  <c r="N661" i="6"/>
  <c r="N437" i="6"/>
  <c r="N416" i="6"/>
  <c r="N933" i="6"/>
  <c r="N1941" i="6"/>
  <c r="N1320" i="6"/>
  <c r="N1903" i="6"/>
  <c r="N2277" i="6"/>
  <c r="N1361" i="6"/>
  <c r="N1356" i="6"/>
  <c r="N1815" i="6"/>
  <c r="N1169" i="6"/>
  <c r="N559" i="6"/>
  <c r="J78" i="3"/>
  <c r="K78" i="3"/>
  <c r="K162" i="3"/>
  <c r="J162" i="3"/>
  <c r="J148" i="3"/>
  <c r="K148" i="3"/>
  <c r="P1854" i="6"/>
  <c r="O1854" i="6"/>
  <c r="L134" i="3"/>
  <c r="N134" i="3"/>
  <c r="N2847" i="6"/>
  <c r="N2752" i="6"/>
  <c r="N2777" i="6"/>
  <c r="F19" i="1"/>
  <c r="N7" i="3"/>
  <c r="L7" i="3"/>
  <c r="O1205" i="6"/>
  <c r="P1205" i="6"/>
  <c r="P2773" i="6"/>
  <c r="O2773" i="6"/>
  <c r="P2062" i="6"/>
  <c r="O2062" i="6"/>
  <c r="P2125" i="6"/>
  <c r="O2125" i="6"/>
  <c r="P2684" i="6"/>
  <c r="O2684" i="6"/>
  <c r="H79" i="3"/>
  <c r="H136" i="3"/>
  <c r="I136" i="3" s="1"/>
  <c r="D137" i="3" s="1"/>
  <c r="F137" i="3" s="1"/>
  <c r="O2863" i="6"/>
  <c r="P2863" i="6"/>
  <c r="N2361" i="6"/>
  <c r="N2143" i="6"/>
  <c r="N2048" i="6"/>
  <c r="N1641" i="6"/>
  <c r="N1609" i="6"/>
  <c r="N453" i="6"/>
  <c r="N1242" i="6"/>
  <c r="N492" i="6"/>
  <c r="N1018" i="6"/>
  <c r="N574" i="6"/>
  <c r="N1061" i="6"/>
  <c r="N2086" i="6"/>
  <c r="N1336" i="6"/>
  <c r="N476" i="6"/>
  <c r="N1686" i="6"/>
  <c r="N953" i="6"/>
  <c r="N1868" i="6"/>
  <c r="N1717" i="6"/>
  <c r="N2412" i="6"/>
  <c r="O1889" i="6"/>
  <c r="P1889" i="6"/>
  <c r="P2832" i="6"/>
  <c r="O2832" i="6"/>
  <c r="O2190" i="6"/>
  <c r="P2190" i="6"/>
  <c r="P1937" i="6"/>
  <c r="O1937" i="6"/>
  <c r="O2823" i="6"/>
  <c r="P2823" i="6"/>
  <c r="K135" i="3"/>
  <c r="J135" i="3"/>
  <c r="O572" i="6"/>
  <c r="P572" i="6"/>
  <c r="O2330" i="6"/>
  <c r="P2330" i="6"/>
  <c r="O2799" i="6"/>
  <c r="P2799" i="6"/>
  <c r="N107" i="3"/>
  <c r="L107" i="3"/>
  <c r="O2714" i="6"/>
  <c r="P2714" i="6"/>
  <c r="H8" i="3"/>
  <c r="K108" i="3"/>
  <c r="J108" i="3"/>
  <c r="O2764" i="6"/>
  <c r="P2764" i="6"/>
  <c r="O2779" i="6"/>
  <c r="P2779" i="6"/>
  <c r="N2865" i="6"/>
  <c r="N2789" i="6"/>
  <c r="N2813" i="6"/>
  <c r="N2785" i="6"/>
  <c r="I108" i="3"/>
  <c r="D109" i="3" s="1"/>
  <c r="F109" i="3" s="1"/>
  <c r="H137" i="3" l="1"/>
  <c r="H95" i="3"/>
  <c r="J95" i="3" s="1"/>
  <c r="O1339" i="6"/>
  <c r="P1339" i="6"/>
  <c r="O90" i="6"/>
  <c r="P90" i="6"/>
  <c r="O1128" i="6"/>
  <c r="P1128" i="6"/>
  <c r="O1766" i="6"/>
  <c r="P1766" i="6"/>
  <c r="P451" i="6"/>
  <c r="O451" i="6"/>
  <c r="P811" i="6"/>
  <c r="O811" i="6"/>
  <c r="O1974" i="6"/>
  <c r="P1974" i="6"/>
  <c r="P2881" i="6"/>
  <c r="O2881" i="6"/>
  <c r="P1780" i="6"/>
  <c r="O1780" i="6"/>
  <c r="O1641" i="6"/>
  <c r="P1641" i="6"/>
  <c r="L162" i="3"/>
  <c r="N162" i="3"/>
  <c r="O1941" i="6"/>
  <c r="P1941" i="6"/>
  <c r="P1995" i="6"/>
  <c r="O1995" i="6"/>
  <c r="H24" i="3"/>
  <c r="I24" i="3" s="1"/>
  <c r="D25" i="3" s="1"/>
  <c r="F25" i="3" s="1"/>
  <c r="P1185" i="6"/>
  <c r="O1185" i="6"/>
  <c r="O10" i="6"/>
  <c r="P10" i="6"/>
  <c r="O1504" i="6"/>
  <c r="P1504" i="6"/>
  <c r="O2087" i="6"/>
  <c r="P2087" i="6"/>
  <c r="O841" i="6"/>
  <c r="P841" i="6"/>
  <c r="P179" i="6"/>
  <c r="O179" i="6"/>
  <c r="O1728" i="6"/>
  <c r="P1728" i="6"/>
  <c r="O2010" i="6"/>
  <c r="P2010" i="6"/>
  <c r="P2744" i="6"/>
  <c r="O2744" i="6"/>
  <c r="N148" i="3"/>
  <c r="L148" i="3"/>
  <c r="P85" i="6"/>
  <c r="O85" i="6"/>
  <c r="L65" i="3"/>
  <c r="N65" i="3"/>
  <c r="O1609" i="6"/>
  <c r="P1609" i="6"/>
  <c r="N2597" i="6"/>
  <c r="N2650" i="6"/>
  <c r="N2336" i="6"/>
  <c r="N2623" i="6"/>
  <c r="N2470" i="6"/>
  <c r="N2060" i="6"/>
  <c r="N2307" i="6"/>
  <c r="N2191" i="6"/>
  <c r="N2317" i="6"/>
  <c r="N2059" i="6"/>
  <c r="N1992" i="6"/>
  <c r="N2129" i="6"/>
  <c r="N1957" i="6"/>
  <c r="N2008" i="6"/>
  <c r="N1795" i="6"/>
  <c r="N1684" i="6"/>
  <c r="N1735" i="6"/>
  <c r="N1615" i="6"/>
  <c r="N1552" i="6"/>
  <c r="N950" i="6"/>
  <c r="N1003" i="6"/>
  <c r="N1215" i="6"/>
  <c r="N1354" i="6"/>
  <c r="N494" i="6"/>
  <c r="N461" i="6"/>
  <c r="N659" i="6"/>
  <c r="N597" i="6"/>
  <c r="N271" i="6"/>
  <c r="N263" i="6"/>
  <c r="N1188" i="6"/>
  <c r="N651" i="6"/>
  <c r="N142" i="6"/>
  <c r="N256" i="6"/>
  <c r="N1147" i="6"/>
  <c r="N618" i="6"/>
  <c r="N1729" i="6"/>
  <c r="N172" i="6"/>
  <c r="N293" i="6"/>
  <c r="N2439" i="6"/>
  <c r="N1253" i="6"/>
  <c r="N1692" i="6"/>
  <c r="N2011" i="6"/>
  <c r="N2104" i="6"/>
  <c r="N2221" i="6"/>
  <c r="N2584" i="6"/>
  <c r="N2637" i="6"/>
  <c r="N2052" i="6"/>
  <c r="N1969" i="6"/>
  <c r="N2110" i="6"/>
  <c r="N2546" i="6"/>
  <c r="P2865" i="6"/>
  <c r="O2865" i="6"/>
  <c r="O2048" i="6"/>
  <c r="P2048" i="6"/>
  <c r="P328" i="6"/>
  <c r="O328" i="6"/>
  <c r="P1136" i="6"/>
  <c r="O1136" i="6"/>
  <c r="O2752" i="6"/>
  <c r="P2752" i="6"/>
  <c r="O2364" i="6"/>
  <c r="P2364" i="6"/>
  <c r="P424" i="6"/>
  <c r="O424" i="6"/>
  <c r="O68" i="6"/>
  <c r="P68" i="6"/>
  <c r="O2250" i="6"/>
  <c r="P2250" i="6"/>
  <c r="P1336" i="6"/>
  <c r="O1336" i="6"/>
  <c r="O437" i="6"/>
  <c r="P437" i="6"/>
  <c r="P1259" i="6"/>
  <c r="O1259" i="6"/>
  <c r="P2141" i="6"/>
  <c r="O2141" i="6"/>
  <c r="J163" i="3"/>
  <c r="K163" i="3"/>
  <c r="O383" i="6"/>
  <c r="P383" i="6"/>
  <c r="O1014" i="6"/>
  <c r="P1014" i="6"/>
  <c r="O2086" i="6"/>
  <c r="P2086" i="6"/>
  <c r="N2876" i="6"/>
  <c r="N2730" i="6"/>
  <c r="N2780" i="6"/>
  <c r="N2857" i="6"/>
  <c r="N2793" i="6"/>
  <c r="N2848" i="6"/>
  <c r="N2717" i="6"/>
  <c r="N2737" i="6"/>
  <c r="P559" i="6"/>
  <c r="O559" i="6"/>
  <c r="P661" i="6"/>
  <c r="O661" i="6"/>
  <c r="P524" i="6"/>
  <c r="O524" i="6"/>
  <c r="P644" i="6"/>
  <c r="O644" i="6"/>
  <c r="P316" i="6"/>
  <c r="O316" i="6"/>
  <c r="O2040" i="6"/>
  <c r="P2040" i="6"/>
  <c r="I163" i="3"/>
  <c r="D164" i="3" s="1"/>
  <c r="F164" i="3" s="1"/>
  <c r="P1672" i="6"/>
  <c r="O1672" i="6"/>
  <c r="O502" i="6"/>
  <c r="P502" i="6"/>
  <c r="P135" i="6"/>
  <c r="O135" i="6"/>
  <c r="P1887" i="6"/>
  <c r="O1887" i="6"/>
  <c r="P2503" i="6"/>
  <c r="O2503" i="6"/>
  <c r="N2807" i="6"/>
  <c r="N2720" i="6"/>
  <c r="P453" i="6"/>
  <c r="O453" i="6"/>
  <c r="P2246" i="6"/>
  <c r="O2246" i="6"/>
  <c r="O1723" i="6"/>
  <c r="P1723" i="6"/>
  <c r="H39" i="3"/>
  <c r="I39" i="3" s="1"/>
  <c r="D40" i="3" s="1"/>
  <c r="F40" i="3" s="1"/>
  <c r="P1868" i="6"/>
  <c r="O1868" i="6"/>
  <c r="P1492" i="6"/>
  <c r="O1492" i="6"/>
  <c r="P2777" i="6"/>
  <c r="O2777" i="6"/>
  <c r="O2147" i="6"/>
  <c r="P2147" i="6"/>
  <c r="P2247" i="6"/>
  <c r="O2247" i="6"/>
  <c r="O476" i="6"/>
  <c r="P476" i="6"/>
  <c r="P416" i="6"/>
  <c r="O416" i="6"/>
  <c r="P2130" i="6"/>
  <c r="O2130" i="6"/>
  <c r="O2309" i="6"/>
  <c r="P2309" i="6"/>
  <c r="O1322" i="6"/>
  <c r="P1322" i="6"/>
  <c r="P2361" i="6"/>
  <c r="O2361" i="6"/>
  <c r="P2539" i="6"/>
  <c r="O2539" i="6"/>
  <c r="P1169" i="6"/>
  <c r="O1169" i="6"/>
  <c r="P398" i="6"/>
  <c r="O398" i="6"/>
  <c r="P1168" i="6"/>
  <c r="O1168" i="6"/>
  <c r="P700" i="6"/>
  <c r="O700" i="6"/>
  <c r="O326" i="6"/>
  <c r="P326" i="6"/>
  <c r="O2003" i="6"/>
  <c r="P2003" i="6"/>
  <c r="O43" i="6"/>
  <c r="P43" i="6"/>
  <c r="P2128" i="6"/>
  <c r="O2128" i="6"/>
  <c r="O1490" i="6"/>
  <c r="P1490" i="6"/>
  <c r="P255" i="6"/>
  <c r="O255" i="6"/>
  <c r="P1007" i="6"/>
  <c r="O1007" i="6"/>
  <c r="O2108" i="6"/>
  <c r="P2108" i="6"/>
  <c r="N38" i="3"/>
  <c r="L38" i="3"/>
  <c r="O2813" i="6"/>
  <c r="P2813" i="6"/>
  <c r="O1903" i="6"/>
  <c r="P1903" i="6"/>
  <c r="N2382" i="6"/>
  <c r="N2342" i="6"/>
  <c r="N1873" i="6"/>
  <c r="N1828" i="6"/>
  <c r="N2005" i="6"/>
  <c r="N1630" i="6"/>
  <c r="N1768" i="6"/>
  <c r="N2034" i="6"/>
  <c r="N1534" i="6"/>
  <c r="N1659" i="6"/>
  <c r="N1070" i="6"/>
  <c r="N1933" i="6"/>
  <c r="N1134" i="6"/>
  <c r="N1171" i="6"/>
  <c r="N934" i="6"/>
  <c r="N840" i="6"/>
  <c r="N802" i="6"/>
  <c r="N1286" i="6"/>
  <c r="N796" i="6"/>
  <c r="N525" i="6"/>
  <c r="N472" i="6"/>
  <c r="N1143" i="6"/>
  <c r="N927" i="6"/>
  <c r="N446" i="6"/>
  <c r="N443" i="6"/>
  <c r="N348" i="6"/>
  <c r="N291" i="6"/>
  <c r="N124" i="6"/>
  <c r="N243" i="6"/>
  <c r="N202" i="6"/>
  <c r="N298" i="6"/>
  <c r="N980" i="6"/>
  <c r="N605" i="6"/>
  <c r="N155" i="6"/>
  <c r="N8" i="6"/>
  <c r="N2197" i="6"/>
  <c r="N47" i="6"/>
  <c r="N1035" i="6"/>
  <c r="N38" i="6"/>
  <c r="N368" i="6"/>
  <c r="N1222" i="6"/>
  <c r="N156" i="6"/>
  <c r="N182" i="6"/>
  <c r="N712" i="6"/>
  <c r="N1674" i="6"/>
  <c r="N560" i="6"/>
  <c r="N1645" i="6"/>
  <c r="N912" i="6"/>
  <c r="N1424" i="6"/>
  <c r="N1258" i="6"/>
  <c r="N1112" i="6"/>
  <c r="N1528" i="6"/>
  <c r="N301" i="6"/>
  <c r="N2091" i="6"/>
  <c r="N2358" i="6"/>
  <c r="N1308" i="6"/>
  <c r="N2331" i="6"/>
  <c r="N2464" i="6"/>
  <c r="N1661" i="6"/>
  <c r="N1801" i="6"/>
  <c r="N882" i="6"/>
  <c r="N1443" i="6"/>
  <c r="N2553" i="6"/>
  <c r="N2390" i="6"/>
  <c r="N2589" i="6"/>
  <c r="N1125" i="6"/>
  <c r="N2766" i="6"/>
  <c r="N2754" i="6"/>
  <c r="N2845" i="6"/>
  <c r="N2736" i="6"/>
  <c r="N2677" i="6"/>
  <c r="N2729" i="6"/>
  <c r="P933" i="6"/>
  <c r="O933" i="6"/>
  <c r="O1364" i="6"/>
  <c r="P1364" i="6"/>
  <c r="P13" i="6"/>
  <c r="O13" i="6"/>
  <c r="O2143" i="6"/>
  <c r="P2143" i="6"/>
  <c r="O2256" i="6"/>
  <c r="P2256" i="6"/>
  <c r="O1317" i="6"/>
  <c r="P1317" i="6"/>
  <c r="N23" i="3"/>
  <c r="L23" i="3"/>
  <c r="P317" i="6"/>
  <c r="O317" i="6"/>
  <c r="O2867" i="6"/>
  <c r="P2867" i="6"/>
  <c r="O2847" i="6"/>
  <c r="P2847" i="6"/>
  <c r="N78" i="3"/>
  <c r="L78" i="3"/>
  <c r="O2480" i="6"/>
  <c r="P2480" i="6"/>
  <c r="O30" i="6"/>
  <c r="P30" i="6"/>
  <c r="O2530" i="6"/>
  <c r="P2530" i="6"/>
  <c r="P302" i="6"/>
  <c r="O302" i="6"/>
  <c r="O2672" i="6"/>
  <c r="P2672" i="6"/>
  <c r="N108" i="3"/>
  <c r="L108" i="3"/>
  <c r="P1061" i="6"/>
  <c r="O1061" i="6"/>
  <c r="O574" i="6"/>
  <c r="P574" i="6"/>
  <c r="O1815" i="6"/>
  <c r="P1815" i="6"/>
  <c r="O1221" i="6"/>
  <c r="P1221" i="6"/>
  <c r="P2134" i="6"/>
  <c r="O2134" i="6"/>
  <c r="P284" i="6"/>
  <c r="O284" i="6"/>
  <c r="P534" i="6"/>
  <c r="O534" i="6"/>
  <c r="P2327" i="6"/>
  <c r="O2327" i="6"/>
  <c r="K149" i="3"/>
  <c r="J149" i="3"/>
  <c r="P1232" i="6"/>
  <c r="O1232" i="6"/>
  <c r="P1304" i="6"/>
  <c r="O1304" i="6"/>
  <c r="O35" i="6"/>
  <c r="P35" i="6"/>
  <c r="O1042" i="6"/>
  <c r="P1042" i="6"/>
  <c r="O2306" i="6"/>
  <c r="P2306" i="6"/>
  <c r="P957" i="6"/>
  <c r="O957" i="6"/>
  <c r="P2789" i="6"/>
  <c r="O2789" i="6"/>
  <c r="P1686" i="6"/>
  <c r="O1686" i="6"/>
  <c r="P32" i="6"/>
  <c r="O32" i="6"/>
  <c r="K136" i="3"/>
  <c r="J136" i="3"/>
  <c r="O2618" i="6"/>
  <c r="P2618" i="6"/>
  <c r="P1466" i="6"/>
  <c r="O1466" i="6"/>
  <c r="O598" i="6"/>
  <c r="P598" i="6"/>
  <c r="O2595" i="6"/>
  <c r="P2595" i="6"/>
  <c r="P53" i="6"/>
  <c r="O53" i="6"/>
  <c r="H150" i="3"/>
  <c r="I150" i="3" s="1"/>
  <c r="D151" i="3" s="1"/>
  <c r="F151" i="3" s="1"/>
  <c r="P1966" i="6"/>
  <c r="O1966" i="6"/>
  <c r="O650" i="6"/>
  <c r="P650" i="6"/>
  <c r="O150" i="6"/>
  <c r="P150" i="6"/>
  <c r="O1835" i="6"/>
  <c r="P1835" i="6"/>
  <c r="O2667" i="6"/>
  <c r="P2667" i="6"/>
  <c r="O1717" i="6"/>
  <c r="P1717" i="6"/>
  <c r="O173" i="6"/>
  <c r="P173" i="6"/>
  <c r="P1320" i="6"/>
  <c r="O1320" i="6"/>
  <c r="P1310" i="6"/>
  <c r="O1310" i="6"/>
  <c r="P1018" i="6"/>
  <c r="O1018" i="6"/>
  <c r="J79" i="3"/>
  <c r="P1396" i="6"/>
  <c r="O1396" i="6"/>
  <c r="P786" i="6"/>
  <c r="O786" i="6"/>
  <c r="J52" i="3"/>
  <c r="K52" i="3"/>
  <c r="H122" i="3"/>
  <c r="P189" i="6"/>
  <c r="O189" i="6"/>
  <c r="P209" i="6"/>
  <c r="O209" i="6"/>
  <c r="P73" i="6"/>
  <c r="O73" i="6"/>
  <c r="O1864" i="6"/>
  <c r="P1864" i="6"/>
  <c r="P2599" i="6"/>
  <c r="O2599" i="6"/>
  <c r="K94" i="3"/>
  <c r="J94" i="3"/>
  <c r="O1594" i="6"/>
  <c r="P1594" i="6"/>
  <c r="O2064" i="6"/>
  <c r="P2064" i="6"/>
  <c r="P2840" i="6"/>
  <c r="O2840" i="6"/>
  <c r="P953" i="6"/>
  <c r="O953" i="6"/>
  <c r="P2427" i="6"/>
  <c r="O2427" i="6"/>
  <c r="P2645" i="6"/>
  <c r="O2645" i="6"/>
  <c r="P2862" i="6"/>
  <c r="O2862" i="6"/>
  <c r="K8" i="3"/>
  <c r="J8" i="3"/>
  <c r="O1356" i="6"/>
  <c r="P1356" i="6"/>
  <c r="P1363" i="6"/>
  <c r="O1363" i="6"/>
  <c r="H109" i="3"/>
  <c r="I109" i="3" s="1"/>
  <c r="D110" i="3" s="1"/>
  <c r="F110" i="3" s="1"/>
  <c r="I8" i="3"/>
  <c r="P492" i="6"/>
  <c r="O492" i="6"/>
  <c r="O1361" i="6"/>
  <c r="P1361" i="6"/>
  <c r="O2155" i="6"/>
  <c r="P2155" i="6"/>
  <c r="O491" i="6"/>
  <c r="P491" i="6"/>
  <c r="P2562" i="6"/>
  <c r="O2562" i="6"/>
  <c r="O2785" i="6"/>
  <c r="P2785" i="6"/>
  <c r="N135" i="3"/>
  <c r="L135" i="3"/>
  <c r="P2412" i="6"/>
  <c r="O2412" i="6"/>
  <c r="O1242" i="6"/>
  <c r="P1242" i="6"/>
  <c r="I79" i="3"/>
  <c r="D80" i="3" s="1"/>
  <c r="F80" i="3" s="1"/>
  <c r="O2277" i="6"/>
  <c r="P2277" i="6"/>
  <c r="O1278" i="6"/>
  <c r="P1278" i="6"/>
  <c r="O1012" i="6"/>
  <c r="P1012" i="6"/>
  <c r="P115" i="6"/>
  <c r="O115" i="6"/>
  <c r="P850" i="6"/>
  <c r="O850" i="6"/>
  <c r="P2551" i="6"/>
  <c r="O2551" i="6"/>
  <c r="I52" i="3"/>
  <c r="D53" i="3" s="1"/>
  <c r="F53" i="3" s="1"/>
  <c r="K121" i="3"/>
  <c r="J121" i="3"/>
  <c r="P1785" i="6"/>
  <c r="O1785" i="6"/>
  <c r="P611" i="6"/>
  <c r="O611" i="6"/>
  <c r="P535" i="6"/>
  <c r="O535" i="6"/>
  <c r="P1816" i="6"/>
  <c r="O1816" i="6"/>
  <c r="H66" i="3"/>
  <c r="I66" i="3" s="1"/>
  <c r="D67" i="3" s="1"/>
  <c r="F67" i="3" s="1"/>
  <c r="P2757" i="6"/>
  <c r="O2757" i="6"/>
  <c r="I95" i="3" l="1"/>
  <c r="D96" i="3" s="1"/>
  <c r="F96" i="3" s="1"/>
  <c r="H96" i="3" s="1"/>
  <c r="H151" i="3"/>
  <c r="H25" i="3"/>
  <c r="H67" i="3"/>
  <c r="O2845" i="6"/>
  <c r="P2845" i="6"/>
  <c r="P1674" i="6"/>
  <c r="O1674" i="6"/>
  <c r="P605" i="6"/>
  <c r="O605" i="6"/>
  <c r="P472" i="6"/>
  <c r="O472" i="6"/>
  <c r="P1534" i="6"/>
  <c r="O1534" i="6"/>
  <c r="O2807" i="6"/>
  <c r="P2807" i="6"/>
  <c r="O2737" i="6"/>
  <c r="P2737" i="6"/>
  <c r="P2221" i="6"/>
  <c r="O2221" i="6"/>
  <c r="O142" i="6"/>
  <c r="P142" i="6"/>
  <c r="O950" i="6"/>
  <c r="P950" i="6"/>
  <c r="O2191" i="6"/>
  <c r="P2191" i="6"/>
  <c r="N2875" i="6"/>
  <c r="N2784" i="6"/>
  <c r="N2850" i="6"/>
  <c r="N2690" i="6"/>
  <c r="N105" i="6"/>
  <c r="N6" i="6"/>
  <c r="P2754" i="6"/>
  <c r="O2754" i="6"/>
  <c r="P1308" i="6"/>
  <c r="O1308" i="6"/>
  <c r="P980" i="6"/>
  <c r="O980" i="6"/>
  <c r="P525" i="6"/>
  <c r="O525" i="6"/>
  <c r="P2034" i="6"/>
  <c r="O2034" i="6"/>
  <c r="P2717" i="6"/>
  <c r="O2717" i="6"/>
  <c r="P2104" i="6"/>
  <c r="O2104" i="6"/>
  <c r="O651" i="6"/>
  <c r="P651" i="6"/>
  <c r="O1552" i="6"/>
  <c r="P1552" i="6"/>
  <c r="P2307" i="6"/>
  <c r="O2307" i="6"/>
  <c r="P2331" i="6"/>
  <c r="O2331" i="6"/>
  <c r="K109" i="3"/>
  <c r="J109" i="3"/>
  <c r="L94" i="3"/>
  <c r="N94" i="3"/>
  <c r="N61" i="6" s="1"/>
  <c r="K122" i="3"/>
  <c r="J122" i="3"/>
  <c r="P712" i="6"/>
  <c r="O712" i="6"/>
  <c r="H53" i="3"/>
  <c r="I122" i="3"/>
  <c r="D123" i="3" s="1"/>
  <c r="F123" i="3" s="1"/>
  <c r="O2766" i="6"/>
  <c r="P2766" i="6"/>
  <c r="O2358" i="6"/>
  <c r="P2358" i="6"/>
  <c r="O182" i="6"/>
  <c r="P182" i="6"/>
  <c r="O298" i="6"/>
  <c r="P298" i="6"/>
  <c r="P796" i="6"/>
  <c r="O796" i="6"/>
  <c r="O1768" i="6"/>
  <c r="P1768" i="6"/>
  <c r="N2735" i="6"/>
  <c r="N2877" i="6"/>
  <c r="N2828" i="6"/>
  <c r="N2833" i="6"/>
  <c r="N2749" i="6"/>
  <c r="O2848" i="6"/>
  <c r="P2848" i="6"/>
  <c r="P2011" i="6"/>
  <c r="O2011" i="6"/>
  <c r="P1188" i="6"/>
  <c r="O1188" i="6"/>
  <c r="P1615" i="6"/>
  <c r="O1615" i="6"/>
  <c r="O2060" i="6"/>
  <c r="P2060" i="6"/>
  <c r="P2793" i="6"/>
  <c r="O2793" i="6"/>
  <c r="L163" i="3"/>
  <c r="N163" i="3"/>
  <c r="O1253" i="6"/>
  <c r="P1253" i="6"/>
  <c r="P2390" i="6"/>
  <c r="O2390" i="6"/>
  <c r="P597" i="6"/>
  <c r="O597" i="6"/>
  <c r="P291" i="6"/>
  <c r="O291" i="6"/>
  <c r="O659" i="6"/>
  <c r="P659" i="6"/>
  <c r="P1035" i="6"/>
  <c r="O1035" i="6"/>
  <c r="O2342" i="6"/>
  <c r="P2342" i="6"/>
  <c r="P2876" i="6"/>
  <c r="O2876" i="6"/>
  <c r="O2110" i="6"/>
  <c r="P2110" i="6"/>
  <c r="O172" i="6"/>
  <c r="P172" i="6"/>
  <c r="O461" i="6"/>
  <c r="P461" i="6"/>
  <c r="O1957" i="6"/>
  <c r="P1957" i="6"/>
  <c r="O2597" i="6"/>
  <c r="P2597" i="6"/>
  <c r="P2091" i="6"/>
  <c r="O2091" i="6"/>
  <c r="P1630" i="6"/>
  <c r="O1630" i="6"/>
  <c r="P2470" i="6"/>
  <c r="O2470" i="6"/>
  <c r="O1222" i="6"/>
  <c r="P1222" i="6"/>
  <c r="O1112" i="6"/>
  <c r="P1112" i="6"/>
  <c r="P2730" i="6"/>
  <c r="O2730" i="6"/>
  <c r="O2546" i="6"/>
  <c r="P2546" i="6"/>
  <c r="O2008" i="6"/>
  <c r="P2008" i="6"/>
  <c r="N2474" i="6"/>
  <c r="N2421" i="6"/>
  <c r="N1245" i="6"/>
  <c r="N1382" i="6"/>
  <c r="N1608" i="6"/>
  <c r="N2607" i="6"/>
  <c r="N1407" i="6"/>
  <c r="N1341" i="6"/>
  <c r="N920" i="6"/>
  <c r="N522" i="6"/>
  <c r="N1149" i="6"/>
  <c r="N726" i="6"/>
  <c r="N595" i="6"/>
  <c r="N1069" i="6"/>
  <c r="N518" i="6"/>
  <c r="N626" i="6"/>
  <c r="N620" i="6"/>
  <c r="N2347" i="6"/>
  <c r="N638" i="6"/>
  <c r="N1045" i="6"/>
  <c r="N743" i="6"/>
  <c r="N669" i="6"/>
  <c r="N1388" i="6"/>
  <c r="N2179" i="6"/>
  <c r="N2457" i="6"/>
  <c r="N1072" i="6"/>
  <c r="N1602" i="6"/>
  <c r="N1694" i="6"/>
  <c r="N1464" i="6"/>
  <c r="N1726" i="6"/>
  <c r="N1797" i="6"/>
  <c r="N2220" i="6"/>
  <c r="P1258" i="6"/>
  <c r="O1258" i="6"/>
  <c r="O348" i="6"/>
  <c r="P348" i="6"/>
  <c r="N2590" i="6"/>
  <c r="N2319" i="6"/>
  <c r="N2608" i="6"/>
  <c r="N2288" i="6"/>
  <c r="N1965" i="6"/>
  <c r="N1516" i="6"/>
  <c r="N1872" i="6"/>
  <c r="N1209" i="6"/>
  <c r="N839" i="6"/>
  <c r="N807" i="6"/>
  <c r="N551" i="6"/>
  <c r="N2368" i="6"/>
  <c r="N440" i="6"/>
  <c r="N892" i="6"/>
  <c r="N1834" i="6"/>
  <c r="N1065" i="6"/>
  <c r="N1213" i="6"/>
  <c r="N748" i="6"/>
  <c r="N2278" i="6"/>
  <c r="N2038" i="6"/>
  <c r="N2558" i="6"/>
  <c r="O882" i="6"/>
  <c r="P882" i="6"/>
  <c r="P1424" i="6"/>
  <c r="O1424" i="6"/>
  <c r="P47" i="6"/>
  <c r="O47" i="6"/>
  <c r="P443" i="6"/>
  <c r="O443" i="6"/>
  <c r="O1134" i="6"/>
  <c r="P1134" i="6"/>
  <c r="P2382" i="6"/>
  <c r="O2382" i="6"/>
  <c r="O1969" i="6"/>
  <c r="P1969" i="6"/>
  <c r="O1729" i="6"/>
  <c r="P1729" i="6"/>
  <c r="P494" i="6"/>
  <c r="O494" i="6"/>
  <c r="P2129" i="6"/>
  <c r="O2129" i="6"/>
  <c r="N121" i="3"/>
  <c r="N2724" i="6" s="1"/>
  <c r="L121" i="3"/>
  <c r="O202" i="6"/>
  <c r="P202" i="6"/>
  <c r="H40" i="3"/>
  <c r="P263" i="6"/>
  <c r="O263" i="6"/>
  <c r="P2589" i="6"/>
  <c r="O2589" i="6"/>
  <c r="P802" i="6"/>
  <c r="O802" i="6"/>
  <c r="O271" i="6"/>
  <c r="P271" i="6"/>
  <c r="N52" i="3"/>
  <c r="L52" i="3"/>
  <c r="N149" i="3"/>
  <c r="L149" i="3"/>
  <c r="O124" i="6"/>
  <c r="P124" i="6"/>
  <c r="P2780" i="6"/>
  <c r="O2780" i="6"/>
  <c r="P2336" i="6"/>
  <c r="O2336" i="6"/>
  <c r="P2553" i="6"/>
  <c r="O2553" i="6"/>
  <c r="P1873" i="6"/>
  <c r="O1873" i="6"/>
  <c r="P293" i="6"/>
  <c r="O293" i="6"/>
  <c r="P2650" i="6"/>
  <c r="O2650" i="6"/>
  <c r="P1443" i="6"/>
  <c r="O1443" i="6"/>
  <c r="O1171" i="6"/>
  <c r="P1171" i="6"/>
  <c r="F20" i="1"/>
  <c r="N8" i="3"/>
  <c r="L8" i="3"/>
  <c r="L136" i="3"/>
  <c r="N136" i="3"/>
  <c r="P2729" i="6"/>
  <c r="O2729" i="6"/>
  <c r="P1801" i="6"/>
  <c r="O1801" i="6"/>
  <c r="P912" i="6"/>
  <c r="O912" i="6"/>
  <c r="P2197" i="6"/>
  <c r="O2197" i="6"/>
  <c r="P446" i="6"/>
  <c r="O446" i="6"/>
  <c r="O1933" i="6"/>
  <c r="P1933" i="6"/>
  <c r="O2052" i="6"/>
  <c r="P2052" i="6"/>
  <c r="O618" i="6"/>
  <c r="P618" i="6"/>
  <c r="O1354" i="6"/>
  <c r="P1354" i="6"/>
  <c r="O1992" i="6"/>
  <c r="P1992" i="6"/>
  <c r="N2084" i="6"/>
  <c r="N1745" i="6"/>
  <c r="N2093" i="6"/>
  <c r="N1833" i="6"/>
  <c r="N1620" i="6"/>
  <c r="N1750" i="6"/>
  <c r="N1287" i="6"/>
  <c r="N1663" i="6"/>
  <c r="N1441" i="6"/>
  <c r="N1272" i="6"/>
  <c r="N1254" i="6"/>
  <c r="N1047" i="6"/>
  <c r="N780" i="6"/>
  <c r="N607" i="6"/>
  <c r="N1079" i="6"/>
  <c r="N664" i="6"/>
  <c r="N919" i="6"/>
  <c r="N822" i="6"/>
  <c r="N684" i="6"/>
  <c r="N581" i="6"/>
  <c r="N864" i="6"/>
  <c r="N556" i="6"/>
  <c r="N497" i="6"/>
  <c r="N297" i="6"/>
  <c r="N530" i="6"/>
  <c r="N273" i="6"/>
  <c r="N455" i="6"/>
  <c r="N276" i="6"/>
  <c r="N100" i="6"/>
  <c r="N692" i="6"/>
  <c r="N7" i="6"/>
  <c r="N924" i="6"/>
  <c r="N2098" i="6"/>
  <c r="N2019" i="6"/>
  <c r="N2222" i="6"/>
  <c r="N1131" i="6"/>
  <c r="N1644" i="6"/>
  <c r="N23" i="6"/>
  <c r="N144" i="6"/>
  <c r="N112" i="6"/>
  <c r="N1044" i="6"/>
  <c r="N72" i="6"/>
  <c r="N1555" i="6"/>
  <c r="N548" i="6"/>
  <c r="N340" i="6"/>
  <c r="N771" i="6"/>
  <c r="N1507" i="6"/>
  <c r="N1558" i="6"/>
  <c r="N1913" i="6"/>
  <c r="N2207" i="6"/>
  <c r="N2505" i="6"/>
  <c r="N2119" i="6"/>
  <c r="N2145" i="6"/>
  <c r="N1710" i="6"/>
  <c r="N2568" i="6"/>
  <c r="H110" i="3"/>
  <c r="H80" i="3"/>
  <c r="I80" i="3" s="1"/>
  <c r="D81" i="3" s="1"/>
  <c r="F81" i="3" s="1"/>
  <c r="O1286" i="6"/>
  <c r="P1286" i="6"/>
  <c r="O1692" i="6"/>
  <c r="P1692" i="6"/>
  <c r="K24" i="3"/>
  <c r="J24" i="3"/>
  <c r="P301" i="6"/>
  <c r="O301" i="6"/>
  <c r="O2005" i="6"/>
  <c r="P2005" i="6"/>
  <c r="K39" i="3"/>
  <c r="J39" i="3"/>
  <c r="P1684" i="6"/>
  <c r="O1684" i="6"/>
  <c r="P1528" i="6"/>
  <c r="O1528" i="6"/>
  <c r="O1828" i="6"/>
  <c r="P1828" i="6"/>
  <c r="O1795" i="6"/>
  <c r="P1795" i="6"/>
  <c r="P38" i="6"/>
  <c r="O38" i="6"/>
  <c r="N2722" i="6"/>
  <c r="N2686" i="6"/>
  <c r="N2695" i="6"/>
  <c r="N2880" i="6"/>
  <c r="J150" i="3"/>
  <c r="K150" i="3"/>
  <c r="P2677" i="6"/>
  <c r="O2677" i="6"/>
  <c r="P1661" i="6"/>
  <c r="O1661" i="6"/>
  <c r="O1645" i="6"/>
  <c r="P1645" i="6"/>
  <c r="P8" i="6"/>
  <c r="O8" i="6"/>
  <c r="P927" i="6"/>
  <c r="O927" i="6"/>
  <c r="O1070" i="6"/>
  <c r="P1070" i="6"/>
  <c r="P2637" i="6"/>
  <c r="O2637" i="6"/>
  <c r="O1147" i="6"/>
  <c r="P1147" i="6"/>
  <c r="O1215" i="6"/>
  <c r="P1215" i="6"/>
  <c r="O2059" i="6"/>
  <c r="P2059" i="6"/>
  <c r="J137" i="3"/>
  <c r="K137" i="3"/>
  <c r="K66" i="3"/>
  <c r="J66" i="3"/>
  <c r="P1125" i="6"/>
  <c r="O1125" i="6"/>
  <c r="P156" i="6"/>
  <c r="O156" i="6"/>
  <c r="O1735" i="6"/>
  <c r="P1735" i="6"/>
  <c r="P243" i="6"/>
  <c r="O243" i="6"/>
  <c r="P2857" i="6"/>
  <c r="O2857" i="6"/>
  <c r="O2623" i="6"/>
  <c r="P2623" i="6"/>
  <c r="P368" i="6"/>
  <c r="O368" i="6"/>
  <c r="O840" i="6"/>
  <c r="P840" i="6"/>
  <c r="P2439" i="6"/>
  <c r="O2439" i="6"/>
  <c r="O934" i="6"/>
  <c r="P934" i="6"/>
  <c r="D9" i="3"/>
  <c r="F9" i="3" s="1"/>
  <c r="E20" i="1"/>
  <c r="O2736" i="6"/>
  <c r="P2736" i="6"/>
  <c r="O2464" i="6"/>
  <c r="P2464" i="6"/>
  <c r="P560" i="6"/>
  <c r="O560" i="6"/>
  <c r="O155" i="6"/>
  <c r="P155" i="6"/>
  <c r="O1143" i="6"/>
  <c r="P1143" i="6"/>
  <c r="P1659" i="6"/>
  <c r="O1659" i="6"/>
  <c r="P2720" i="6"/>
  <c r="O2720" i="6"/>
  <c r="H164" i="3"/>
  <c r="I164" i="3" s="1"/>
  <c r="D165" i="3" s="1"/>
  <c r="F165" i="3" s="1"/>
  <c r="P2584" i="6"/>
  <c r="O2584" i="6"/>
  <c r="P256" i="6"/>
  <c r="O256" i="6"/>
  <c r="O1003" i="6"/>
  <c r="P1003" i="6"/>
  <c r="P2317" i="6"/>
  <c r="O2317" i="6"/>
  <c r="N2692" i="6"/>
  <c r="N2731" i="6"/>
  <c r="I137" i="3"/>
  <c r="D138" i="3" s="1"/>
  <c r="F138" i="3" s="1"/>
  <c r="O1079" i="6" l="1"/>
  <c r="P1079" i="6"/>
  <c r="P1065" i="6"/>
  <c r="O1065" i="6"/>
  <c r="O2288" i="6"/>
  <c r="P2288" i="6"/>
  <c r="P1694" i="6"/>
  <c r="O1694" i="6"/>
  <c r="P626" i="6"/>
  <c r="O626" i="6"/>
  <c r="O1382" i="6"/>
  <c r="P1382" i="6"/>
  <c r="O2749" i="6"/>
  <c r="P2749" i="6"/>
  <c r="P61" i="6"/>
  <c r="O61" i="6"/>
  <c r="P2505" i="6"/>
  <c r="O2505" i="6"/>
  <c r="P23" i="6"/>
  <c r="O23" i="6"/>
  <c r="O273" i="6"/>
  <c r="P273" i="6"/>
  <c r="P607" i="6"/>
  <c r="O607" i="6"/>
  <c r="O1745" i="6"/>
  <c r="P1745" i="6"/>
  <c r="N2575" i="6"/>
  <c r="N2563" i="6"/>
  <c r="N2271" i="6"/>
  <c r="N1914" i="6"/>
  <c r="N2313" i="6"/>
  <c r="N1807" i="6"/>
  <c r="N1598" i="6"/>
  <c r="N1262" i="6"/>
  <c r="N1103" i="6"/>
  <c r="N1419" i="6"/>
  <c r="N1637" i="6"/>
  <c r="N1449" i="6"/>
  <c r="N1013" i="6"/>
  <c r="N992" i="6"/>
  <c r="N520" i="6"/>
  <c r="N372" i="6"/>
  <c r="N917" i="6"/>
  <c r="N1649" i="6"/>
  <c r="N657" i="6"/>
  <c r="N1559" i="6"/>
  <c r="N1526" i="6"/>
  <c r="N966" i="6"/>
  <c r="N2536" i="6"/>
  <c r="N2208" i="6"/>
  <c r="N1522" i="6"/>
  <c r="N1956" i="6"/>
  <c r="N2189" i="6"/>
  <c r="N1330" i="6"/>
  <c r="N1979" i="6"/>
  <c r="N2477" i="6"/>
  <c r="K40" i="3"/>
  <c r="J40" i="3"/>
  <c r="O1834" i="6"/>
  <c r="P1834" i="6"/>
  <c r="P2608" i="6"/>
  <c r="O2608" i="6"/>
  <c r="P1602" i="6"/>
  <c r="O1602" i="6"/>
  <c r="O518" i="6"/>
  <c r="P518" i="6"/>
  <c r="O1245" i="6"/>
  <c r="P1245" i="6"/>
  <c r="P2833" i="6"/>
  <c r="O2833" i="6"/>
  <c r="O1913" i="6"/>
  <c r="P1913" i="6"/>
  <c r="P1644" i="6"/>
  <c r="O1644" i="6"/>
  <c r="P530" i="6"/>
  <c r="O530" i="6"/>
  <c r="O780" i="6"/>
  <c r="P780" i="6"/>
  <c r="O2084" i="6"/>
  <c r="P2084" i="6"/>
  <c r="I40" i="3"/>
  <c r="D41" i="3" s="1"/>
  <c r="F41" i="3" s="1"/>
  <c r="O892" i="6"/>
  <c r="P892" i="6"/>
  <c r="P2319" i="6"/>
  <c r="O2319" i="6"/>
  <c r="O1072" i="6"/>
  <c r="P1072" i="6"/>
  <c r="P1069" i="6"/>
  <c r="O1069" i="6"/>
  <c r="P2421" i="6"/>
  <c r="O2421" i="6"/>
  <c r="P2828" i="6"/>
  <c r="O2828" i="6"/>
  <c r="N109" i="3"/>
  <c r="L109" i="3"/>
  <c r="O6" i="6"/>
  <c r="P6" i="6"/>
  <c r="N137" i="3"/>
  <c r="L137" i="3"/>
  <c r="P144" i="6"/>
  <c r="O144" i="6"/>
  <c r="P2207" i="6"/>
  <c r="O2207" i="6"/>
  <c r="O1558" i="6"/>
  <c r="P1558" i="6"/>
  <c r="O1047" i="6"/>
  <c r="P1047" i="6"/>
  <c r="P2457" i="6"/>
  <c r="O2457" i="6"/>
  <c r="P105" i="6"/>
  <c r="O105" i="6"/>
  <c r="P2222" i="6"/>
  <c r="O2222" i="6"/>
  <c r="P726" i="6"/>
  <c r="O726" i="6"/>
  <c r="O556" i="6"/>
  <c r="P556" i="6"/>
  <c r="P340" i="6"/>
  <c r="O340" i="6"/>
  <c r="O864" i="6"/>
  <c r="P864" i="6"/>
  <c r="O1441" i="6"/>
  <c r="P1441" i="6"/>
  <c r="O807" i="6"/>
  <c r="P807" i="6"/>
  <c r="O522" i="6"/>
  <c r="P522" i="6"/>
  <c r="J53" i="3"/>
  <c r="K53" i="3"/>
  <c r="O2784" i="6"/>
  <c r="P2784" i="6"/>
  <c r="J67" i="3"/>
  <c r="K67" i="3"/>
  <c r="H81" i="3"/>
  <c r="J81" i="3" s="1"/>
  <c r="O1254" i="6"/>
  <c r="P1254" i="6"/>
  <c r="N2651" i="6"/>
  <c r="N2554" i="6"/>
  <c r="N2518" i="6"/>
  <c r="N2513" i="6"/>
  <c r="N2387" i="6"/>
  <c r="N2335" i="6"/>
  <c r="N2450" i="6"/>
  <c r="N2343" i="6"/>
  <c r="N2668" i="6"/>
  <c r="N2355" i="6"/>
  <c r="N2264" i="6"/>
  <c r="N2383" i="6"/>
  <c r="N2109" i="6"/>
  <c r="N2328" i="6"/>
  <c r="N1988" i="6"/>
  <c r="N1948" i="6"/>
  <c r="N1987" i="6"/>
  <c r="N1860" i="6"/>
  <c r="N1799" i="6"/>
  <c r="N1739" i="6"/>
  <c r="N2046" i="6"/>
  <c r="N1817" i="6"/>
  <c r="N1731" i="6"/>
  <c r="N1058" i="6"/>
  <c r="N1240" i="6"/>
  <c r="N1137" i="6"/>
  <c r="N1099" i="6"/>
  <c r="N318" i="6"/>
  <c r="N849" i="6"/>
  <c r="N843" i="6"/>
  <c r="N1184" i="6"/>
  <c r="N820" i="6"/>
  <c r="N836" i="6"/>
  <c r="N800" i="6"/>
  <c r="N473" i="6"/>
  <c r="N176" i="6"/>
  <c r="N304" i="6"/>
  <c r="N2224" i="6"/>
  <c r="N20" i="6"/>
  <c r="N830" i="6"/>
  <c r="N232" i="6"/>
  <c r="N529" i="6"/>
  <c r="N1793" i="6"/>
  <c r="N1882" i="6"/>
  <c r="N1297" i="6"/>
  <c r="N1705" i="6"/>
  <c r="N1747" i="6"/>
  <c r="N1331" i="6"/>
  <c r="N633" i="6"/>
  <c r="N1856" i="6"/>
  <c r="N1606" i="6"/>
  <c r="N1078" i="6"/>
  <c r="N1247" i="6"/>
  <c r="N1405" i="6"/>
  <c r="N1376" i="6"/>
  <c r="N945" i="6"/>
  <c r="N2234" i="6"/>
  <c r="N1821" i="6"/>
  <c r="N1736" i="6"/>
  <c r="N1984" i="6"/>
  <c r="N2600" i="6"/>
  <c r="N2638" i="6"/>
  <c r="N2606" i="6"/>
  <c r="N2620" i="6"/>
  <c r="N2282" i="6"/>
  <c r="N2028" i="6"/>
  <c r="N1845" i="6"/>
  <c r="N1574" i="6"/>
  <c r="N1345" i="6"/>
  <c r="N1057" i="6"/>
  <c r="N885" i="6"/>
  <c r="N1139" i="6"/>
  <c r="N880" i="6"/>
  <c r="N727" i="6"/>
  <c r="N672" i="6"/>
  <c r="N411" i="6"/>
  <c r="N448" i="6"/>
  <c r="N170" i="6"/>
  <c r="N305" i="6"/>
  <c r="N103" i="6"/>
  <c r="N98" i="6"/>
  <c r="N519" i="6"/>
  <c r="N96" i="6"/>
  <c r="N496" i="6"/>
  <c r="N895" i="6"/>
  <c r="N16" i="6"/>
  <c r="N675" i="6"/>
  <c r="N196" i="6"/>
  <c r="N1159" i="6"/>
  <c r="N64" i="6"/>
  <c r="N400" i="6"/>
  <c r="N1183" i="6"/>
  <c r="N599" i="6"/>
  <c r="N1435" i="6"/>
  <c r="N663" i="6"/>
  <c r="N1108" i="6"/>
  <c r="N2167" i="6"/>
  <c r="N1234" i="6"/>
  <c r="N1575" i="6"/>
  <c r="N169" i="6"/>
  <c r="N463" i="6"/>
  <c r="N2113" i="6"/>
  <c r="N2446" i="6"/>
  <c r="N2670" i="6"/>
  <c r="N1289" i="6"/>
  <c r="N2649" i="6"/>
  <c r="N1890" i="6"/>
  <c r="N2488" i="6"/>
  <c r="N764" i="6"/>
  <c r="N2082" i="6"/>
  <c r="P2368" i="6"/>
  <c r="O2368" i="6"/>
  <c r="O2690" i="6"/>
  <c r="P2690" i="6"/>
  <c r="H165" i="3"/>
  <c r="I165" i="3" s="1"/>
  <c r="D166" i="3" s="1"/>
  <c r="F166" i="3" s="1"/>
  <c r="O551" i="6"/>
  <c r="P551" i="6"/>
  <c r="H123" i="3"/>
  <c r="J123" i="3" s="1"/>
  <c r="H138" i="3"/>
  <c r="I138" i="3" s="1"/>
  <c r="D139" i="3" s="1"/>
  <c r="F139" i="3" s="1"/>
  <c r="K164" i="3"/>
  <c r="J164" i="3"/>
  <c r="K110" i="3"/>
  <c r="J110" i="3"/>
  <c r="P2098" i="6"/>
  <c r="O2098" i="6"/>
  <c r="O669" i="6"/>
  <c r="P669" i="6"/>
  <c r="P2731" i="6"/>
  <c r="O2731" i="6"/>
  <c r="I110" i="3"/>
  <c r="D111" i="3" s="1"/>
  <c r="F111" i="3" s="1"/>
  <c r="P548" i="6"/>
  <c r="O548" i="6"/>
  <c r="O924" i="6"/>
  <c r="P924" i="6"/>
  <c r="O581" i="6"/>
  <c r="P581" i="6"/>
  <c r="P1663" i="6"/>
  <c r="O1663" i="6"/>
  <c r="P2724" i="6"/>
  <c r="O2724" i="6"/>
  <c r="O2558" i="6"/>
  <c r="P2558" i="6"/>
  <c r="P839" i="6"/>
  <c r="O839" i="6"/>
  <c r="P743" i="6"/>
  <c r="O743" i="6"/>
  <c r="O920" i="6"/>
  <c r="P920" i="6"/>
  <c r="I53" i="3"/>
  <c r="D54" i="3" s="1"/>
  <c r="F54" i="3" s="1"/>
  <c r="O2875" i="6"/>
  <c r="P2875" i="6"/>
  <c r="I67" i="3"/>
  <c r="D68" i="3" s="1"/>
  <c r="F68" i="3" s="1"/>
  <c r="P595" i="6"/>
  <c r="O595" i="6"/>
  <c r="O1507" i="6"/>
  <c r="P1507" i="6"/>
  <c r="O2735" i="6"/>
  <c r="P2735" i="6"/>
  <c r="P2019" i="6"/>
  <c r="O2019" i="6"/>
  <c r="P2850" i="6"/>
  <c r="O2850" i="6"/>
  <c r="O2568" i="6"/>
  <c r="P2568" i="6"/>
  <c r="P1555" i="6"/>
  <c r="O1555" i="6"/>
  <c r="O7" i="6"/>
  <c r="P7" i="6"/>
  <c r="O684" i="6"/>
  <c r="P684" i="6"/>
  <c r="O1287" i="6"/>
  <c r="P1287" i="6"/>
  <c r="K96" i="3"/>
  <c r="J96" i="3"/>
  <c r="P2038" i="6"/>
  <c r="O2038" i="6"/>
  <c r="O1209" i="6"/>
  <c r="P1209" i="6"/>
  <c r="P2220" i="6"/>
  <c r="O2220" i="6"/>
  <c r="P1045" i="6"/>
  <c r="O1045" i="6"/>
  <c r="O1341" i="6"/>
  <c r="P1341" i="6"/>
  <c r="K25" i="3"/>
  <c r="J25" i="3"/>
  <c r="O2880" i="6"/>
  <c r="P2880" i="6"/>
  <c r="P2093" i="6"/>
  <c r="O2093" i="6"/>
  <c r="P2686" i="6"/>
  <c r="O2686" i="6"/>
  <c r="O1131" i="6"/>
  <c r="P1131" i="6"/>
  <c r="P440" i="6"/>
  <c r="O440" i="6"/>
  <c r="P2877" i="6"/>
  <c r="O2877" i="6"/>
  <c r="O497" i="6"/>
  <c r="P497" i="6"/>
  <c r="O2179" i="6"/>
  <c r="P2179" i="6"/>
  <c r="P771" i="6"/>
  <c r="O771" i="6"/>
  <c r="O1388" i="6"/>
  <c r="P1388" i="6"/>
  <c r="P2692" i="6"/>
  <c r="O2692" i="6"/>
  <c r="P1710" i="6"/>
  <c r="O1710" i="6"/>
  <c r="P72" i="6"/>
  <c r="O72" i="6"/>
  <c r="O692" i="6"/>
  <c r="P692" i="6"/>
  <c r="P822" i="6"/>
  <c r="O822" i="6"/>
  <c r="O1750" i="6"/>
  <c r="P1750" i="6"/>
  <c r="I96" i="3"/>
  <c r="D97" i="3" s="1"/>
  <c r="F97" i="3" s="1"/>
  <c r="P2278" i="6"/>
  <c r="O2278" i="6"/>
  <c r="O1872" i="6"/>
  <c r="P1872" i="6"/>
  <c r="O1797" i="6"/>
  <c r="P1797" i="6"/>
  <c r="P638" i="6"/>
  <c r="O638" i="6"/>
  <c r="O1407" i="6"/>
  <c r="P1407" i="6"/>
  <c r="I25" i="3"/>
  <c r="D26" i="3" s="1"/>
  <c r="F26" i="3" s="1"/>
  <c r="J80" i="3"/>
  <c r="K80" i="3"/>
  <c r="P1272" i="6"/>
  <c r="O1272" i="6"/>
  <c r="P1149" i="6"/>
  <c r="O1149" i="6"/>
  <c r="L66" i="3"/>
  <c r="N66" i="3"/>
  <c r="H9" i="3"/>
  <c r="N24" i="3"/>
  <c r="L24" i="3"/>
  <c r="P2145" i="6"/>
  <c r="O2145" i="6"/>
  <c r="O1044" i="6"/>
  <c r="P1044" i="6"/>
  <c r="O100" i="6"/>
  <c r="P100" i="6"/>
  <c r="P919" i="6"/>
  <c r="O919" i="6"/>
  <c r="P1620" i="6"/>
  <c r="O1620" i="6"/>
  <c r="O748" i="6"/>
  <c r="P748" i="6"/>
  <c r="P1516" i="6"/>
  <c r="O1516" i="6"/>
  <c r="O1726" i="6"/>
  <c r="P1726" i="6"/>
  <c r="O2347" i="6"/>
  <c r="P2347" i="6"/>
  <c r="P2607" i="6"/>
  <c r="O2607" i="6"/>
  <c r="N2614" i="6"/>
  <c r="N2522" i="6"/>
  <c r="N2384" i="6"/>
  <c r="N2377" i="6"/>
  <c r="N2627" i="6"/>
  <c r="N1892" i="6"/>
  <c r="N1940" i="6"/>
  <c r="N2009" i="6"/>
  <c r="N2138" i="6"/>
  <c r="N2102" i="6"/>
  <c r="N1999" i="6"/>
  <c r="N1648" i="6"/>
  <c r="N1377" i="6"/>
  <c r="N1371" i="6"/>
  <c r="N1091" i="6"/>
  <c r="N1138" i="6"/>
  <c r="N965" i="6"/>
  <c r="N900" i="6"/>
  <c r="N1384" i="6"/>
  <c r="N1153" i="6"/>
  <c r="N387" i="6"/>
  <c r="N887" i="6"/>
  <c r="N1323" i="6"/>
  <c r="N970" i="6"/>
  <c r="N610" i="6"/>
  <c r="N707" i="6"/>
  <c r="N121" i="6"/>
  <c r="N360" i="6"/>
  <c r="N637" i="6"/>
  <c r="N162" i="6"/>
  <c r="N264" i="6"/>
  <c r="N314" i="6"/>
  <c r="N133" i="6"/>
  <c r="N114" i="6"/>
  <c r="N292" i="6"/>
  <c r="N459" i="6"/>
  <c r="N347" i="6"/>
  <c r="N464" i="6"/>
  <c r="N165" i="6"/>
  <c r="N290" i="6"/>
  <c r="N1071" i="6"/>
  <c r="N1515" i="6"/>
  <c r="N1488" i="6"/>
  <c r="N794" i="6"/>
  <c r="N1782" i="6"/>
  <c r="N1298" i="6"/>
  <c r="N1770" i="6"/>
  <c r="N1145" i="6"/>
  <c r="N894" i="6"/>
  <c r="N2182" i="6"/>
  <c r="N2070" i="6"/>
  <c r="N783" i="6"/>
  <c r="N928" i="6"/>
  <c r="N1920" i="6"/>
  <c r="N1997" i="6"/>
  <c r="N2408" i="6"/>
  <c r="N2528" i="6"/>
  <c r="N1611" i="6"/>
  <c r="N2026" i="6"/>
  <c r="N1584" i="6"/>
  <c r="N2483" i="6"/>
  <c r="N2500" i="6"/>
  <c r="N122" i="3"/>
  <c r="L122" i="3"/>
  <c r="J151" i="3"/>
  <c r="K151" i="3"/>
  <c r="O455" i="6"/>
  <c r="P455" i="6"/>
  <c r="P2695" i="6"/>
  <c r="O2695" i="6"/>
  <c r="P2722" i="6"/>
  <c r="O2722" i="6"/>
  <c r="L39" i="3"/>
  <c r="N39" i="3"/>
  <c r="N2858" i="6" s="1"/>
  <c r="P297" i="6"/>
  <c r="O297" i="6"/>
  <c r="P2590" i="6"/>
  <c r="O2590" i="6"/>
  <c r="O2474" i="6"/>
  <c r="P2474" i="6"/>
  <c r="N150" i="3"/>
  <c r="L150" i="3"/>
  <c r="P2119" i="6"/>
  <c r="O2119" i="6"/>
  <c r="P112" i="6"/>
  <c r="O112" i="6"/>
  <c r="O276" i="6"/>
  <c r="P276" i="6"/>
  <c r="O664" i="6"/>
  <c r="P664" i="6"/>
  <c r="P1833" i="6"/>
  <c r="O1833" i="6"/>
  <c r="N2835" i="6"/>
  <c r="N2838" i="6"/>
  <c r="N2831" i="6"/>
  <c r="N2827" i="6"/>
  <c r="N2842" i="6"/>
  <c r="N2711" i="6"/>
  <c r="N2805" i="6"/>
  <c r="N2676" i="6"/>
  <c r="O1213" i="6"/>
  <c r="P1213" i="6"/>
  <c r="P1965" i="6"/>
  <c r="O1965" i="6"/>
  <c r="P1464" i="6"/>
  <c r="O1464" i="6"/>
  <c r="O620" i="6"/>
  <c r="P620" i="6"/>
  <c r="P1608" i="6"/>
  <c r="O1608" i="6"/>
  <c r="I151" i="3"/>
  <c r="D152" i="3" s="1"/>
  <c r="F152" i="3" s="1"/>
  <c r="I123" i="3" l="1"/>
  <c r="D124" i="3" s="1"/>
  <c r="F124" i="3" s="1"/>
  <c r="H139" i="3"/>
  <c r="I139" i="3" s="1"/>
  <c r="D140" i="3" s="1"/>
  <c r="F140" i="3" s="1"/>
  <c r="P2638" i="6"/>
  <c r="O2638" i="6"/>
  <c r="O2408" i="6"/>
  <c r="P2408" i="6"/>
  <c r="P314" i="6"/>
  <c r="O314" i="6"/>
  <c r="P1153" i="6"/>
  <c r="O1153" i="6"/>
  <c r="P2009" i="6"/>
  <c r="O2009" i="6"/>
  <c r="O764" i="6"/>
  <c r="P764" i="6"/>
  <c r="P2167" i="6"/>
  <c r="O2167" i="6"/>
  <c r="P895" i="6"/>
  <c r="O895" i="6"/>
  <c r="O880" i="6"/>
  <c r="P880" i="6"/>
  <c r="P2600" i="6"/>
  <c r="O2600" i="6"/>
  <c r="P633" i="6"/>
  <c r="O633" i="6"/>
  <c r="O304" i="6"/>
  <c r="P304" i="6"/>
  <c r="P1240" i="6"/>
  <c r="O1240" i="6"/>
  <c r="O2109" i="6"/>
  <c r="P2109" i="6"/>
  <c r="O2651" i="6"/>
  <c r="P2651" i="6"/>
  <c r="O1526" i="6"/>
  <c r="P1526" i="6"/>
  <c r="O1103" i="6"/>
  <c r="P1103" i="6"/>
  <c r="O794" i="6"/>
  <c r="P794" i="6"/>
  <c r="P1997" i="6"/>
  <c r="O1997" i="6"/>
  <c r="O1488" i="6"/>
  <c r="P1488" i="6"/>
  <c r="P264" i="6"/>
  <c r="O264" i="6"/>
  <c r="P1384" i="6"/>
  <c r="O1384" i="6"/>
  <c r="O1940" i="6"/>
  <c r="P1940" i="6"/>
  <c r="H68" i="3"/>
  <c r="I68" i="3" s="1"/>
  <c r="D69" i="3" s="1"/>
  <c r="F69" i="3" s="1"/>
  <c r="P2488" i="6"/>
  <c r="O2488" i="6"/>
  <c r="O1108" i="6"/>
  <c r="P1108" i="6"/>
  <c r="O496" i="6"/>
  <c r="P496" i="6"/>
  <c r="O1139" i="6"/>
  <c r="P1139" i="6"/>
  <c r="O1984" i="6"/>
  <c r="P1984" i="6"/>
  <c r="P1331" i="6"/>
  <c r="O1331" i="6"/>
  <c r="P176" i="6"/>
  <c r="O176" i="6"/>
  <c r="P1058" i="6"/>
  <c r="O1058" i="6"/>
  <c r="O2383" i="6"/>
  <c r="P2383" i="6"/>
  <c r="N53" i="3"/>
  <c r="L53" i="3"/>
  <c r="N2841" i="6"/>
  <c r="N2681" i="6"/>
  <c r="N40" i="3"/>
  <c r="L40" i="3"/>
  <c r="O1559" i="6"/>
  <c r="P1559" i="6"/>
  <c r="P1262" i="6"/>
  <c r="O1262" i="6"/>
  <c r="P2528" i="6"/>
  <c r="O2528" i="6"/>
  <c r="O727" i="6"/>
  <c r="P727" i="6"/>
  <c r="P1419" i="6"/>
  <c r="O1419" i="6"/>
  <c r="N25" i="3"/>
  <c r="L25" i="3"/>
  <c r="O1731" i="6"/>
  <c r="P1731" i="6"/>
  <c r="O2805" i="6"/>
  <c r="P2805" i="6"/>
  <c r="L151" i="3"/>
  <c r="N151" i="3"/>
  <c r="P519" i="6"/>
  <c r="O519" i="6"/>
  <c r="P2355" i="6"/>
  <c r="O2355" i="6"/>
  <c r="O1807" i="6"/>
  <c r="P1807" i="6"/>
  <c r="O2711" i="6"/>
  <c r="P2711" i="6"/>
  <c r="N80" i="3"/>
  <c r="N25" i="6" s="1"/>
  <c r="L80" i="3"/>
  <c r="H54" i="3"/>
  <c r="I54" i="3" s="1"/>
  <c r="D55" i="3" s="1"/>
  <c r="F55" i="3" s="1"/>
  <c r="O1289" i="6"/>
  <c r="P1289" i="6"/>
  <c r="O599" i="6"/>
  <c r="P599" i="6"/>
  <c r="O98" i="6"/>
  <c r="P98" i="6"/>
  <c r="O1345" i="6"/>
  <c r="P1345" i="6"/>
  <c r="P2234" i="6"/>
  <c r="O2234" i="6"/>
  <c r="O1297" i="6"/>
  <c r="P1297" i="6"/>
  <c r="P836" i="6"/>
  <c r="O836" i="6"/>
  <c r="P2046" i="6"/>
  <c r="O2046" i="6"/>
  <c r="P2668" i="6"/>
  <c r="O2668" i="6"/>
  <c r="I81" i="3"/>
  <c r="D82" i="3" s="1"/>
  <c r="F82" i="3" s="1"/>
  <c r="O1979" i="6"/>
  <c r="P1979" i="6"/>
  <c r="O917" i="6"/>
  <c r="P917" i="6"/>
  <c r="O2313" i="6"/>
  <c r="P2313" i="6"/>
  <c r="P387" i="6"/>
  <c r="O387" i="6"/>
  <c r="H111" i="3"/>
  <c r="P16" i="6"/>
  <c r="O16" i="6"/>
  <c r="O2328" i="6"/>
  <c r="P2328" i="6"/>
  <c r="O1920" i="6"/>
  <c r="P1920" i="6"/>
  <c r="O900" i="6"/>
  <c r="P900" i="6"/>
  <c r="P96" i="6"/>
  <c r="O96" i="6"/>
  <c r="P473" i="6"/>
  <c r="O473" i="6"/>
  <c r="P1598" i="6"/>
  <c r="O1598" i="6"/>
  <c r="H152" i="3"/>
  <c r="I152" i="3" s="1"/>
  <c r="D153" i="3" s="1"/>
  <c r="F153" i="3" s="1"/>
  <c r="P965" i="6"/>
  <c r="O965" i="6"/>
  <c r="L96" i="3"/>
  <c r="N96" i="3"/>
  <c r="O1057" i="6"/>
  <c r="P1057" i="6"/>
  <c r="P1817" i="6"/>
  <c r="O1817" i="6"/>
  <c r="O2477" i="6"/>
  <c r="P2477" i="6"/>
  <c r="O1649" i="6"/>
  <c r="P1649" i="6"/>
  <c r="P783" i="6"/>
  <c r="O783" i="6"/>
  <c r="P290" i="6"/>
  <c r="O290" i="6"/>
  <c r="O360" i="6"/>
  <c r="P360" i="6"/>
  <c r="P1138" i="6"/>
  <c r="O1138" i="6"/>
  <c r="O2377" i="6"/>
  <c r="P2377" i="6"/>
  <c r="P2842" i="6"/>
  <c r="O2842" i="6"/>
  <c r="N2743" i="6"/>
  <c r="N2685" i="6"/>
  <c r="P2070" i="6"/>
  <c r="O2070" i="6"/>
  <c r="P165" i="6"/>
  <c r="O165" i="6"/>
  <c r="P121" i="6"/>
  <c r="O121" i="6"/>
  <c r="P1091" i="6"/>
  <c r="O1091" i="6"/>
  <c r="O2384" i="6"/>
  <c r="P2384" i="6"/>
  <c r="N2348" i="6"/>
  <c r="N2223" i="6"/>
  <c r="N2353" i="6"/>
  <c r="N1764" i="6"/>
  <c r="N1787" i="6"/>
  <c r="N1438" i="6"/>
  <c r="N1089" i="6"/>
  <c r="N1315" i="6"/>
  <c r="N870" i="6"/>
  <c r="N810" i="6"/>
  <c r="N1839" i="6"/>
  <c r="N2238" i="6"/>
  <c r="N1150" i="6"/>
  <c r="N665" i="6"/>
  <c r="N1699" i="6"/>
  <c r="N2653" i="6"/>
  <c r="N2621" i="6"/>
  <c r="N2386" i="6"/>
  <c r="H97" i="3"/>
  <c r="I97" i="3" s="1"/>
  <c r="D98" i="3" s="1"/>
  <c r="F98" i="3" s="1"/>
  <c r="K165" i="3"/>
  <c r="J165" i="3"/>
  <c r="P2670" i="6"/>
  <c r="O2670" i="6"/>
  <c r="P1183" i="6"/>
  <c r="O1183" i="6"/>
  <c r="O103" i="6"/>
  <c r="P103" i="6"/>
  <c r="P1574" i="6"/>
  <c r="O1574" i="6"/>
  <c r="P945" i="6"/>
  <c r="O945" i="6"/>
  <c r="O1882" i="6"/>
  <c r="P1882" i="6"/>
  <c r="O820" i="6"/>
  <c r="P820" i="6"/>
  <c r="O1739" i="6"/>
  <c r="P1739" i="6"/>
  <c r="P2343" i="6"/>
  <c r="O2343" i="6"/>
  <c r="P1330" i="6"/>
  <c r="O1330" i="6"/>
  <c r="P372" i="6"/>
  <c r="O372" i="6"/>
  <c r="O1914" i="6"/>
  <c r="P1914" i="6"/>
  <c r="P1234" i="6"/>
  <c r="O1234" i="6"/>
  <c r="P1892" i="6"/>
  <c r="O1892" i="6"/>
  <c r="O1736" i="6"/>
  <c r="P1736" i="6"/>
  <c r="O1435" i="6"/>
  <c r="P1435" i="6"/>
  <c r="O2827" i="6"/>
  <c r="P2827" i="6"/>
  <c r="P1371" i="6"/>
  <c r="O1371" i="6"/>
  <c r="H26" i="3"/>
  <c r="L110" i="3"/>
  <c r="N110" i="3"/>
  <c r="H166" i="3"/>
  <c r="I166" i="3" s="1"/>
  <c r="D167" i="3" s="1"/>
  <c r="F167" i="3" s="1"/>
  <c r="P400" i="6"/>
  <c r="O400" i="6"/>
  <c r="O305" i="6"/>
  <c r="P305" i="6"/>
  <c r="O1845" i="6"/>
  <c r="P1845" i="6"/>
  <c r="O1376" i="6"/>
  <c r="P1376" i="6"/>
  <c r="P1793" i="6"/>
  <c r="O1793" i="6"/>
  <c r="P1184" i="6"/>
  <c r="O1184" i="6"/>
  <c r="O1799" i="6"/>
  <c r="P1799" i="6"/>
  <c r="P2450" i="6"/>
  <c r="O2450" i="6"/>
  <c r="P2189" i="6"/>
  <c r="O2189" i="6"/>
  <c r="P520" i="6"/>
  <c r="O520" i="6"/>
  <c r="P2271" i="6"/>
  <c r="O2271" i="6"/>
  <c r="P1782" i="6"/>
  <c r="O1782" i="6"/>
  <c r="K138" i="3"/>
  <c r="J138" i="3"/>
  <c r="P2554" i="6"/>
  <c r="O2554" i="6"/>
  <c r="O1515" i="6"/>
  <c r="P1515" i="6"/>
  <c r="H124" i="3"/>
  <c r="I124" i="3" s="1"/>
  <c r="D125" i="3" s="1"/>
  <c r="F125" i="3" s="1"/>
  <c r="O1747" i="6"/>
  <c r="P1747" i="6"/>
  <c r="H41" i="3"/>
  <c r="I41" i="3" s="1"/>
  <c r="D42" i="3" s="1"/>
  <c r="F42" i="3" s="1"/>
  <c r="P928" i="6"/>
  <c r="O928" i="6"/>
  <c r="O1821" i="6"/>
  <c r="P1821" i="6"/>
  <c r="P2858" i="6"/>
  <c r="O2858" i="6"/>
  <c r="O707" i="6"/>
  <c r="P707" i="6"/>
  <c r="J9" i="3"/>
  <c r="K9" i="3"/>
  <c r="P2483" i="6"/>
  <c r="O2483" i="6"/>
  <c r="O1377" i="6"/>
  <c r="P1377" i="6"/>
  <c r="P2614" i="6"/>
  <c r="O2614" i="6"/>
  <c r="I9" i="3"/>
  <c r="P2113" i="6"/>
  <c r="O2113" i="6"/>
  <c r="P64" i="6"/>
  <c r="O64" i="6"/>
  <c r="P170" i="6"/>
  <c r="O170" i="6"/>
  <c r="O2028" i="6"/>
  <c r="P2028" i="6"/>
  <c r="O1405" i="6"/>
  <c r="P1405" i="6"/>
  <c r="P529" i="6"/>
  <c r="O529" i="6"/>
  <c r="O843" i="6"/>
  <c r="P843" i="6"/>
  <c r="P1860" i="6"/>
  <c r="O1860" i="6"/>
  <c r="O2335" i="6"/>
  <c r="P2335" i="6"/>
  <c r="O1956" i="6"/>
  <c r="P1956" i="6"/>
  <c r="O992" i="6"/>
  <c r="P992" i="6"/>
  <c r="P2563" i="6"/>
  <c r="O2563" i="6"/>
  <c r="O2138" i="6"/>
  <c r="P2138" i="6"/>
  <c r="P2224" i="6"/>
  <c r="O2224" i="6"/>
  <c r="P1890" i="6"/>
  <c r="O1890" i="6"/>
  <c r="O657" i="6"/>
  <c r="P657" i="6"/>
  <c r="O2627" i="6"/>
  <c r="P2627" i="6"/>
  <c r="P610" i="6"/>
  <c r="O610" i="6"/>
  <c r="P1145" i="6"/>
  <c r="O1145" i="6"/>
  <c r="P459" i="6"/>
  <c r="O459" i="6"/>
  <c r="O970" i="6"/>
  <c r="P970" i="6"/>
  <c r="O1648" i="6"/>
  <c r="P1648" i="6"/>
  <c r="N2723" i="6"/>
  <c r="N2673" i="6"/>
  <c r="N2825" i="6"/>
  <c r="N2738" i="6"/>
  <c r="N2756" i="6"/>
  <c r="N2860" i="6"/>
  <c r="P463" i="6"/>
  <c r="O463" i="6"/>
  <c r="O1159" i="6"/>
  <c r="P1159" i="6"/>
  <c r="O448" i="6"/>
  <c r="P448" i="6"/>
  <c r="O2282" i="6"/>
  <c r="P2282" i="6"/>
  <c r="O1247" i="6"/>
  <c r="P1247" i="6"/>
  <c r="P232" i="6"/>
  <c r="O232" i="6"/>
  <c r="O849" i="6"/>
  <c r="P849" i="6"/>
  <c r="O1987" i="6"/>
  <c r="P1987" i="6"/>
  <c r="O2387" i="6"/>
  <c r="P2387" i="6"/>
  <c r="N67" i="3"/>
  <c r="L67" i="3"/>
  <c r="N2708" i="6"/>
  <c r="N2809" i="6"/>
  <c r="N2776" i="6"/>
  <c r="P1522" i="6"/>
  <c r="O1522" i="6"/>
  <c r="P1013" i="6"/>
  <c r="O1013" i="6"/>
  <c r="P2575" i="6"/>
  <c r="O2575" i="6"/>
  <c r="P133" i="6"/>
  <c r="O133" i="6"/>
  <c r="P1137" i="6"/>
  <c r="O1137" i="6"/>
  <c r="P2676" i="6"/>
  <c r="O2676" i="6"/>
  <c r="P637" i="6"/>
  <c r="O637" i="6"/>
  <c r="O800" i="6"/>
  <c r="P800" i="6"/>
  <c r="P464" i="6"/>
  <c r="O464" i="6"/>
  <c r="P2446" i="6"/>
  <c r="O2446" i="6"/>
  <c r="O347" i="6"/>
  <c r="P347" i="6"/>
  <c r="P2838" i="6"/>
  <c r="O2838" i="6"/>
  <c r="O1584" i="6"/>
  <c r="P1584" i="6"/>
  <c r="O2835" i="6"/>
  <c r="P2835" i="6"/>
  <c r="N164" i="3"/>
  <c r="L164" i="3"/>
  <c r="P169" i="6"/>
  <c r="O169" i="6"/>
  <c r="O196" i="6"/>
  <c r="P196" i="6"/>
  <c r="P411" i="6"/>
  <c r="O411" i="6"/>
  <c r="O2620" i="6"/>
  <c r="P2620" i="6"/>
  <c r="P1078" i="6"/>
  <c r="O1078" i="6"/>
  <c r="P830" i="6"/>
  <c r="O830" i="6"/>
  <c r="O318" i="6"/>
  <c r="P318" i="6"/>
  <c r="P1948" i="6"/>
  <c r="O1948" i="6"/>
  <c r="O2513" i="6"/>
  <c r="P2513" i="6"/>
  <c r="P2208" i="6"/>
  <c r="O2208" i="6"/>
  <c r="O1449" i="6"/>
  <c r="P1449" i="6"/>
  <c r="O2082" i="6"/>
  <c r="P2082" i="6"/>
  <c r="P1856" i="6"/>
  <c r="O1856" i="6"/>
  <c r="O966" i="6"/>
  <c r="P966" i="6"/>
  <c r="P162" i="6"/>
  <c r="O162" i="6"/>
  <c r="P663" i="6"/>
  <c r="O663" i="6"/>
  <c r="P885" i="6"/>
  <c r="O885" i="6"/>
  <c r="P2264" i="6"/>
  <c r="O2264" i="6"/>
  <c r="P1071" i="6"/>
  <c r="O1071" i="6"/>
  <c r="P2649" i="6"/>
  <c r="O2649" i="6"/>
  <c r="P1705" i="6"/>
  <c r="O1705" i="6"/>
  <c r="P2500" i="6"/>
  <c r="O2500" i="6"/>
  <c r="P2182" i="6"/>
  <c r="O2182" i="6"/>
  <c r="P2522" i="6"/>
  <c r="O2522" i="6"/>
  <c r="O2831" i="6"/>
  <c r="P2831" i="6"/>
  <c r="O894" i="6"/>
  <c r="P894" i="6"/>
  <c r="P2026" i="6"/>
  <c r="O2026" i="6"/>
  <c r="P1770" i="6"/>
  <c r="O1770" i="6"/>
  <c r="O292" i="6"/>
  <c r="P292" i="6"/>
  <c r="P1323" i="6"/>
  <c r="O1323" i="6"/>
  <c r="O1999" i="6"/>
  <c r="P1999" i="6"/>
  <c r="N2569" i="6"/>
  <c r="N2510" i="6"/>
  <c r="N2106" i="6"/>
  <c r="N2016" i="6"/>
  <c r="N1893" i="6"/>
  <c r="N1880" i="6"/>
  <c r="N2142" i="6"/>
  <c r="N1867" i="6"/>
  <c r="N1472" i="6"/>
  <c r="N1124" i="6"/>
  <c r="N1653" i="6"/>
  <c r="N1051" i="6"/>
  <c r="N414" i="6"/>
  <c r="N1032" i="6"/>
  <c r="N901" i="6"/>
  <c r="N1231" i="6"/>
  <c r="N747" i="6"/>
  <c r="N1111" i="6"/>
  <c r="N2506" i="6"/>
  <c r="N961" i="6"/>
  <c r="N1489" i="6"/>
  <c r="N1918" i="6"/>
  <c r="N1060" i="6"/>
  <c r="N1568" i="6"/>
  <c r="N1841" i="6"/>
  <c r="N851" i="6"/>
  <c r="N1737" i="6"/>
  <c r="N2657" i="6"/>
  <c r="N2139" i="6"/>
  <c r="O1611" i="6"/>
  <c r="P1611" i="6"/>
  <c r="P1298" i="6"/>
  <c r="O1298" i="6"/>
  <c r="O114" i="6"/>
  <c r="P114" i="6"/>
  <c r="P887" i="6"/>
  <c r="O887" i="6"/>
  <c r="P2102" i="6"/>
  <c r="O2102" i="6"/>
  <c r="O1575" i="6"/>
  <c r="P1575" i="6"/>
  <c r="P675" i="6"/>
  <c r="O675" i="6"/>
  <c r="O672" i="6"/>
  <c r="P672" i="6"/>
  <c r="O2606" i="6"/>
  <c r="P2606" i="6"/>
  <c r="O1606" i="6"/>
  <c r="P1606" i="6"/>
  <c r="O20" i="6"/>
  <c r="P20" i="6"/>
  <c r="P1099" i="6"/>
  <c r="O1099" i="6"/>
  <c r="P1988" i="6"/>
  <c r="O1988" i="6"/>
  <c r="O2518" i="6"/>
  <c r="P2518" i="6"/>
  <c r="P2536" i="6"/>
  <c r="O2536" i="6"/>
  <c r="P1637" i="6"/>
  <c r="O1637" i="6"/>
  <c r="H167" i="3" l="1"/>
  <c r="I167" i="3" s="1"/>
  <c r="D168" i="3" s="1"/>
  <c r="F168" i="3" s="1"/>
  <c r="P2016" i="6"/>
  <c r="O2016" i="6"/>
  <c r="P2506" i="6"/>
  <c r="O2506" i="6"/>
  <c r="O2142" i="6"/>
  <c r="P2142" i="6"/>
  <c r="J41" i="3"/>
  <c r="K41" i="3"/>
  <c r="P2621" i="6"/>
  <c r="O2621" i="6"/>
  <c r="O1787" i="6"/>
  <c r="P1787" i="6"/>
  <c r="O2653" i="6"/>
  <c r="P2653" i="6"/>
  <c r="O1764" i="6"/>
  <c r="P1764" i="6"/>
  <c r="N52" i="6"/>
  <c r="N40" i="6"/>
  <c r="P2860" i="6"/>
  <c r="O2860" i="6"/>
  <c r="O1699" i="6"/>
  <c r="P1699" i="6"/>
  <c r="P2353" i="6"/>
  <c r="O2353" i="6"/>
  <c r="J54" i="3"/>
  <c r="K54" i="3"/>
  <c r="N2615" i="6"/>
  <c r="N2491" i="6"/>
  <c r="N1977" i="6"/>
  <c r="N2099" i="6"/>
  <c r="N1838" i="6"/>
  <c r="N2022" i="6"/>
  <c r="N1190" i="6"/>
  <c r="N1267" i="6"/>
  <c r="N977" i="6"/>
  <c r="N789" i="6"/>
  <c r="N442" i="6"/>
  <c r="N1350" i="6"/>
  <c r="N423" i="6"/>
  <c r="N1681" i="6"/>
  <c r="N759" i="6"/>
  <c r="N592" i="6"/>
  <c r="N1135" i="6"/>
  <c r="N2031" i="6"/>
  <c r="N2580" i="6"/>
  <c r="N2495" i="6"/>
  <c r="N2565" i="6"/>
  <c r="N2592" i="6"/>
  <c r="N2230" i="6"/>
  <c r="N2204" i="6"/>
  <c r="N2462" i="6"/>
  <c r="N2285" i="6"/>
  <c r="N2339" i="6"/>
  <c r="N2117" i="6"/>
  <c r="N2394" i="6"/>
  <c r="N2100" i="6"/>
  <c r="N1614" i="6"/>
  <c r="N1565" i="6"/>
  <c r="N1603" i="6"/>
  <c r="N1311" i="6"/>
  <c r="N1372" i="6"/>
  <c r="N1197" i="6"/>
  <c r="N1370" i="6"/>
  <c r="N779" i="6"/>
  <c r="N944" i="6"/>
  <c r="N1467" i="6"/>
  <c r="N1133" i="6"/>
  <c r="N1218" i="6"/>
  <c r="N1094" i="6"/>
  <c r="N826" i="6"/>
  <c r="N438" i="6"/>
  <c r="N701" i="6"/>
  <c r="N658" i="6"/>
  <c r="N126" i="6"/>
  <c r="N848" i="6"/>
  <c r="N234" i="6"/>
  <c r="N210" i="6"/>
  <c r="N467" i="6"/>
  <c r="N327" i="6"/>
  <c r="N388" i="6"/>
  <c r="N456" i="6"/>
  <c r="N55" i="6"/>
  <c r="N329" i="6"/>
  <c r="N408" i="6"/>
  <c r="N211" i="6"/>
  <c r="N310" i="6"/>
  <c r="N751" i="6"/>
  <c r="N682" i="6"/>
  <c r="N441" i="6"/>
  <c r="N699" i="6"/>
  <c r="N137" i="6"/>
  <c r="N48" i="6"/>
  <c r="N261" i="6"/>
  <c r="N1122" i="6"/>
  <c r="N1155" i="6"/>
  <c r="N2103" i="6"/>
  <c r="N1855" i="6"/>
  <c r="N2391" i="6"/>
  <c r="N1539" i="6"/>
  <c r="N1328" i="6"/>
  <c r="N1978" i="6"/>
  <c r="N646" i="6"/>
  <c r="N1228" i="6"/>
  <c r="N1783" i="6"/>
  <c r="N1415" i="6"/>
  <c r="N2326" i="6"/>
  <c r="N2409" i="6"/>
  <c r="N2254" i="6"/>
  <c r="N2625" i="6"/>
  <c r="N2616" i="6"/>
  <c r="N2413" i="6"/>
  <c r="P747" i="6"/>
  <c r="O747" i="6"/>
  <c r="P2348" i="6"/>
  <c r="O2348" i="6"/>
  <c r="O2743" i="6"/>
  <c r="P2743" i="6"/>
  <c r="P1893" i="6"/>
  <c r="O1893" i="6"/>
  <c r="P2223" i="6"/>
  <c r="O2223" i="6"/>
  <c r="O2106" i="6"/>
  <c r="P2106" i="6"/>
  <c r="P2738" i="6"/>
  <c r="O2738" i="6"/>
  <c r="D10" i="3"/>
  <c r="F10" i="3" s="1"/>
  <c r="E21" i="1"/>
  <c r="H125" i="3"/>
  <c r="J125" i="3" s="1"/>
  <c r="O1032" i="6"/>
  <c r="P1032" i="6"/>
  <c r="O2510" i="6"/>
  <c r="P2510" i="6"/>
  <c r="P2708" i="6"/>
  <c r="O2708" i="6"/>
  <c r="P2825" i="6"/>
  <c r="O2825" i="6"/>
  <c r="J124" i="3"/>
  <c r="K124" i="3"/>
  <c r="K26" i="3"/>
  <c r="J26" i="3"/>
  <c r="P2238" i="6"/>
  <c r="O2238" i="6"/>
  <c r="H153" i="3"/>
  <c r="P25" i="6"/>
  <c r="O25" i="6"/>
  <c r="P2809" i="6"/>
  <c r="O2809" i="6"/>
  <c r="O851" i="6"/>
  <c r="P851" i="6"/>
  <c r="P2673" i="6"/>
  <c r="O2673" i="6"/>
  <c r="I26" i="3"/>
  <c r="D27" i="3" s="1"/>
  <c r="F27" i="3" s="1"/>
  <c r="O1839" i="6"/>
  <c r="P1839" i="6"/>
  <c r="K152" i="3"/>
  <c r="J152" i="3"/>
  <c r="J166" i="3"/>
  <c r="K166" i="3"/>
  <c r="O665" i="6"/>
  <c r="P665" i="6"/>
  <c r="O901" i="6"/>
  <c r="P901" i="6"/>
  <c r="O1150" i="6"/>
  <c r="P1150" i="6"/>
  <c r="O1841" i="6"/>
  <c r="P1841" i="6"/>
  <c r="O414" i="6"/>
  <c r="P414" i="6"/>
  <c r="O2569" i="6"/>
  <c r="P2569" i="6"/>
  <c r="P1568" i="6"/>
  <c r="O1568" i="6"/>
  <c r="O1051" i="6"/>
  <c r="P1051" i="6"/>
  <c r="N2879" i="6"/>
  <c r="N2829" i="6"/>
  <c r="N2856" i="6"/>
  <c r="O2723" i="6"/>
  <c r="P2723" i="6"/>
  <c r="L165" i="3"/>
  <c r="N165" i="3"/>
  <c r="O810" i="6"/>
  <c r="P810" i="6"/>
  <c r="H82" i="3"/>
  <c r="P1880" i="6"/>
  <c r="O1880" i="6"/>
  <c r="P2657" i="6"/>
  <c r="O2657" i="6"/>
  <c r="H42" i="3"/>
  <c r="I42" i="3" s="1"/>
  <c r="D43" i="3" s="1"/>
  <c r="F43" i="3" s="1"/>
  <c r="O1231" i="6"/>
  <c r="P1231" i="6"/>
  <c r="P2685" i="6"/>
  <c r="O2685" i="6"/>
  <c r="H55" i="3"/>
  <c r="O1060" i="6"/>
  <c r="P1060" i="6"/>
  <c r="P870" i="6"/>
  <c r="O870" i="6"/>
  <c r="O1124" i="6"/>
  <c r="P1124" i="6"/>
  <c r="H98" i="3"/>
  <c r="J98" i="3" s="1"/>
  <c r="O1315" i="6"/>
  <c r="P1315" i="6"/>
  <c r="K111" i="3"/>
  <c r="J111" i="3"/>
  <c r="N1929" i="6"/>
  <c r="N1779" i="6"/>
  <c r="N2017" i="6"/>
  <c r="N1613" i="6"/>
  <c r="N1359" i="6"/>
  <c r="N1493" i="6"/>
  <c r="N510" i="6"/>
  <c r="N795" i="6"/>
  <c r="N678" i="6"/>
  <c r="N1468" i="6"/>
  <c r="N1990" i="6"/>
  <c r="N1538" i="6"/>
  <c r="N2293" i="6"/>
  <c r="N2496" i="6"/>
  <c r="N2303" i="6"/>
  <c r="N2826" i="6"/>
  <c r="N2765" i="6"/>
  <c r="N2706" i="6"/>
  <c r="N2774" i="6"/>
  <c r="O1111" i="6"/>
  <c r="P1111" i="6"/>
  <c r="O2776" i="6"/>
  <c r="P2776" i="6"/>
  <c r="O1489" i="6"/>
  <c r="P1489" i="6"/>
  <c r="P1472" i="6"/>
  <c r="O1472" i="6"/>
  <c r="N2401" i="6"/>
  <c r="N2356" i="6"/>
  <c r="N2021" i="6"/>
  <c r="N1972" i="6"/>
  <c r="N1909" i="6"/>
  <c r="N1775" i="6"/>
  <c r="N1581" i="6"/>
  <c r="N1086" i="6"/>
  <c r="N1050" i="6"/>
  <c r="N1216" i="6"/>
  <c r="N1110" i="6"/>
  <c r="N731" i="6"/>
  <c r="N426" i="6"/>
  <c r="N941" i="6"/>
  <c r="N681" i="6"/>
  <c r="N847" i="6"/>
  <c r="N2166" i="6"/>
  <c r="N147" i="6"/>
  <c r="N955" i="6"/>
  <c r="N616" i="6"/>
  <c r="N1463" i="6"/>
  <c r="N960" i="6"/>
  <c r="N1725" i="6"/>
  <c r="N1349" i="6"/>
  <c r="N1400" i="6"/>
  <c r="N2044" i="6"/>
  <c r="N517" i="6"/>
  <c r="N690" i="6"/>
  <c r="N1025" i="6"/>
  <c r="N1567" i="6"/>
  <c r="N1226" i="6"/>
  <c r="N1448" i="6"/>
  <c r="N2669" i="6"/>
  <c r="N2509" i="6"/>
  <c r="N2284" i="6"/>
  <c r="N2203" i="6"/>
  <c r="N2601" i="6"/>
  <c r="N2460" i="6"/>
  <c r="N2644" i="6"/>
  <c r="N2374" i="6"/>
  <c r="N2030" i="6"/>
  <c r="K97" i="3"/>
  <c r="J97" i="3"/>
  <c r="P1089" i="6"/>
  <c r="O1089" i="6"/>
  <c r="I111" i="3"/>
  <c r="D112" i="3" s="1"/>
  <c r="F112" i="3" s="1"/>
  <c r="P2681" i="6"/>
  <c r="O2681" i="6"/>
  <c r="H69" i="3"/>
  <c r="I69" i="3" s="1"/>
  <c r="D70" i="3" s="1"/>
  <c r="F70" i="3" s="1"/>
  <c r="H140" i="3"/>
  <c r="I140" i="3" s="1"/>
  <c r="D141" i="3" s="1"/>
  <c r="F141" i="3" s="1"/>
  <c r="P2139" i="6"/>
  <c r="O2139" i="6"/>
  <c r="P2756" i="6"/>
  <c r="O2756" i="6"/>
  <c r="F21" i="1"/>
  <c r="N9" i="3"/>
  <c r="L9" i="3"/>
  <c r="N2783" i="6"/>
  <c r="N2740" i="6"/>
  <c r="N2796" i="6"/>
  <c r="O1737" i="6"/>
  <c r="P1737" i="6"/>
  <c r="O1653" i="6"/>
  <c r="P1653" i="6"/>
  <c r="P1918" i="6"/>
  <c r="O1918" i="6"/>
  <c r="P961" i="6"/>
  <c r="O961" i="6"/>
  <c r="P1867" i="6"/>
  <c r="O1867" i="6"/>
  <c r="N138" i="3"/>
  <c r="L138" i="3"/>
  <c r="P2386" i="6"/>
  <c r="O2386" i="6"/>
  <c r="O1438" i="6"/>
  <c r="P1438" i="6"/>
  <c r="P2841" i="6"/>
  <c r="F14" i="5" s="1"/>
  <c r="G14" i="5" s="1"/>
  <c r="O2841" i="6"/>
  <c r="E14" i="5" s="1"/>
  <c r="K68" i="3"/>
  <c r="J68" i="3"/>
  <c r="J139" i="3"/>
  <c r="K139" i="3"/>
  <c r="I98" i="3" l="1"/>
  <c r="D99" i="3" s="1"/>
  <c r="F99" i="3" s="1"/>
  <c r="H99" i="3" s="1"/>
  <c r="I99" i="3" s="1"/>
  <c r="D100" i="3" s="1"/>
  <c r="F100" i="3" s="1"/>
  <c r="H70" i="3"/>
  <c r="P1468" i="6"/>
  <c r="O1468" i="6"/>
  <c r="P2669" i="6"/>
  <c r="O2669" i="6"/>
  <c r="P1463" i="6"/>
  <c r="O1463" i="6"/>
  <c r="P1050" i="6"/>
  <c r="O1050" i="6"/>
  <c r="O1538" i="6"/>
  <c r="P1538" i="6"/>
  <c r="N111" i="3"/>
  <c r="L111" i="3"/>
  <c r="K55" i="3"/>
  <c r="J55" i="3"/>
  <c r="J82" i="3"/>
  <c r="K82" i="3"/>
  <c r="N26" i="3"/>
  <c r="L26" i="3"/>
  <c r="P1415" i="6"/>
  <c r="O1415" i="6"/>
  <c r="O261" i="6"/>
  <c r="P261" i="6"/>
  <c r="O456" i="6"/>
  <c r="P456" i="6"/>
  <c r="O1094" i="6"/>
  <c r="P1094" i="6"/>
  <c r="O1614" i="6"/>
  <c r="P1614" i="6"/>
  <c r="O2580" i="6"/>
  <c r="P2580" i="6"/>
  <c r="O1190" i="6"/>
  <c r="P1190" i="6"/>
  <c r="P1448" i="6"/>
  <c r="O1448" i="6"/>
  <c r="P616" i="6"/>
  <c r="O616" i="6"/>
  <c r="O1086" i="6"/>
  <c r="P1086" i="6"/>
  <c r="O1990" i="6"/>
  <c r="P1990" i="6"/>
  <c r="I55" i="3"/>
  <c r="D56" i="3" s="1"/>
  <c r="F56" i="3" s="1"/>
  <c r="I82" i="3"/>
  <c r="D83" i="3" s="1"/>
  <c r="F83" i="3" s="1"/>
  <c r="I125" i="3"/>
  <c r="D126" i="3" s="1"/>
  <c r="F126" i="3" s="1"/>
  <c r="O1783" i="6"/>
  <c r="P1783" i="6"/>
  <c r="P48" i="6"/>
  <c r="O48" i="6"/>
  <c r="P388" i="6"/>
  <c r="O388" i="6"/>
  <c r="P1218" i="6"/>
  <c r="O1218" i="6"/>
  <c r="P2100" i="6"/>
  <c r="O2100" i="6"/>
  <c r="P2031" i="6"/>
  <c r="O2031" i="6"/>
  <c r="P2022" i="6"/>
  <c r="O2022" i="6"/>
  <c r="P1226" i="6"/>
  <c r="O1226" i="6"/>
  <c r="P1228" i="6"/>
  <c r="O1228" i="6"/>
  <c r="P137" i="6"/>
  <c r="O137" i="6"/>
  <c r="P327" i="6"/>
  <c r="O327" i="6"/>
  <c r="P1133" i="6"/>
  <c r="O1133" i="6"/>
  <c r="P2394" i="6"/>
  <c r="O2394" i="6"/>
  <c r="P1135" i="6"/>
  <c r="O1135" i="6"/>
  <c r="P1838" i="6"/>
  <c r="O1838" i="6"/>
  <c r="P147" i="6"/>
  <c r="O147" i="6"/>
  <c r="P467" i="6"/>
  <c r="O467" i="6"/>
  <c r="O592" i="6"/>
  <c r="P592" i="6"/>
  <c r="P2099" i="6"/>
  <c r="O2099" i="6"/>
  <c r="N41" i="3"/>
  <c r="L41" i="3"/>
  <c r="P2030" i="6"/>
  <c r="O2030" i="6"/>
  <c r="P1025" i="6"/>
  <c r="O1025" i="6"/>
  <c r="P2166" i="6"/>
  <c r="O2166" i="6"/>
  <c r="P1909" i="6"/>
  <c r="O1909" i="6"/>
  <c r="O795" i="6"/>
  <c r="P795" i="6"/>
  <c r="N2632" i="6"/>
  <c r="N2393" i="6"/>
  <c r="N2295" i="6"/>
  <c r="N2352" i="6"/>
  <c r="N1924" i="6"/>
  <c r="N1627" i="6"/>
  <c r="N1944" i="6"/>
  <c r="N1905" i="6"/>
  <c r="N1748" i="6"/>
  <c r="N938" i="6"/>
  <c r="N1730" i="6"/>
  <c r="N1236" i="6"/>
  <c r="N1325" i="6"/>
  <c r="N1123" i="6"/>
  <c r="N1519" i="6"/>
  <c r="N1306" i="6"/>
  <c r="N720" i="6"/>
  <c r="N687" i="6"/>
  <c r="N159" i="6"/>
  <c r="N186" i="6"/>
  <c r="N241" i="6"/>
  <c r="N83" i="6"/>
  <c r="N300" i="6"/>
  <c r="N392" i="6"/>
  <c r="N1194" i="6"/>
  <c r="N1632" i="6"/>
  <c r="N1742" i="6"/>
  <c r="N1211" i="6"/>
  <c r="N194" i="6"/>
  <c r="N452" i="6"/>
  <c r="N615" i="6"/>
  <c r="N1689" i="6"/>
  <c r="N1784" i="6"/>
  <c r="N449" i="6"/>
  <c r="N545" i="6"/>
  <c r="N1199" i="6"/>
  <c r="N421" i="6"/>
  <c r="N2006" i="6"/>
  <c r="N1800" i="6"/>
  <c r="N1416" i="6"/>
  <c r="N1587" i="6"/>
  <c r="N1543" i="6"/>
  <c r="N2574" i="6"/>
  <c r="N1601" i="6"/>
  <c r="N2241" i="6"/>
  <c r="N1870" i="6"/>
  <c r="N1248" i="6"/>
  <c r="O1978" i="6"/>
  <c r="P1978" i="6"/>
  <c r="P441" i="6"/>
  <c r="O441" i="6"/>
  <c r="O210" i="6"/>
  <c r="P210" i="6"/>
  <c r="P944" i="6"/>
  <c r="O944" i="6"/>
  <c r="P2339" i="6"/>
  <c r="O2339" i="6"/>
  <c r="O759" i="6"/>
  <c r="P759" i="6"/>
  <c r="O1977" i="6"/>
  <c r="P1977" i="6"/>
  <c r="P40" i="6"/>
  <c r="O40" i="6"/>
  <c r="P678" i="6"/>
  <c r="O678" i="6"/>
  <c r="P2117" i="6"/>
  <c r="O2117" i="6"/>
  <c r="P847" i="6"/>
  <c r="O847" i="6"/>
  <c r="O1972" i="6"/>
  <c r="P1972" i="6"/>
  <c r="P2774" i="6"/>
  <c r="O2774" i="6"/>
  <c r="O510" i="6"/>
  <c r="P510" i="6"/>
  <c r="L166" i="3"/>
  <c r="N166" i="3"/>
  <c r="P1328" i="6"/>
  <c r="O1328" i="6"/>
  <c r="O682" i="6"/>
  <c r="P682" i="6"/>
  <c r="O234" i="6"/>
  <c r="P234" i="6"/>
  <c r="P779" i="6"/>
  <c r="O779" i="6"/>
  <c r="P2285" i="6"/>
  <c r="O2285" i="6"/>
  <c r="P1681" i="6"/>
  <c r="O1681" i="6"/>
  <c r="O2491" i="6"/>
  <c r="P2491" i="6"/>
  <c r="O52" i="6"/>
  <c r="P52" i="6"/>
  <c r="P1567" i="6"/>
  <c r="O1567" i="6"/>
  <c r="P1467" i="6"/>
  <c r="O1467" i="6"/>
  <c r="P2740" i="6"/>
  <c r="O2740" i="6"/>
  <c r="J140" i="3"/>
  <c r="K140" i="3"/>
  <c r="O2644" i="6"/>
  <c r="P2644" i="6"/>
  <c r="P517" i="6"/>
  <c r="O517" i="6"/>
  <c r="O681" i="6"/>
  <c r="P681" i="6"/>
  <c r="P2021" i="6"/>
  <c r="O2021" i="6"/>
  <c r="P2706" i="6"/>
  <c r="O2706" i="6"/>
  <c r="O1493" i="6"/>
  <c r="P1493" i="6"/>
  <c r="J42" i="3"/>
  <c r="K42" i="3"/>
  <c r="P2413" i="6"/>
  <c r="O2413" i="6"/>
  <c r="O1539" i="6"/>
  <c r="P1539" i="6"/>
  <c r="P751" i="6"/>
  <c r="O751" i="6"/>
  <c r="P848" i="6"/>
  <c r="O848" i="6"/>
  <c r="O1370" i="6"/>
  <c r="P1370" i="6"/>
  <c r="O2462" i="6"/>
  <c r="P2462" i="6"/>
  <c r="P423" i="6"/>
  <c r="O423" i="6"/>
  <c r="O2615" i="6"/>
  <c r="P2615" i="6"/>
  <c r="P1581" i="6"/>
  <c r="O1581" i="6"/>
  <c r="L124" i="3"/>
  <c r="N124" i="3"/>
  <c r="P2796" i="6"/>
  <c r="O2796" i="6"/>
  <c r="H141" i="3"/>
  <c r="I141" i="3" s="1"/>
  <c r="D142" i="3" s="1"/>
  <c r="F142" i="3" s="1"/>
  <c r="N2759" i="6"/>
  <c r="N2751" i="6"/>
  <c r="N2821" i="6"/>
  <c r="P2460" i="6"/>
  <c r="O2460" i="6"/>
  <c r="O2356" i="6"/>
  <c r="P2356" i="6"/>
  <c r="P2765" i="6"/>
  <c r="O2765" i="6"/>
  <c r="O1359" i="6"/>
  <c r="P1359" i="6"/>
  <c r="H43" i="3"/>
  <c r="I43" i="3" s="1"/>
  <c r="D44" i="3" s="1"/>
  <c r="F44" i="3" s="1"/>
  <c r="N152" i="3"/>
  <c r="L152" i="3"/>
  <c r="P2616" i="6"/>
  <c r="O2616" i="6"/>
  <c r="P2391" i="6"/>
  <c r="O2391" i="6"/>
  <c r="O310" i="6"/>
  <c r="P310" i="6"/>
  <c r="O126" i="6"/>
  <c r="P126" i="6"/>
  <c r="P1197" i="6"/>
  <c r="O1197" i="6"/>
  <c r="P2204" i="6"/>
  <c r="O2204" i="6"/>
  <c r="P1350" i="6"/>
  <c r="O1350" i="6"/>
  <c r="P955" i="6"/>
  <c r="O955" i="6"/>
  <c r="O646" i="6"/>
  <c r="P646" i="6"/>
  <c r="O690" i="6"/>
  <c r="P690" i="6"/>
  <c r="O941" i="6"/>
  <c r="P941" i="6"/>
  <c r="L139" i="3"/>
  <c r="N139" i="3"/>
  <c r="O1400" i="6"/>
  <c r="P1400" i="6"/>
  <c r="O2401" i="6"/>
  <c r="P2401" i="6"/>
  <c r="P1613" i="6"/>
  <c r="O1613" i="6"/>
  <c r="O2856" i="6"/>
  <c r="P2856" i="6"/>
  <c r="J153" i="3"/>
  <c r="K153" i="3"/>
  <c r="P2625" i="6"/>
  <c r="O2625" i="6"/>
  <c r="P1855" i="6"/>
  <c r="O1855" i="6"/>
  <c r="O211" i="6"/>
  <c r="P211" i="6"/>
  <c r="P658" i="6"/>
  <c r="O658" i="6"/>
  <c r="P1372" i="6"/>
  <c r="O1372" i="6"/>
  <c r="P2230" i="6"/>
  <c r="O2230" i="6"/>
  <c r="O442" i="6"/>
  <c r="P442" i="6"/>
  <c r="O1775" i="6"/>
  <c r="P1775" i="6"/>
  <c r="H10" i="3"/>
  <c r="I10" i="3" s="1"/>
  <c r="P2374" i="6"/>
  <c r="O2374" i="6"/>
  <c r="P2044" i="6"/>
  <c r="O2044" i="6"/>
  <c r="O426" i="6"/>
  <c r="P426" i="6"/>
  <c r="P2826" i="6"/>
  <c r="O2826" i="6"/>
  <c r="N68" i="3"/>
  <c r="L68" i="3"/>
  <c r="P2203" i="6"/>
  <c r="O2203" i="6"/>
  <c r="O1349" i="6"/>
  <c r="P1349" i="6"/>
  <c r="O731" i="6"/>
  <c r="P731" i="6"/>
  <c r="P2303" i="6"/>
  <c r="O2303" i="6"/>
  <c r="P2017" i="6"/>
  <c r="O2017" i="6"/>
  <c r="P2829" i="6"/>
  <c r="O2829" i="6"/>
  <c r="I153" i="3"/>
  <c r="D154" i="3" s="1"/>
  <c r="F154" i="3" s="1"/>
  <c r="P2254" i="6"/>
  <c r="O2254" i="6"/>
  <c r="P2103" i="6"/>
  <c r="O2103" i="6"/>
  <c r="O408" i="6"/>
  <c r="P408" i="6"/>
  <c r="O701" i="6"/>
  <c r="P701" i="6"/>
  <c r="O1311" i="6"/>
  <c r="P1311" i="6"/>
  <c r="P2592" i="6"/>
  <c r="O2592" i="6"/>
  <c r="P789" i="6"/>
  <c r="O789" i="6"/>
  <c r="L54" i="3"/>
  <c r="N54" i="3"/>
  <c r="L97" i="3"/>
  <c r="N97" i="3"/>
  <c r="N97" i="6" s="1"/>
  <c r="O699" i="6"/>
  <c r="P699" i="6"/>
  <c r="P2284" i="6"/>
  <c r="O2284" i="6"/>
  <c r="O1725" i="6"/>
  <c r="P1725" i="6"/>
  <c r="O1110" i="6"/>
  <c r="P1110" i="6"/>
  <c r="P2496" i="6"/>
  <c r="O2496" i="6"/>
  <c r="P1779" i="6"/>
  <c r="O1779" i="6"/>
  <c r="O2879" i="6"/>
  <c r="P2879" i="6"/>
  <c r="P2409" i="6"/>
  <c r="O2409" i="6"/>
  <c r="O1155" i="6"/>
  <c r="P1155" i="6"/>
  <c r="P329" i="6"/>
  <c r="O329" i="6"/>
  <c r="O438" i="6"/>
  <c r="P438" i="6"/>
  <c r="P1603" i="6"/>
  <c r="O1603" i="6"/>
  <c r="P2565" i="6"/>
  <c r="O2565" i="6"/>
  <c r="O977" i="6"/>
  <c r="P977" i="6"/>
  <c r="H168" i="3"/>
  <c r="I168" i="3" s="1"/>
  <c r="D169" i="3" s="1"/>
  <c r="F169" i="3" s="1"/>
  <c r="O2783" i="6"/>
  <c r="P2783" i="6"/>
  <c r="K69" i="3"/>
  <c r="J69" i="3"/>
  <c r="P2601" i="6"/>
  <c r="O2601" i="6"/>
  <c r="N2534" i="6"/>
  <c r="N2400" i="6"/>
  <c r="N2219" i="6"/>
  <c r="N2417" i="6"/>
  <c r="N2036" i="6"/>
  <c r="N2137" i="6"/>
  <c r="N1947" i="6"/>
  <c r="N1761" i="6"/>
  <c r="N2039" i="6"/>
  <c r="N1898" i="6"/>
  <c r="N1470" i="6"/>
  <c r="N1688" i="6"/>
  <c r="N1380" i="6"/>
  <c r="N954" i="6"/>
  <c r="N454" i="6"/>
  <c r="N219" i="6"/>
  <c r="N193" i="6"/>
  <c r="N127" i="6"/>
  <c r="N1101" i="6"/>
  <c r="N14" i="6"/>
  <c r="N686" i="6"/>
  <c r="N1732" i="6"/>
  <c r="N296" i="6"/>
  <c r="N253" i="6"/>
  <c r="N1487" i="6"/>
  <c r="N1535" i="6"/>
  <c r="N1862" i="6"/>
  <c r="N2065" i="6"/>
  <c r="N2466" i="6"/>
  <c r="N940" i="6"/>
  <c r="N930" i="6"/>
  <c r="N923" i="6"/>
  <c r="N1500" i="6"/>
  <c r="N1631" i="6"/>
  <c r="N1774" i="6"/>
  <c r="N1409" i="6"/>
  <c r="N1701" i="6"/>
  <c r="N2591" i="6"/>
  <c r="N2154" i="6"/>
  <c r="N2029" i="6"/>
  <c r="N863" i="6"/>
  <c r="N2634" i="6"/>
  <c r="N2255" i="6"/>
  <c r="H112" i="3"/>
  <c r="I112" i="3" s="1"/>
  <c r="D113" i="3" s="1"/>
  <c r="F113" i="3" s="1"/>
  <c r="P2509" i="6"/>
  <c r="O2509" i="6"/>
  <c r="P960" i="6"/>
  <c r="O960" i="6"/>
  <c r="P1216" i="6"/>
  <c r="O1216" i="6"/>
  <c r="P2293" i="6"/>
  <c r="O2293" i="6"/>
  <c r="P1929" i="6"/>
  <c r="O1929" i="6"/>
  <c r="H27" i="3"/>
  <c r="I27" i="3" s="1"/>
  <c r="D28" i="3" s="1"/>
  <c r="F28" i="3" s="1"/>
  <c r="P2326" i="6"/>
  <c r="O2326" i="6"/>
  <c r="O1122" i="6"/>
  <c r="P1122" i="6"/>
  <c r="O55" i="6"/>
  <c r="P55" i="6"/>
  <c r="P826" i="6"/>
  <c r="O826" i="6"/>
  <c r="P1565" i="6"/>
  <c r="O1565" i="6"/>
  <c r="O2495" i="6"/>
  <c r="P2495" i="6"/>
  <c r="O1267" i="6"/>
  <c r="P1267" i="6"/>
  <c r="J167" i="3"/>
  <c r="K167" i="3"/>
  <c r="H142" i="3" l="1"/>
  <c r="I142" i="3" s="1"/>
  <c r="D143" i="3" s="1"/>
  <c r="F143" i="3" s="1"/>
  <c r="E22" i="1"/>
  <c r="D11" i="3"/>
  <c r="F11" i="3" s="1"/>
  <c r="H100" i="3"/>
  <c r="I100" i="3" s="1"/>
  <c r="D101" i="3" s="1"/>
  <c r="F101" i="3" s="1"/>
  <c r="O2154" i="6"/>
  <c r="P2154" i="6"/>
  <c r="P2821" i="6"/>
  <c r="O2821" i="6"/>
  <c r="O1199" i="6"/>
  <c r="P1199" i="6"/>
  <c r="P392" i="6"/>
  <c r="O392" i="6"/>
  <c r="P1236" i="6"/>
  <c r="O1236" i="6"/>
  <c r="N2605" i="6"/>
  <c r="N2484" i="6"/>
  <c r="N2372" i="6"/>
  <c r="N2200" i="6"/>
  <c r="N2071" i="6"/>
  <c r="N1778" i="6"/>
  <c r="N1884" i="6"/>
  <c r="N1711" i="6"/>
  <c r="N1186" i="6"/>
  <c r="N1038" i="6"/>
  <c r="N989" i="6"/>
  <c r="N1237" i="6"/>
  <c r="N1041" i="6"/>
  <c r="N982" i="6"/>
  <c r="N740" i="6"/>
  <c r="N403" i="6"/>
  <c r="N854" i="6"/>
  <c r="N981" i="6"/>
  <c r="N878" i="6"/>
  <c r="N1861" i="6"/>
  <c r="N1628" i="6"/>
  <c r="N2013" i="6"/>
  <c r="N2389" i="6"/>
  <c r="N2586" i="6"/>
  <c r="O2751" i="6"/>
  <c r="P2751" i="6"/>
  <c r="P1248" i="6"/>
  <c r="O1248" i="6"/>
  <c r="P545" i="6"/>
  <c r="O545" i="6"/>
  <c r="O300" i="6"/>
  <c r="P300" i="6"/>
  <c r="P1730" i="6"/>
  <c r="O1730" i="6"/>
  <c r="O454" i="6"/>
  <c r="P454" i="6"/>
  <c r="N2851" i="6"/>
  <c r="N2767" i="6"/>
  <c r="N2747" i="6"/>
  <c r="N2772" i="6"/>
  <c r="N2822" i="6"/>
  <c r="N2741" i="6"/>
  <c r="N2733" i="6"/>
  <c r="J43" i="3"/>
  <c r="K43" i="3"/>
  <c r="O2759" i="6"/>
  <c r="P2759" i="6"/>
  <c r="P1870" i="6"/>
  <c r="O1870" i="6"/>
  <c r="P449" i="6"/>
  <c r="O449" i="6"/>
  <c r="O83" i="6"/>
  <c r="P83" i="6"/>
  <c r="O938" i="6"/>
  <c r="P938" i="6"/>
  <c r="H126" i="3"/>
  <c r="J126" i="3" s="1"/>
  <c r="O1380" i="6"/>
  <c r="P1380" i="6"/>
  <c r="P97" i="6"/>
  <c r="O97" i="6"/>
  <c r="N153" i="3"/>
  <c r="L153" i="3"/>
  <c r="H44" i="3"/>
  <c r="P2241" i="6"/>
  <c r="O2241" i="6"/>
  <c r="P1784" i="6"/>
  <c r="O1784" i="6"/>
  <c r="P241" i="6"/>
  <c r="O241" i="6"/>
  <c r="P1748" i="6"/>
  <c r="O1748" i="6"/>
  <c r="H83" i="3"/>
  <c r="I83" i="3" s="1"/>
  <c r="D84" i="3" s="1"/>
  <c r="F84" i="3" s="1"/>
  <c r="P1862" i="6"/>
  <c r="O1862" i="6"/>
  <c r="O2400" i="6"/>
  <c r="P2400" i="6"/>
  <c r="O1487" i="6"/>
  <c r="P1487" i="6"/>
  <c r="P1409" i="6"/>
  <c r="O1409" i="6"/>
  <c r="P253" i="6"/>
  <c r="O253" i="6"/>
  <c r="P1774" i="6"/>
  <c r="O1774" i="6"/>
  <c r="L42" i="3"/>
  <c r="N42" i="3"/>
  <c r="O1601" i="6"/>
  <c r="P1601" i="6"/>
  <c r="P1689" i="6"/>
  <c r="O1689" i="6"/>
  <c r="O186" i="6"/>
  <c r="P186" i="6"/>
  <c r="P1905" i="6"/>
  <c r="O1905" i="6"/>
  <c r="H56" i="3"/>
  <c r="I56" i="3" s="1"/>
  <c r="D57" i="3" s="1"/>
  <c r="F57" i="3" s="1"/>
  <c r="N2432" i="6"/>
  <c r="N1926" i="6"/>
  <c r="N1885" i="6"/>
  <c r="N1727" i="6"/>
  <c r="N2116" i="6"/>
  <c r="N974" i="6"/>
  <c r="N1191" i="6"/>
  <c r="N564" i="6"/>
  <c r="N465" i="6"/>
  <c r="N1512" i="6"/>
  <c r="N397" i="6"/>
  <c r="N1550" i="6"/>
  <c r="N861" i="6"/>
  <c r="N1119" i="6"/>
  <c r="N1303" i="6"/>
  <c r="N639" i="6"/>
  <c r="N728" i="6"/>
  <c r="N1595" i="6"/>
  <c r="N1414" i="6"/>
  <c r="N2441" i="6"/>
  <c r="N399" i="6"/>
  <c r="N1950" i="6"/>
  <c r="N2338" i="6"/>
  <c r="N1911" i="6"/>
  <c r="N1677" i="6"/>
  <c r="P863" i="6"/>
  <c r="O863" i="6"/>
  <c r="O954" i="6"/>
  <c r="P954" i="6"/>
  <c r="P1701" i="6"/>
  <c r="O1701" i="6"/>
  <c r="O2534" i="6"/>
  <c r="P2534" i="6"/>
  <c r="L167" i="3"/>
  <c r="N167" i="3"/>
  <c r="P1688" i="6"/>
  <c r="O1688" i="6"/>
  <c r="K141" i="3"/>
  <c r="J141" i="3"/>
  <c r="O296" i="6"/>
  <c r="P296" i="6"/>
  <c r="P1470" i="6"/>
  <c r="O1470" i="6"/>
  <c r="O1631" i="6"/>
  <c r="P1631" i="6"/>
  <c r="P1732" i="6"/>
  <c r="O1732" i="6"/>
  <c r="P1898" i="6"/>
  <c r="O1898" i="6"/>
  <c r="N69" i="3"/>
  <c r="L69" i="3"/>
  <c r="N2545" i="6"/>
  <c r="N2557" i="6"/>
  <c r="N2576" i="6"/>
  <c r="N2517" i="6"/>
  <c r="N2321" i="6"/>
  <c r="N2485" i="6"/>
  <c r="N2144" i="6"/>
  <c r="N1713" i="6"/>
  <c r="N2180" i="6"/>
  <c r="N1651" i="6"/>
  <c r="N1772" i="6"/>
  <c r="N1626" i="6"/>
  <c r="N1081" i="6"/>
  <c r="N975" i="6"/>
  <c r="N1127" i="6"/>
  <c r="N1026" i="6"/>
  <c r="N1021" i="6"/>
  <c r="N703" i="6"/>
  <c r="N346" i="6"/>
  <c r="N760" i="6"/>
  <c r="N185" i="6"/>
  <c r="N470" i="6"/>
  <c r="N1002" i="6"/>
  <c r="N871" i="6"/>
  <c r="N823" i="6"/>
  <c r="N148" i="6"/>
  <c r="N11" i="6"/>
  <c r="N268" i="6"/>
  <c r="N166" i="6"/>
  <c r="N257" i="6"/>
  <c r="N130" i="6"/>
  <c r="N537" i="6"/>
  <c r="N685" i="6"/>
  <c r="N180" i="6"/>
  <c r="N435" i="6"/>
  <c r="N139" i="6"/>
  <c r="N44" i="6"/>
  <c r="N958" i="6"/>
  <c r="N2079" i="6"/>
  <c r="N2497" i="6"/>
  <c r="N237" i="6"/>
  <c r="N247" i="6"/>
  <c r="N723" i="6"/>
  <c r="N345" i="6"/>
  <c r="N153" i="6"/>
  <c r="N62" i="6"/>
  <c r="N92" i="6"/>
  <c r="N1077" i="6"/>
  <c r="N1452" i="6"/>
  <c r="N1791" i="6"/>
  <c r="N642" i="6"/>
  <c r="N819" i="6"/>
  <c r="N80" i="6"/>
  <c r="N1351" i="6"/>
  <c r="N1495" i="6"/>
  <c r="N766" i="6"/>
  <c r="N2304" i="6"/>
  <c r="N2533" i="6"/>
  <c r="N2404" i="6"/>
  <c r="N2416" i="6"/>
  <c r="N2362" i="6"/>
  <c r="N1922" i="6"/>
  <c r="N1570" i="6"/>
  <c r="N2165" i="6"/>
  <c r="N2344" i="6"/>
  <c r="N2380" i="6"/>
  <c r="N2333" i="6"/>
  <c r="N1876" i="6"/>
  <c r="N1938" i="6"/>
  <c r="N1034" i="6"/>
  <c r="N1680" i="6"/>
  <c r="N1177" i="6"/>
  <c r="N1426" i="6"/>
  <c r="N837" i="6"/>
  <c r="N1302" i="6"/>
  <c r="N1335" i="6"/>
  <c r="N568" i="6"/>
  <c r="N1636" i="6"/>
  <c r="N81" i="6"/>
  <c r="N33" i="6"/>
  <c r="N161" i="6"/>
  <c r="N369" i="6"/>
  <c r="N140" i="6"/>
  <c r="N349" i="6"/>
  <c r="N445" i="6"/>
  <c r="N434" i="6"/>
  <c r="N258" i="6"/>
  <c r="N171" i="6"/>
  <c r="N774" i="6"/>
  <c r="N1068" i="6"/>
  <c r="N204" i="6"/>
  <c r="N869" i="6"/>
  <c r="N344" i="6"/>
  <c r="N641" i="6"/>
  <c r="N916" i="6"/>
  <c r="N468" i="6"/>
  <c r="N373" i="6"/>
  <c r="N1180" i="6"/>
  <c r="N718" i="6"/>
  <c r="N1571" i="6"/>
  <c r="N2311" i="6"/>
  <c r="N175" i="6"/>
  <c r="N2114" i="6"/>
  <c r="N2178" i="6"/>
  <c r="N2367" i="6"/>
  <c r="N2126" i="6"/>
  <c r="N884" i="6"/>
  <c r="N2526" i="6"/>
  <c r="N1319" i="6"/>
  <c r="N1291" i="6"/>
  <c r="N2519" i="6"/>
  <c r="N2604" i="6"/>
  <c r="N1786" i="6"/>
  <c r="N2074" i="6"/>
  <c r="N2630" i="6"/>
  <c r="N2270" i="6"/>
  <c r="N2033" i="6"/>
  <c r="N2244" i="6"/>
  <c r="N1241" i="6"/>
  <c r="P2574" i="6"/>
  <c r="O2574" i="6"/>
  <c r="P615" i="6"/>
  <c r="O615" i="6"/>
  <c r="P159" i="6"/>
  <c r="O159" i="6"/>
  <c r="O1944" i="6"/>
  <c r="P1944" i="6"/>
  <c r="O2219" i="6"/>
  <c r="P2219" i="6"/>
  <c r="H28" i="3"/>
  <c r="I28" i="3" s="1"/>
  <c r="D29" i="3" s="1"/>
  <c r="F29" i="3" s="1"/>
  <c r="P686" i="6"/>
  <c r="O686" i="6"/>
  <c r="O1543" i="6"/>
  <c r="P1543" i="6"/>
  <c r="P452" i="6"/>
  <c r="O452" i="6"/>
  <c r="O687" i="6"/>
  <c r="P687" i="6"/>
  <c r="P1627" i="6"/>
  <c r="O1627" i="6"/>
  <c r="O1535" i="6"/>
  <c r="P1535" i="6"/>
  <c r="H113" i="3"/>
  <c r="I113" i="3" s="1"/>
  <c r="D114" i="3" s="1"/>
  <c r="F114" i="3" s="1"/>
  <c r="L140" i="3"/>
  <c r="N140" i="3"/>
  <c r="N2797" i="6" s="1"/>
  <c r="J27" i="3"/>
  <c r="K27" i="3"/>
  <c r="K112" i="3"/>
  <c r="J112" i="3"/>
  <c r="P923" i="6"/>
  <c r="O923" i="6"/>
  <c r="P14" i="6"/>
  <c r="O14" i="6"/>
  <c r="P1761" i="6"/>
  <c r="O1761" i="6"/>
  <c r="N2698" i="6"/>
  <c r="N2716" i="6"/>
  <c r="P1587" i="6"/>
  <c r="O1587" i="6"/>
  <c r="O194" i="6"/>
  <c r="P194" i="6"/>
  <c r="O720" i="6"/>
  <c r="P720" i="6"/>
  <c r="O1924" i="6"/>
  <c r="P1924" i="6"/>
  <c r="N82" i="3"/>
  <c r="N19" i="6" s="1"/>
  <c r="L82" i="3"/>
  <c r="O2591" i="6"/>
  <c r="P2591" i="6"/>
  <c r="P1500" i="6"/>
  <c r="O1500" i="6"/>
  <c r="P2039" i="6"/>
  <c r="O2039" i="6"/>
  <c r="O2255" i="6"/>
  <c r="P2255" i="6"/>
  <c r="O930" i="6"/>
  <c r="P930" i="6"/>
  <c r="P1101" i="6"/>
  <c r="O1101" i="6"/>
  <c r="O1947" i="6"/>
  <c r="P1947" i="6"/>
  <c r="K99" i="3"/>
  <c r="J99" i="3"/>
  <c r="P1416" i="6"/>
  <c r="O1416" i="6"/>
  <c r="O1211" i="6"/>
  <c r="P1211" i="6"/>
  <c r="O1306" i="6"/>
  <c r="P1306" i="6"/>
  <c r="O2352" i="6"/>
  <c r="P2352" i="6"/>
  <c r="N55" i="3"/>
  <c r="L55" i="3"/>
  <c r="P2634" i="6"/>
  <c r="O2634" i="6"/>
  <c r="P940" i="6"/>
  <c r="O940" i="6"/>
  <c r="O127" i="6"/>
  <c r="P127" i="6"/>
  <c r="O2137" i="6"/>
  <c r="P2137" i="6"/>
  <c r="K168" i="3"/>
  <c r="J168" i="3"/>
  <c r="H154" i="3"/>
  <c r="K10" i="3"/>
  <c r="J10" i="3"/>
  <c r="P1800" i="6"/>
  <c r="O1800" i="6"/>
  <c r="P1742" i="6"/>
  <c r="O1742" i="6"/>
  <c r="P1519" i="6"/>
  <c r="O1519" i="6"/>
  <c r="P2295" i="6"/>
  <c r="O2295" i="6"/>
  <c r="O2466" i="6"/>
  <c r="P2466" i="6"/>
  <c r="P193" i="6"/>
  <c r="O193" i="6"/>
  <c r="P2036" i="6"/>
  <c r="O2036" i="6"/>
  <c r="H169" i="3"/>
  <c r="I169" i="3" s="1"/>
  <c r="D170" i="3" s="1"/>
  <c r="F170" i="3" s="1"/>
  <c r="K70" i="3"/>
  <c r="J70" i="3"/>
  <c r="P2006" i="6"/>
  <c r="O2006" i="6"/>
  <c r="P1632" i="6"/>
  <c r="O1632" i="6"/>
  <c r="O1123" i="6"/>
  <c r="P1123" i="6"/>
  <c r="P2393" i="6"/>
  <c r="O2393" i="6"/>
  <c r="O2029" i="6"/>
  <c r="P2029" i="6"/>
  <c r="P2065" i="6"/>
  <c r="O2065" i="6"/>
  <c r="P219" i="6"/>
  <c r="O219" i="6"/>
  <c r="O2417" i="6"/>
  <c r="P2417" i="6"/>
  <c r="N2818" i="6"/>
  <c r="N2727" i="6"/>
  <c r="N2734" i="6"/>
  <c r="N2748" i="6"/>
  <c r="P421" i="6"/>
  <c r="O421" i="6"/>
  <c r="P1194" i="6"/>
  <c r="O1194" i="6"/>
  <c r="O1325" i="6"/>
  <c r="P1325" i="6"/>
  <c r="O2632" i="6"/>
  <c r="P2632" i="6"/>
  <c r="N2739" i="6"/>
  <c r="N2697" i="6"/>
  <c r="N2844" i="6"/>
  <c r="N2693" i="6"/>
  <c r="N2761" i="6"/>
  <c r="N2758" i="6"/>
  <c r="N2878" i="6"/>
  <c r="N2812" i="6"/>
  <c r="I70" i="3"/>
  <c r="D71" i="3" s="1"/>
  <c r="F71" i="3" s="1"/>
  <c r="H101" i="3" l="1"/>
  <c r="J101" i="3" s="1"/>
  <c r="H84" i="3"/>
  <c r="I84" i="3" s="1"/>
  <c r="D85" i="3" s="1"/>
  <c r="F85" i="3" s="1"/>
  <c r="O2526" i="6"/>
  <c r="P2526" i="6"/>
  <c r="P1177" i="6"/>
  <c r="O1177" i="6"/>
  <c r="P2416" i="6"/>
  <c r="O2416" i="6"/>
  <c r="P1077" i="6"/>
  <c r="O1077" i="6"/>
  <c r="P139" i="6"/>
  <c r="O139" i="6"/>
  <c r="P871" i="6"/>
  <c r="O871" i="6"/>
  <c r="P1626" i="6"/>
  <c r="O1626" i="6"/>
  <c r="N141" i="3"/>
  <c r="L141" i="3"/>
  <c r="O1303" i="6"/>
  <c r="P1303" i="6"/>
  <c r="O1885" i="6"/>
  <c r="P1885" i="6"/>
  <c r="O1861" i="6"/>
  <c r="P1861" i="6"/>
  <c r="O1711" i="6"/>
  <c r="P1711" i="6"/>
  <c r="P2758" i="6"/>
  <c r="O2758" i="6"/>
  <c r="K169" i="3"/>
  <c r="J169" i="3"/>
  <c r="K28" i="3"/>
  <c r="J28" i="3"/>
  <c r="O1241" i="6"/>
  <c r="P1241" i="6"/>
  <c r="P884" i="6"/>
  <c r="O884" i="6"/>
  <c r="P916" i="6"/>
  <c r="O916" i="6"/>
  <c r="O140" i="6"/>
  <c r="P140" i="6"/>
  <c r="P1680" i="6"/>
  <c r="O1680" i="6"/>
  <c r="O2404" i="6"/>
  <c r="P2404" i="6"/>
  <c r="O92" i="6"/>
  <c r="P92" i="6"/>
  <c r="O435" i="6"/>
  <c r="P435" i="6"/>
  <c r="P1002" i="6"/>
  <c r="O1002" i="6"/>
  <c r="P1772" i="6"/>
  <c r="O1772" i="6"/>
  <c r="N2790" i="6"/>
  <c r="N2802" i="6"/>
  <c r="P1119" i="6"/>
  <c r="O1119" i="6"/>
  <c r="P1926" i="6"/>
  <c r="O1926" i="6"/>
  <c r="N2803" i="6"/>
  <c r="N2787" i="6"/>
  <c r="N2680" i="6"/>
  <c r="N2849" i="6"/>
  <c r="J44" i="3"/>
  <c r="K44" i="3"/>
  <c r="P2733" i="6"/>
  <c r="O2733" i="6"/>
  <c r="P878" i="6"/>
  <c r="O878" i="6"/>
  <c r="O1884" i="6"/>
  <c r="P1884" i="6"/>
  <c r="O2244" i="6"/>
  <c r="P2244" i="6"/>
  <c r="O369" i="6"/>
  <c r="P369" i="6"/>
  <c r="P1034" i="6"/>
  <c r="O1034" i="6"/>
  <c r="P2533" i="6"/>
  <c r="O2533" i="6"/>
  <c r="P62" i="6"/>
  <c r="O62" i="6"/>
  <c r="P180" i="6"/>
  <c r="O180" i="6"/>
  <c r="P470" i="6"/>
  <c r="O470" i="6"/>
  <c r="P1651" i="6"/>
  <c r="O1651" i="6"/>
  <c r="O1677" i="6"/>
  <c r="P1677" i="6"/>
  <c r="P861" i="6"/>
  <c r="O861" i="6"/>
  <c r="P2432" i="6"/>
  <c r="O2432" i="6"/>
  <c r="I44" i="3"/>
  <c r="D45" i="3" s="1"/>
  <c r="F45" i="3" s="1"/>
  <c r="O2741" i="6"/>
  <c r="P2741" i="6"/>
  <c r="P981" i="6"/>
  <c r="O981" i="6"/>
  <c r="P1778" i="6"/>
  <c r="O1778" i="6"/>
  <c r="P349" i="6"/>
  <c r="O349" i="6"/>
  <c r="H170" i="3"/>
  <c r="I170" i="3" s="1"/>
  <c r="D171" i="3" s="1"/>
  <c r="F171" i="3" s="1"/>
  <c r="P2748" i="6"/>
  <c r="O2748" i="6"/>
  <c r="O1938" i="6"/>
  <c r="P1938" i="6"/>
  <c r="O185" i="6"/>
  <c r="P185" i="6"/>
  <c r="O2822" i="6"/>
  <c r="P2822" i="6"/>
  <c r="P2844" i="6"/>
  <c r="O2844" i="6"/>
  <c r="P2734" i="6"/>
  <c r="O2734" i="6"/>
  <c r="P2270" i="6"/>
  <c r="O2270" i="6"/>
  <c r="P2178" i="6"/>
  <c r="O2178" i="6"/>
  <c r="P869" i="6"/>
  <c r="O869" i="6"/>
  <c r="P33" i="6"/>
  <c r="O33" i="6"/>
  <c r="P1876" i="6"/>
  <c r="O1876" i="6"/>
  <c r="P766" i="6"/>
  <c r="O766" i="6"/>
  <c r="P345" i="6"/>
  <c r="O345" i="6"/>
  <c r="O537" i="6"/>
  <c r="P537" i="6"/>
  <c r="O760" i="6"/>
  <c r="P760" i="6"/>
  <c r="O1713" i="6"/>
  <c r="P1713" i="6"/>
  <c r="N2647" i="6"/>
  <c r="N2426" i="6"/>
  <c r="N2444" i="6"/>
  <c r="N2199" i="6"/>
  <c r="N1899" i="6"/>
  <c r="N1811" i="6"/>
  <c r="N1497" i="6"/>
  <c r="N1288" i="6"/>
  <c r="N996" i="6"/>
  <c r="N1093" i="6"/>
  <c r="N1327" i="6"/>
  <c r="N612" i="6"/>
  <c r="N330" i="6"/>
  <c r="N365" i="6"/>
  <c r="N648" i="6"/>
  <c r="N844" i="6"/>
  <c r="N198" i="6"/>
  <c r="N107" i="6"/>
  <c r="N206" i="6"/>
  <c r="N395" i="6"/>
  <c r="N136" i="6"/>
  <c r="N277" i="6"/>
  <c r="N118" i="6"/>
  <c r="N1277" i="6"/>
  <c r="N746" i="6"/>
  <c r="N1740" i="6"/>
  <c r="N2423" i="6"/>
  <c r="N591" i="6"/>
  <c r="N1685" i="6"/>
  <c r="N753" i="6"/>
  <c r="N1511" i="6"/>
  <c r="N1173" i="6"/>
  <c r="N1189" i="6"/>
  <c r="N2405" i="6"/>
  <c r="N2215" i="6"/>
  <c r="N1471" i="6"/>
  <c r="N540" i="6"/>
  <c r="N2476" i="6"/>
  <c r="N1814" i="6"/>
  <c r="N1844" i="6"/>
  <c r="N1818" i="6"/>
  <c r="N2261" i="6"/>
  <c r="N2388" i="6"/>
  <c r="N2090" i="6"/>
  <c r="N2081" i="6"/>
  <c r="N2494" i="6"/>
  <c r="O2338" i="6"/>
  <c r="P2338" i="6"/>
  <c r="P397" i="6"/>
  <c r="O397" i="6"/>
  <c r="J56" i="3"/>
  <c r="K56" i="3"/>
  <c r="N2611" i="6"/>
  <c r="N2498" i="6"/>
  <c r="N2635" i="6"/>
  <c r="N2529" i="6"/>
  <c r="N2424" i="6"/>
  <c r="N2111" i="6"/>
  <c r="N2094" i="6"/>
  <c r="N1751" i="6"/>
  <c r="N1771" i="6"/>
  <c r="N1703" i="6"/>
  <c r="N1657" i="6"/>
  <c r="N986" i="6"/>
  <c r="N1733" i="6"/>
  <c r="N1423" i="6"/>
  <c r="N1118" i="6"/>
  <c r="N1455" i="6"/>
  <c r="N947" i="6"/>
  <c r="N432" i="6"/>
  <c r="N501" i="6"/>
  <c r="N475" i="6"/>
  <c r="N405" i="6"/>
  <c r="N925" i="6"/>
  <c r="N1530" i="6"/>
  <c r="N2131" i="6"/>
  <c r="N769" i="6"/>
  <c r="N2170" i="6"/>
  <c r="N542" i="6"/>
  <c r="N2257" i="6"/>
  <c r="N2292" i="6"/>
  <c r="N1549" i="6"/>
  <c r="N2520" i="6"/>
  <c r="N2436" i="6"/>
  <c r="N1023" i="6"/>
  <c r="N1475" i="6"/>
  <c r="N2548" i="6"/>
  <c r="N2325" i="6"/>
  <c r="N2515" i="6"/>
  <c r="P2772" i="6"/>
  <c r="O2772" i="6"/>
  <c r="O403" i="6"/>
  <c r="P403" i="6"/>
  <c r="O2200" i="6"/>
  <c r="P2200" i="6"/>
  <c r="H114" i="3"/>
  <c r="P641" i="6"/>
  <c r="O641" i="6"/>
  <c r="O344" i="6"/>
  <c r="P344" i="6"/>
  <c r="O153" i="6"/>
  <c r="P153" i="6"/>
  <c r="P1911" i="6"/>
  <c r="O1911" i="6"/>
  <c r="P2071" i="6"/>
  <c r="O2071" i="6"/>
  <c r="P2114" i="6"/>
  <c r="O2114" i="6"/>
  <c r="O204" i="6"/>
  <c r="P204" i="6"/>
  <c r="P81" i="6"/>
  <c r="O81" i="6"/>
  <c r="O2333" i="6"/>
  <c r="P2333" i="6"/>
  <c r="P1495" i="6"/>
  <c r="O1495" i="6"/>
  <c r="P723" i="6"/>
  <c r="O723" i="6"/>
  <c r="O130" i="6"/>
  <c r="P130" i="6"/>
  <c r="O346" i="6"/>
  <c r="P346" i="6"/>
  <c r="O2144" i="6"/>
  <c r="P2144" i="6"/>
  <c r="O1950" i="6"/>
  <c r="P1950" i="6"/>
  <c r="P1512" i="6"/>
  <c r="O1512" i="6"/>
  <c r="O2747" i="6"/>
  <c r="P2747" i="6"/>
  <c r="O740" i="6"/>
  <c r="P740" i="6"/>
  <c r="O2372" i="6"/>
  <c r="P2372" i="6"/>
  <c r="P19" i="6"/>
  <c r="O19" i="6"/>
  <c r="P2126" i="6"/>
  <c r="O2126" i="6"/>
  <c r="P2367" i="6"/>
  <c r="O2367" i="6"/>
  <c r="P685" i="6"/>
  <c r="O685" i="6"/>
  <c r="P1550" i="6"/>
  <c r="O1550" i="6"/>
  <c r="H57" i="3"/>
  <c r="J83" i="3"/>
  <c r="K83" i="3"/>
  <c r="O2727" i="6"/>
  <c r="P2727" i="6"/>
  <c r="O2739" i="6"/>
  <c r="P2739" i="6"/>
  <c r="P2818" i="6"/>
  <c r="O2818" i="6"/>
  <c r="O2074" i="6"/>
  <c r="P2074" i="6"/>
  <c r="P175" i="6"/>
  <c r="O175" i="6"/>
  <c r="P1068" i="6"/>
  <c r="O1068" i="6"/>
  <c r="P1636" i="6"/>
  <c r="O1636" i="6"/>
  <c r="P2380" i="6"/>
  <c r="O2380" i="6"/>
  <c r="P1351" i="6"/>
  <c r="O1351" i="6"/>
  <c r="P247" i="6"/>
  <c r="O247" i="6"/>
  <c r="O257" i="6"/>
  <c r="P257" i="6"/>
  <c r="P703" i="6"/>
  <c r="O703" i="6"/>
  <c r="P2485" i="6"/>
  <c r="O2485" i="6"/>
  <c r="P399" i="6"/>
  <c r="O399" i="6"/>
  <c r="O465" i="6"/>
  <c r="P465" i="6"/>
  <c r="P2767" i="6"/>
  <c r="O2767" i="6"/>
  <c r="P982" i="6"/>
  <c r="O982" i="6"/>
  <c r="P2484" i="6"/>
  <c r="O2484" i="6"/>
  <c r="P2878" i="6"/>
  <c r="O2878" i="6"/>
  <c r="P2761" i="6"/>
  <c r="O2761" i="6"/>
  <c r="H29" i="3"/>
  <c r="P2033" i="6"/>
  <c r="O2033" i="6"/>
  <c r="O2304" i="6"/>
  <c r="P2304" i="6"/>
  <c r="O2180" i="6"/>
  <c r="P2180" i="6"/>
  <c r="O854" i="6"/>
  <c r="P854" i="6"/>
  <c r="O2630" i="6"/>
  <c r="P2630" i="6"/>
  <c r="F22" i="1"/>
  <c r="N10" i="3"/>
  <c r="L10" i="3"/>
  <c r="L99" i="3"/>
  <c r="N99" i="3"/>
  <c r="P2311" i="6"/>
  <c r="O2311" i="6"/>
  <c r="P774" i="6"/>
  <c r="O774" i="6"/>
  <c r="P568" i="6"/>
  <c r="O568" i="6"/>
  <c r="P2344" i="6"/>
  <c r="O2344" i="6"/>
  <c r="P80" i="6"/>
  <c r="O80" i="6"/>
  <c r="O237" i="6"/>
  <c r="P237" i="6"/>
  <c r="O166" i="6"/>
  <c r="P166" i="6"/>
  <c r="P1021" i="6"/>
  <c r="O1021" i="6"/>
  <c r="O2321" i="6"/>
  <c r="P2321" i="6"/>
  <c r="P2441" i="6"/>
  <c r="O2441" i="6"/>
  <c r="P564" i="6"/>
  <c r="O564" i="6"/>
  <c r="O2851" i="6"/>
  <c r="P2851" i="6"/>
  <c r="P1041" i="6"/>
  <c r="O1041" i="6"/>
  <c r="O2605" i="6"/>
  <c r="P2605" i="6"/>
  <c r="K100" i="3"/>
  <c r="J100" i="3"/>
  <c r="P2697" i="6"/>
  <c r="O2697" i="6"/>
  <c r="N112" i="3"/>
  <c r="L112" i="3"/>
  <c r="P1786" i="6"/>
  <c r="O1786" i="6"/>
  <c r="L27" i="3"/>
  <c r="N27" i="3"/>
  <c r="P2604" i="6"/>
  <c r="O2604" i="6"/>
  <c r="O1571" i="6"/>
  <c r="P1571" i="6"/>
  <c r="O171" i="6"/>
  <c r="P171" i="6"/>
  <c r="O1335" i="6"/>
  <c r="P1335" i="6"/>
  <c r="P2165" i="6"/>
  <c r="O2165" i="6"/>
  <c r="P819" i="6"/>
  <c r="O819" i="6"/>
  <c r="P2497" i="6"/>
  <c r="O2497" i="6"/>
  <c r="P268" i="6"/>
  <c r="O268" i="6"/>
  <c r="P1026" i="6"/>
  <c r="O1026" i="6"/>
  <c r="P2517" i="6"/>
  <c r="O2517" i="6"/>
  <c r="O1414" i="6"/>
  <c r="P1414" i="6"/>
  <c r="O1191" i="6"/>
  <c r="P1191" i="6"/>
  <c r="P2586" i="6"/>
  <c r="O2586" i="6"/>
  <c r="O1237" i="6"/>
  <c r="P1237" i="6"/>
  <c r="H11" i="3"/>
  <c r="I11" i="3" s="1"/>
  <c r="P2716" i="6"/>
  <c r="O2716" i="6"/>
  <c r="O2797" i="6"/>
  <c r="P2797" i="6"/>
  <c r="O2519" i="6"/>
  <c r="P2519" i="6"/>
  <c r="P718" i="6"/>
  <c r="O718" i="6"/>
  <c r="O258" i="6"/>
  <c r="P258" i="6"/>
  <c r="O1302" i="6"/>
  <c r="P1302" i="6"/>
  <c r="P1570" i="6"/>
  <c r="O1570" i="6"/>
  <c r="P642" i="6"/>
  <c r="O642" i="6"/>
  <c r="P2079" i="6"/>
  <c r="O2079" i="6"/>
  <c r="O11" i="6"/>
  <c r="P11" i="6"/>
  <c r="P1127" i="6"/>
  <c r="O1127" i="6"/>
  <c r="P2576" i="6"/>
  <c r="O2576" i="6"/>
  <c r="O1595" i="6"/>
  <c r="P1595" i="6"/>
  <c r="O974" i="6"/>
  <c r="P974" i="6"/>
  <c r="O2389" i="6"/>
  <c r="P2389" i="6"/>
  <c r="P989" i="6"/>
  <c r="O989" i="6"/>
  <c r="P468" i="6"/>
  <c r="O468" i="6"/>
  <c r="P2693" i="6"/>
  <c r="O2693" i="6"/>
  <c r="O161" i="6"/>
  <c r="P161" i="6"/>
  <c r="J154" i="3"/>
  <c r="K154" i="3"/>
  <c r="H71" i="3"/>
  <c r="I71" i="3" s="1"/>
  <c r="D72" i="3" s="1"/>
  <c r="F72" i="3" s="1"/>
  <c r="I154" i="3"/>
  <c r="D155" i="3" s="1"/>
  <c r="F155" i="3" s="1"/>
  <c r="N2658" i="6"/>
  <c r="N2570" i="6"/>
  <c r="N2492" i="6"/>
  <c r="N2153" i="6"/>
  <c r="N2259" i="6"/>
  <c r="N1847" i="6"/>
  <c r="N2024" i="6"/>
  <c r="N2140" i="6"/>
  <c r="N1998" i="6"/>
  <c r="N1896" i="6"/>
  <c r="N2171" i="6"/>
  <c r="N1981" i="6"/>
  <c r="N1708" i="6"/>
  <c r="N1812" i="6"/>
  <c r="N1804" i="6"/>
  <c r="N1572" i="6"/>
  <c r="N1469" i="6"/>
  <c r="N1545" i="6"/>
  <c r="N1517" i="6"/>
  <c r="N1163" i="6"/>
  <c r="N1337" i="6"/>
  <c r="N929" i="6"/>
  <c r="N366" i="6"/>
  <c r="N1098" i="6"/>
  <c r="N1146" i="6"/>
  <c r="N998" i="6"/>
  <c r="N835" i="6"/>
  <c r="N335" i="6"/>
  <c r="N1090" i="6"/>
  <c r="N874" i="6"/>
  <c r="N666" i="6"/>
  <c r="N482" i="6"/>
  <c r="N963" i="6"/>
  <c r="N640" i="6"/>
  <c r="N531" i="6"/>
  <c r="N379" i="6"/>
  <c r="N949" i="6"/>
  <c r="N567" i="6"/>
  <c r="N538" i="6"/>
  <c r="N433" i="6"/>
  <c r="N143" i="6"/>
  <c r="N358" i="6"/>
  <c r="N122" i="6"/>
  <c r="N117" i="6"/>
  <c r="N181" i="6"/>
  <c r="N15" i="6"/>
  <c r="N391" i="6"/>
  <c r="N608" i="6"/>
  <c r="N1224" i="6"/>
  <c r="N1333" i="6"/>
  <c r="N1753" i="6"/>
  <c r="N101" i="6"/>
  <c r="N584" i="6"/>
  <c r="N325" i="6"/>
  <c r="N691" i="6"/>
  <c r="N1589" i="6"/>
  <c r="N134" i="6"/>
  <c r="N265" i="6"/>
  <c r="N2018" i="6"/>
  <c r="N1087" i="6"/>
  <c r="N1499" i="6"/>
  <c r="N2032" i="6"/>
  <c r="N662" i="6"/>
  <c r="N458" i="6"/>
  <c r="N602" i="6"/>
  <c r="N1276" i="6"/>
  <c r="N2459" i="6"/>
  <c r="N2428" i="6"/>
  <c r="N1687" i="6"/>
  <c r="N2289" i="6"/>
  <c r="N1669" i="6"/>
  <c r="O2698" i="6"/>
  <c r="P2698" i="6"/>
  <c r="P1291" i="6"/>
  <c r="O1291" i="6"/>
  <c r="O1180" i="6"/>
  <c r="P1180" i="6"/>
  <c r="P434" i="6"/>
  <c r="O434" i="6"/>
  <c r="P837" i="6"/>
  <c r="O837" i="6"/>
  <c r="P1922" i="6"/>
  <c r="O1922" i="6"/>
  <c r="O1791" i="6"/>
  <c r="P1791" i="6"/>
  <c r="P958" i="6"/>
  <c r="O958" i="6"/>
  <c r="P148" i="6"/>
  <c r="O148" i="6"/>
  <c r="P975" i="6"/>
  <c r="O975" i="6"/>
  <c r="O2557" i="6"/>
  <c r="P2557" i="6"/>
  <c r="P728" i="6"/>
  <c r="O728" i="6"/>
  <c r="O2116" i="6"/>
  <c r="P2116" i="6"/>
  <c r="I126" i="3"/>
  <c r="D127" i="3" s="1"/>
  <c r="F127" i="3" s="1"/>
  <c r="P2013" i="6"/>
  <c r="O2013" i="6"/>
  <c r="O1038" i="6"/>
  <c r="P1038" i="6"/>
  <c r="J142" i="3"/>
  <c r="K142" i="3"/>
  <c r="O2812" i="6"/>
  <c r="P2812" i="6"/>
  <c r="N70" i="3"/>
  <c r="L70" i="3"/>
  <c r="L168" i="3"/>
  <c r="N168" i="3"/>
  <c r="K113" i="3"/>
  <c r="J113" i="3"/>
  <c r="P1319" i="6"/>
  <c r="O1319" i="6"/>
  <c r="P373" i="6"/>
  <c r="O373" i="6"/>
  <c r="P445" i="6"/>
  <c r="O445" i="6"/>
  <c r="P1426" i="6"/>
  <c r="O1426" i="6"/>
  <c r="O2362" i="6"/>
  <c r="P2362" i="6"/>
  <c r="P1452" i="6"/>
  <c r="O1452" i="6"/>
  <c r="O44" i="6"/>
  <c r="P44" i="6"/>
  <c r="P823" i="6"/>
  <c r="O823" i="6"/>
  <c r="O1081" i="6"/>
  <c r="P1081" i="6"/>
  <c r="O2545" i="6"/>
  <c r="P2545" i="6"/>
  <c r="O639" i="6"/>
  <c r="P639" i="6"/>
  <c r="P1727" i="6"/>
  <c r="O1727" i="6"/>
  <c r="N43" i="3"/>
  <c r="L43" i="3"/>
  <c r="P1628" i="6"/>
  <c r="O1628" i="6"/>
  <c r="P1186" i="6"/>
  <c r="O1186" i="6"/>
  <c r="H143" i="3"/>
  <c r="I143" i="3" s="1"/>
  <c r="D144" i="3" s="1"/>
  <c r="F144" i="3" s="1"/>
  <c r="P15" i="6" l="1"/>
  <c r="O15" i="6"/>
  <c r="P1511" i="6"/>
  <c r="O1511" i="6"/>
  <c r="P181" i="6"/>
  <c r="O181" i="6"/>
  <c r="P2170" i="6"/>
  <c r="O2170" i="6"/>
  <c r="P1423" i="6"/>
  <c r="O1423" i="6"/>
  <c r="P2498" i="6"/>
  <c r="O2498" i="6"/>
  <c r="O2261" i="6"/>
  <c r="P2261" i="6"/>
  <c r="O753" i="6"/>
  <c r="P753" i="6"/>
  <c r="O107" i="6"/>
  <c r="P107" i="6"/>
  <c r="O1811" i="6"/>
  <c r="P1811" i="6"/>
  <c r="H45" i="3"/>
  <c r="I45" i="3" s="1"/>
  <c r="D46" i="3" s="1"/>
  <c r="F46" i="3" s="1"/>
  <c r="O640" i="6"/>
  <c r="P640" i="6"/>
  <c r="O1497" i="6"/>
  <c r="P1497" i="6"/>
  <c r="P134" i="6"/>
  <c r="O134" i="6"/>
  <c r="P1337" i="6"/>
  <c r="O1337" i="6"/>
  <c r="O2428" i="6"/>
  <c r="P2428" i="6"/>
  <c r="P482" i="6"/>
  <c r="O482" i="6"/>
  <c r="P1163" i="6"/>
  <c r="O1163" i="6"/>
  <c r="O2140" i="6"/>
  <c r="P2140" i="6"/>
  <c r="L154" i="3"/>
  <c r="N154" i="3"/>
  <c r="P2515" i="6"/>
  <c r="O2515" i="6"/>
  <c r="P769" i="6"/>
  <c r="O769" i="6"/>
  <c r="P1733" i="6"/>
  <c r="O1733" i="6"/>
  <c r="O2611" i="6"/>
  <c r="P2611" i="6"/>
  <c r="P1818" i="6"/>
  <c r="O1818" i="6"/>
  <c r="P1685" i="6"/>
  <c r="O1685" i="6"/>
  <c r="O198" i="6"/>
  <c r="P198" i="6"/>
  <c r="P1899" i="6"/>
  <c r="O1899" i="6"/>
  <c r="N28" i="3"/>
  <c r="L28" i="3"/>
  <c r="P265" i="6"/>
  <c r="O265" i="6"/>
  <c r="O2635" i="6"/>
  <c r="P2635" i="6"/>
  <c r="P1687" i="6"/>
  <c r="O1687" i="6"/>
  <c r="O963" i="6"/>
  <c r="P963" i="6"/>
  <c r="P1998" i="6"/>
  <c r="O1998" i="6"/>
  <c r="P1589" i="6"/>
  <c r="O1589" i="6"/>
  <c r="P117" i="6"/>
  <c r="O117" i="6"/>
  <c r="L142" i="3"/>
  <c r="N142" i="3"/>
  <c r="P2459" i="6"/>
  <c r="O2459" i="6"/>
  <c r="P691" i="6"/>
  <c r="O691" i="6"/>
  <c r="O122" i="6"/>
  <c r="P122" i="6"/>
  <c r="O666" i="6"/>
  <c r="P666" i="6"/>
  <c r="P1517" i="6"/>
  <c r="O1517" i="6"/>
  <c r="O2024" i="6"/>
  <c r="P2024" i="6"/>
  <c r="N49" i="6"/>
  <c r="N60" i="6"/>
  <c r="L83" i="3"/>
  <c r="N83" i="3"/>
  <c r="N108" i="6" s="1"/>
  <c r="P2325" i="6"/>
  <c r="O2325" i="6"/>
  <c r="P2131" i="6"/>
  <c r="O2131" i="6"/>
  <c r="O986" i="6"/>
  <c r="P986" i="6"/>
  <c r="O1844" i="6"/>
  <c r="P1844" i="6"/>
  <c r="O591" i="6"/>
  <c r="P591" i="6"/>
  <c r="P844" i="6"/>
  <c r="O844" i="6"/>
  <c r="O2199" i="6"/>
  <c r="P2199" i="6"/>
  <c r="J170" i="3"/>
  <c r="K170" i="3"/>
  <c r="O2388" i="6"/>
  <c r="P2388" i="6"/>
  <c r="J57" i="3"/>
  <c r="K57" i="3"/>
  <c r="O2548" i="6"/>
  <c r="P2548" i="6"/>
  <c r="O1530" i="6"/>
  <c r="P1530" i="6"/>
  <c r="O1657" i="6"/>
  <c r="P1657" i="6"/>
  <c r="L56" i="3"/>
  <c r="N56" i="3"/>
  <c r="P1814" i="6"/>
  <c r="O1814" i="6"/>
  <c r="P2423" i="6"/>
  <c r="O2423" i="6"/>
  <c r="O648" i="6"/>
  <c r="P648" i="6"/>
  <c r="O2444" i="6"/>
  <c r="P2444" i="6"/>
  <c r="H171" i="3"/>
  <c r="P2802" i="6"/>
  <c r="O2802" i="6"/>
  <c r="N169" i="3"/>
  <c r="L169" i="3"/>
  <c r="P2289" i="6"/>
  <c r="O2289" i="6"/>
  <c r="O206" i="6"/>
  <c r="P206" i="6"/>
  <c r="P874" i="6"/>
  <c r="O874" i="6"/>
  <c r="O1545" i="6"/>
  <c r="P1545" i="6"/>
  <c r="O1847" i="6"/>
  <c r="P1847" i="6"/>
  <c r="N2791" i="6"/>
  <c r="N2674" i="6"/>
  <c r="N2836" i="6"/>
  <c r="N2873" i="6"/>
  <c r="N2732" i="6"/>
  <c r="N2709" i="6"/>
  <c r="P602" i="6"/>
  <c r="O602" i="6"/>
  <c r="P584" i="6"/>
  <c r="O584" i="6"/>
  <c r="O143" i="6"/>
  <c r="P143" i="6"/>
  <c r="O1090" i="6"/>
  <c r="P1090" i="6"/>
  <c r="P1469" i="6"/>
  <c r="O1469" i="6"/>
  <c r="P2259" i="6"/>
  <c r="O2259" i="6"/>
  <c r="K11" i="3"/>
  <c r="J11" i="3"/>
  <c r="N2675" i="6"/>
  <c r="N2687" i="6"/>
  <c r="N2771" i="6"/>
  <c r="N2800" i="6"/>
  <c r="N2762" i="6"/>
  <c r="I57" i="3"/>
  <c r="D58" i="3" s="1"/>
  <c r="F58" i="3" s="1"/>
  <c r="O1475" i="6"/>
  <c r="P1475" i="6"/>
  <c r="O925" i="6"/>
  <c r="P925" i="6"/>
  <c r="P1703" i="6"/>
  <c r="O1703" i="6"/>
  <c r="P2476" i="6"/>
  <c r="O2476" i="6"/>
  <c r="P1740" i="6"/>
  <c r="O1740" i="6"/>
  <c r="O365" i="6"/>
  <c r="P365" i="6"/>
  <c r="O2426" i="6"/>
  <c r="P2426" i="6"/>
  <c r="O2790" i="6"/>
  <c r="P2790" i="6"/>
  <c r="N2872" i="6"/>
  <c r="N2718" i="6"/>
  <c r="O1896" i="6"/>
  <c r="P1896" i="6"/>
  <c r="N2636" i="6"/>
  <c r="N1919" i="6"/>
  <c r="N1617" i="6"/>
  <c r="N1682" i="6"/>
  <c r="N1412" i="6"/>
  <c r="N1004" i="6"/>
  <c r="N1157" i="6"/>
  <c r="N1056" i="6"/>
  <c r="N431" i="6"/>
  <c r="N450" i="6"/>
  <c r="N741" i="6"/>
  <c r="N983" i="6"/>
  <c r="N815" i="6"/>
  <c r="N790" i="6"/>
  <c r="N1121" i="6"/>
  <c r="N1527" i="6"/>
  <c r="N1980" i="6"/>
  <c r="N2160" i="6"/>
  <c r="N1029" i="6"/>
  <c r="N1712" i="6"/>
  <c r="N2448" i="6"/>
  <c r="N993" i="6"/>
  <c r="P458" i="6"/>
  <c r="O458" i="6"/>
  <c r="P433" i="6"/>
  <c r="O433" i="6"/>
  <c r="P335" i="6"/>
  <c r="O335" i="6"/>
  <c r="P1572" i="6"/>
  <c r="O1572" i="6"/>
  <c r="P2153" i="6"/>
  <c r="O2153" i="6"/>
  <c r="E23" i="1"/>
  <c r="D12" i="3"/>
  <c r="F12" i="3" s="1"/>
  <c r="K114" i="3"/>
  <c r="J114" i="3"/>
  <c r="P1023" i="6"/>
  <c r="O1023" i="6"/>
  <c r="P405" i="6"/>
  <c r="O405" i="6"/>
  <c r="P1771" i="6"/>
  <c r="O1771" i="6"/>
  <c r="O540" i="6"/>
  <c r="P540" i="6"/>
  <c r="O746" i="6"/>
  <c r="P746" i="6"/>
  <c r="O330" i="6"/>
  <c r="P330" i="6"/>
  <c r="O2647" i="6"/>
  <c r="P2647" i="6"/>
  <c r="P929" i="6"/>
  <c r="O929" i="6"/>
  <c r="H72" i="3"/>
  <c r="I72" i="3" s="1"/>
  <c r="D73" i="3" s="1"/>
  <c r="F73" i="3" s="1"/>
  <c r="P1276" i="6"/>
  <c r="O1276" i="6"/>
  <c r="P101" i="6"/>
  <c r="O101" i="6"/>
  <c r="P662" i="6"/>
  <c r="O662" i="6"/>
  <c r="P1753" i="6"/>
  <c r="O1753" i="6"/>
  <c r="O538" i="6"/>
  <c r="P538" i="6"/>
  <c r="P835" i="6"/>
  <c r="O835" i="6"/>
  <c r="P1804" i="6"/>
  <c r="O1804" i="6"/>
  <c r="P2492" i="6"/>
  <c r="O2492" i="6"/>
  <c r="I114" i="3"/>
  <c r="D115" i="3" s="1"/>
  <c r="F115" i="3" s="1"/>
  <c r="P2436" i="6"/>
  <c r="O2436" i="6"/>
  <c r="P475" i="6"/>
  <c r="O475" i="6"/>
  <c r="O1751" i="6"/>
  <c r="P1751" i="6"/>
  <c r="P1471" i="6"/>
  <c r="O1471" i="6"/>
  <c r="P1277" i="6"/>
  <c r="O1277" i="6"/>
  <c r="O612" i="6"/>
  <c r="P612" i="6"/>
  <c r="L44" i="3"/>
  <c r="N44" i="3"/>
  <c r="N2795" i="6" s="1"/>
  <c r="O1118" i="6"/>
  <c r="P1118" i="6"/>
  <c r="P325" i="6"/>
  <c r="O325" i="6"/>
  <c r="O2032" i="6"/>
  <c r="P2032" i="6"/>
  <c r="P567" i="6"/>
  <c r="O567" i="6"/>
  <c r="O998" i="6"/>
  <c r="P998" i="6"/>
  <c r="P1812" i="6"/>
  <c r="O1812" i="6"/>
  <c r="O2570" i="6"/>
  <c r="P2570" i="6"/>
  <c r="N100" i="3"/>
  <c r="N67" i="6" s="1"/>
  <c r="L100" i="3"/>
  <c r="N2663" i="6"/>
  <c r="N2425" i="6"/>
  <c r="N2582" i="6"/>
  <c r="N2312" i="6"/>
  <c r="N2320" i="6"/>
  <c r="N2015" i="6"/>
  <c r="N1866" i="6"/>
  <c r="N1907" i="6"/>
  <c r="N1836" i="6"/>
  <c r="N1566" i="6"/>
  <c r="N1421" i="6"/>
  <c r="N1610" i="6"/>
  <c r="N1109" i="6"/>
  <c r="N1348" i="6"/>
  <c r="N792" i="6"/>
  <c r="N969" i="6"/>
  <c r="N876" i="6"/>
  <c r="N736" i="6"/>
  <c r="N386" i="6"/>
  <c r="N342" i="6"/>
  <c r="N627" i="6"/>
  <c r="N145" i="6"/>
  <c r="N75" i="6"/>
  <c r="N817" i="6"/>
  <c r="N355" i="6"/>
  <c r="N513" i="6"/>
  <c r="N337" i="6"/>
  <c r="N614" i="6"/>
  <c r="N1792" i="6"/>
  <c r="N689" i="6"/>
  <c r="N2181" i="6"/>
  <c r="N1865" i="6"/>
  <c r="N856" i="6"/>
  <c r="N526" i="6"/>
  <c r="N86" i="6"/>
  <c r="N782" i="6"/>
  <c r="N733" i="6"/>
  <c r="N1049" i="6"/>
  <c r="N964" i="6"/>
  <c r="N1891" i="6"/>
  <c r="N1309" i="6"/>
  <c r="N1514" i="6"/>
  <c r="N2434" i="6"/>
  <c r="N2407" i="6"/>
  <c r="N309" i="6"/>
  <c r="N1392" i="6"/>
  <c r="N1477" i="6"/>
  <c r="N1573" i="6"/>
  <c r="N695" i="6"/>
  <c r="N2629" i="6"/>
  <c r="N2456" i="6"/>
  <c r="N1619" i="6"/>
  <c r="N1943" i="6"/>
  <c r="N2489" i="6"/>
  <c r="N65" i="6"/>
  <c r="N1954" i="6"/>
  <c r="N2523" i="6"/>
  <c r="N1030" i="6"/>
  <c r="N1902" i="6"/>
  <c r="K29" i="3"/>
  <c r="J29" i="3"/>
  <c r="P2520" i="6"/>
  <c r="O2520" i="6"/>
  <c r="O501" i="6"/>
  <c r="P501" i="6"/>
  <c r="P2094" i="6"/>
  <c r="O2094" i="6"/>
  <c r="P2215" i="6"/>
  <c r="O2215" i="6"/>
  <c r="P118" i="6"/>
  <c r="O118" i="6"/>
  <c r="P1327" i="6"/>
  <c r="O1327" i="6"/>
  <c r="P2849" i="6"/>
  <c r="O2849" i="6"/>
  <c r="H85" i="3"/>
  <c r="P1224" i="6"/>
  <c r="O1224" i="6"/>
  <c r="O949" i="6"/>
  <c r="P949" i="6"/>
  <c r="O1146" i="6"/>
  <c r="P1146" i="6"/>
  <c r="O1708" i="6"/>
  <c r="P1708" i="6"/>
  <c r="P2658" i="6"/>
  <c r="O2658" i="6"/>
  <c r="I29" i="3"/>
  <c r="D30" i="3" s="1"/>
  <c r="F30" i="3" s="1"/>
  <c r="O1549" i="6"/>
  <c r="P1549" i="6"/>
  <c r="P432" i="6"/>
  <c r="O432" i="6"/>
  <c r="O2111" i="6"/>
  <c r="P2111" i="6"/>
  <c r="P2494" i="6"/>
  <c r="O2494" i="6"/>
  <c r="O2405" i="6"/>
  <c r="P2405" i="6"/>
  <c r="P277" i="6"/>
  <c r="O277" i="6"/>
  <c r="P1093" i="6"/>
  <c r="O1093" i="6"/>
  <c r="O2680" i="6"/>
  <c r="P2680" i="6"/>
  <c r="K84" i="3"/>
  <c r="J84" i="3"/>
  <c r="P542" i="6"/>
  <c r="O542" i="6"/>
  <c r="O358" i="6"/>
  <c r="P358" i="6"/>
  <c r="N113" i="3"/>
  <c r="L113" i="3"/>
  <c r="N2660" i="6"/>
  <c r="N2610" i="6"/>
  <c r="N1895" i="6"/>
  <c r="N1652" i="6"/>
  <c r="N1616" i="6"/>
  <c r="N1720" i="6"/>
  <c r="N1233" i="6"/>
  <c r="N1148" i="6"/>
  <c r="N903" i="6"/>
  <c r="N914" i="6"/>
  <c r="N1100" i="6"/>
  <c r="N1031" i="6"/>
  <c r="N566" i="6"/>
  <c r="N343" i="6"/>
  <c r="N354" i="6"/>
  <c r="N730" i="6"/>
  <c r="N131" i="6"/>
  <c r="N228" i="6"/>
  <c r="N294" i="6"/>
  <c r="N220" i="6"/>
  <c r="N266" i="6"/>
  <c r="N1000" i="6"/>
  <c r="N1830" i="6"/>
  <c r="N280" i="6"/>
  <c r="N1203" i="6"/>
  <c r="N527" i="6"/>
  <c r="N734" i="6"/>
  <c r="N236" i="6"/>
  <c r="N985" i="6"/>
  <c r="N231" i="6"/>
  <c r="N619" i="6"/>
  <c r="N594" i="6"/>
  <c r="N702" i="6"/>
  <c r="N976" i="6"/>
  <c r="N1484" i="6"/>
  <c r="N1790" i="6"/>
  <c r="N128" i="6"/>
  <c r="N1597" i="6"/>
  <c r="N857" i="6"/>
  <c r="N1355" i="6"/>
  <c r="N713" i="6"/>
  <c r="N908" i="6"/>
  <c r="N853" i="6"/>
  <c r="N410" i="6"/>
  <c r="N1590" i="6"/>
  <c r="N2332" i="6"/>
  <c r="N2150" i="6"/>
  <c r="N1623" i="6"/>
  <c r="N1563" i="6"/>
  <c r="H127" i="3"/>
  <c r="J127" i="3" s="1"/>
  <c r="P1333" i="6"/>
  <c r="O1333" i="6"/>
  <c r="P1499" i="6"/>
  <c r="O1499" i="6"/>
  <c r="H144" i="3"/>
  <c r="I144" i="3" s="1"/>
  <c r="D145" i="3" s="1"/>
  <c r="F145" i="3" s="1"/>
  <c r="P1087" i="6"/>
  <c r="O1087" i="6"/>
  <c r="P379" i="6"/>
  <c r="O379" i="6"/>
  <c r="P1098" i="6"/>
  <c r="O1098" i="6"/>
  <c r="O1981" i="6"/>
  <c r="P1981" i="6"/>
  <c r="H155" i="3"/>
  <c r="I155" i="3" s="1"/>
  <c r="D156" i="3" s="1"/>
  <c r="F156" i="3" s="1"/>
  <c r="O2292" i="6"/>
  <c r="P2292" i="6"/>
  <c r="P947" i="6"/>
  <c r="O947" i="6"/>
  <c r="O2424" i="6"/>
  <c r="P2424" i="6"/>
  <c r="P2081" i="6"/>
  <c r="O2081" i="6"/>
  <c r="P1189" i="6"/>
  <c r="O1189" i="6"/>
  <c r="P136" i="6"/>
  <c r="O136" i="6"/>
  <c r="P996" i="6"/>
  <c r="O996" i="6"/>
  <c r="O2787" i="6"/>
  <c r="P2787" i="6"/>
  <c r="P608" i="6"/>
  <c r="O608" i="6"/>
  <c r="J143" i="3"/>
  <c r="K143" i="3"/>
  <c r="N2705" i="6"/>
  <c r="N2864" i="6"/>
  <c r="O1669" i="6"/>
  <c r="P1669" i="6"/>
  <c r="P2018" i="6"/>
  <c r="O2018" i="6"/>
  <c r="O391" i="6"/>
  <c r="P391" i="6"/>
  <c r="P531" i="6"/>
  <c r="O531" i="6"/>
  <c r="O366" i="6"/>
  <c r="P366" i="6"/>
  <c r="O2171" i="6"/>
  <c r="P2171" i="6"/>
  <c r="K71" i="3"/>
  <c r="J71" i="3"/>
  <c r="P2257" i="6"/>
  <c r="O2257" i="6"/>
  <c r="P1455" i="6"/>
  <c r="O1455" i="6"/>
  <c r="P2529" i="6"/>
  <c r="O2529" i="6"/>
  <c r="P2090" i="6"/>
  <c r="O2090" i="6"/>
  <c r="P1173" i="6"/>
  <c r="O1173" i="6"/>
  <c r="P395" i="6"/>
  <c r="O395" i="6"/>
  <c r="P1288" i="6"/>
  <c r="O1288" i="6"/>
  <c r="O2803" i="6"/>
  <c r="P2803" i="6"/>
  <c r="I101" i="3"/>
  <c r="D102" i="3" s="1"/>
  <c r="F102" i="3" s="1"/>
  <c r="I127" i="3" l="1"/>
  <c r="D128" i="3" s="1"/>
  <c r="F128" i="3" s="1"/>
  <c r="H128" i="3" s="1"/>
  <c r="I128" i="3" s="1"/>
  <c r="D129" i="3" s="1"/>
  <c r="F129" i="3" s="1"/>
  <c r="H73" i="3"/>
  <c r="H46" i="3"/>
  <c r="O713" i="6"/>
  <c r="P713" i="6"/>
  <c r="O2523" i="6"/>
  <c r="P2523" i="6"/>
  <c r="P309" i="6"/>
  <c r="O309" i="6"/>
  <c r="O856" i="6"/>
  <c r="P856" i="6"/>
  <c r="P627" i="6"/>
  <c r="O627" i="6"/>
  <c r="O1836" i="6"/>
  <c r="P1836" i="6"/>
  <c r="O1527" i="6"/>
  <c r="P1527" i="6"/>
  <c r="P1682" i="6"/>
  <c r="O1682" i="6"/>
  <c r="H58" i="3"/>
  <c r="I58" i="3" s="1"/>
  <c r="D59" i="3" s="1"/>
  <c r="F59" i="3" s="1"/>
  <c r="P2674" i="6"/>
  <c r="O2674" i="6"/>
  <c r="O131" i="6"/>
  <c r="P131" i="6"/>
  <c r="P2705" i="6"/>
  <c r="O2705" i="6"/>
  <c r="P1355" i="6"/>
  <c r="O1355" i="6"/>
  <c r="P236" i="6"/>
  <c r="O236" i="6"/>
  <c r="O730" i="6"/>
  <c r="P730" i="6"/>
  <c r="O1652" i="6"/>
  <c r="P1652" i="6"/>
  <c r="P1954" i="6"/>
  <c r="O1954" i="6"/>
  <c r="P2407" i="6"/>
  <c r="O2407" i="6"/>
  <c r="P1865" i="6"/>
  <c r="O1865" i="6"/>
  <c r="O342" i="6"/>
  <c r="P342" i="6"/>
  <c r="P1907" i="6"/>
  <c r="O1907" i="6"/>
  <c r="O2795" i="6"/>
  <c r="P2795" i="6"/>
  <c r="P1121" i="6"/>
  <c r="O1121" i="6"/>
  <c r="O1617" i="6"/>
  <c r="P1617" i="6"/>
  <c r="O2762" i="6"/>
  <c r="P2762" i="6"/>
  <c r="P2791" i="6"/>
  <c r="O2791" i="6"/>
  <c r="N2571" i="6"/>
  <c r="N2473" i="6"/>
  <c r="N2232" i="6"/>
  <c r="N2274" i="6"/>
  <c r="N2225" i="6"/>
  <c r="N2236" i="6"/>
  <c r="N2063" i="6"/>
  <c r="N1967" i="6"/>
  <c r="N2211" i="6"/>
  <c r="N2169" i="6"/>
  <c r="N1540" i="6"/>
  <c r="N1767" i="6"/>
  <c r="N1269" i="6"/>
  <c r="N1668" i="6"/>
  <c r="N1908" i="6"/>
  <c r="N1165" i="6"/>
  <c r="N1529" i="6"/>
  <c r="N932" i="6"/>
  <c r="N1390" i="6"/>
  <c r="N756" i="6"/>
  <c r="N588" i="6"/>
  <c r="N1075" i="6"/>
  <c r="N417" i="6"/>
  <c r="N323" i="6"/>
  <c r="N1393" i="6"/>
  <c r="N532" i="6"/>
  <c r="N251" i="6"/>
  <c r="N28" i="6"/>
  <c r="N541" i="6"/>
  <c r="N401" i="6"/>
  <c r="N303" i="6"/>
  <c r="N725" i="6"/>
  <c r="N2440" i="6"/>
  <c r="N457" i="6"/>
  <c r="N536" i="6"/>
  <c r="N385" i="6"/>
  <c r="N1548" i="6"/>
  <c r="N1410" i="6"/>
  <c r="N2173" i="6"/>
  <c r="N1478" i="6"/>
  <c r="N1660" i="6"/>
  <c r="N1223" i="6"/>
  <c r="N1054" i="6"/>
  <c r="N447" i="6"/>
  <c r="N776" i="6"/>
  <c r="N1096" i="6"/>
  <c r="N1208" i="6"/>
  <c r="N897" i="6"/>
  <c r="N2194" i="6"/>
  <c r="N1930" i="6"/>
  <c r="N2435" i="6"/>
  <c r="N1102" i="6"/>
  <c r="P65" i="6"/>
  <c r="O65" i="6"/>
  <c r="P386" i="6"/>
  <c r="O386" i="6"/>
  <c r="P1866" i="6"/>
  <c r="O1866" i="6"/>
  <c r="O790" i="6"/>
  <c r="P790" i="6"/>
  <c r="O1919" i="6"/>
  <c r="P1919" i="6"/>
  <c r="O2800" i="6"/>
  <c r="P2800" i="6"/>
  <c r="N2469" i="6"/>
  <c r="N2472" i="6"/>
  <c r="N2501" i="6"/>
  <c r="N2201" i="6"/>
  <c r="N2275" i="6"/>
  <c r="N1946" i="6"/>
  <c r="N2045" i="6"/>
  <c r="N1683" i="6"/>
  <c r="N1546" i="6"/>
  <c r="N1915" i="6"/>
  <c r="N1513" i="6"/>
  <c r="N1721" i="6"/>
  <c r="N1579" i="6"/>
  <c r="N1175" i="6"/>
  <c r="N1167" i="6"/>
  <c r="N1074" i="6"/>
  <c r="N1666" i="6"/>
  <c r="N1450" i="6"/>
  <c r="N1104" i="6"/>
  <c r="N324" i="6"/>
  <c r="N477" i="6"/>
  <c r="N732" i="6"/>
  <c r="N635" i="6"/>
  <c r="N1294" i="6"/>
  <c r="N613" i="6"/>
  <c r="N552" i="6"/>
  <c r="N223" i="6"/>
  <c r="N78" i="6"/>
  <c r="N184" i="6"/>
  <c r="N84" i="6"/>
  <c r="N26" i="6"/>
  <c r="N653" i="6"/>
  <c r="N332" i="6"/>
  <c r="N808" i="6"/>
  <c r="N2481" i="6"/>
  <c r="N109" i="6"/>
  <c r="N557" i="6"/>
  <c r="N1446" i="6"/>
  <c r="N490" i="6"/>
  <c r="N233" i="6"/>
  <c r="N24" i="6"/>
  <c r="N596" i="6"/>
  <c r="N2209" i="6"/>
  <c r="N586" i="6"/>
  <c r="N1399" i="6"/>
  <c r="N484" i="6"/>
  <c r="N1343" i="6"/>
  <c r="N2507" i="6"/>
  <c r="N1596" i="6"/>
  <c r="N2076" i="6"/>
  <c r="N1313" i="6"/>
  <c r="N2213" i="6"/>
  <c r="N2521" i="6"/>
  <c r="P1895" i="6"/>
  <c r="O1895" i="6"/>
  <c r="P2489" i="6"/>
  <c r="O2489" i="6"/>
  <c r="P2015" i="6"/>
  <c r="O2015" i="6"/>
  <c r="H115" i="3"/>
  <c r="I115" i="3" s="1"/>
  <c r="D116" i="3" s="1"/>
  <c r="F116" i="3" s="1"/>
  <c r="N114" i="3"/>
  <c r="N2792" i="6" s="1"/>
  <c r="L114" i="3"/>
  <c r="P1563" i="6"/>
  <c r="O1563" i="6"/>
  <c r="P128" i="6"/>
  <c r="O128" i="6"/>
  <c r="O1203" i="6"/>
  <c r="P1203" i="6"/>
  <c r="P566" i="6"/>
  <c r="O566" i="6"/>
  <c r="P2660" i="6"/>
  <c r="O2660" i="6"/>
  <c r="K85" i="3"/>
  <c r="J85" i="3"/>
  <c r="P1943" i="6"/>
  <c r="O1943" i="6"/>
  <c r="O1309" i="6"/>
  <c r="P1309" i="6"/>
  <c r="P1792" i="6"/>
  <c r="F22" i="5" s="1"/>
  <c r="G22" i="5" s="1"/>
  <c r="O1792" i="6"/>
  <c r="E22" i="5" s="1"/>
  <c r="O876" i="6"/>
  <c r="P876" i="6"/>
  <c r="P2320" i="6"/>
  <c r="O2320" i="6"/>
  <c r="P983" i="6"/>
  <c r="O983" i="6"/>
  <c r="O2687" i="6"/>
  <c r="P2687" i="6"/>
  <c r="K171" i="3"/>
  <c r="J171" i="3"/>
  <c r="O354" i="6"/>
  <c r="P354" i="6"/>
  <c r="O527" i="6"/>
  <c r="P527" i="6"/>
  <c r="P689" i="6"/>
  <c r="O689" i="6"/>
  <c r="P815" i="6"/>
  <c r="O815" i="6"/>
  <c r="O280" i="6"/>
  <c r="P280" i="6"/>
  <c r="P1031" i="6"/>
  <c r="O1031" i="6"/>
  <c r="H30" i="3"/>
  <c r="I30" i="3" s="1"/>
  <c r="D31" i="3" s="1"/>
  <c r="F31" i="3" s="1"/>
  <c r="I85" i="3"/>
  <c r="D86" i="3" s="1"/>
  <c r="F86" i="3" s="1"/>
  <c r="O1619" i="6"/>
  <c r="P1619" i="6"/>
  <c r="P1891" i="6"/>
  <c r="O1891" i="6"/>
  <c r="O614" i="6"/>
  <c r="P614" i="6"/>
  <c r="P969" i="6"/>
  <c r="O969" i="6"/>
  <c r="P2312" i="6"/>
  <c r="O2312" i="6"/>
  <c r="P741" i="6"/>
  <c r="O741" i="6"/>
  <c r="O2675" i="6"/>
  <c r="P2675" i="6"/>
  <c r="I171" i="3"/>
  <c r="D172" i="3" s="1"/>
  <c r="F172" i="3" s="1"/>
  <c r="K45" i="3"/>
  <c r="J45" i="3"/>
  <c r="P1790" i="6"/>
  <c r="O1790" i="6"/>
  <c r="P2150" i="6"/>
  <c r="O2150" i="6"/>
  <c r="O1484" i="6"/>
  <c r="P1484" i="6"/>
  <c r="O1830" i="6"/>
  <c r="P1830" i="6"/>
  <c r="P1100" i="6"/>
  <c r="O1100" i="6"/>
  <c r="N2750" i="6"/>
  <c r="N2775" i="6"/>
  <c r="P2456" i="6"/>
  <c r="O2456" i="6"/>
  <c r="O964" i="6"/>
  <c r="P964" i="6"/>
  <c r="P337" i="6"/>
  <c r="O337" i="6"/>
  <c r="O792" i="6"/>
  <c r="P792" i="6"/>
  <c r="O2582" i="6"/>
  <c r="P2582" i="6"/>
  <c r="H12" i="3"/>
  <c r="I12" i="3" s="1"/>
  <c r="P993" i="6"/>
  <c r="O993" i="6"/>
  <c r="O450" i="6"/>
  <c r="P450" i="6"/>
  <c r="P2718" i="6"/>
  <c r="O2718" i="6"/>
  <c r="N11" i="3"/>
  <c r="F23" i="1"/>
  <c r="L11" i="3"/>
  <c r="P108" i="6"/>
  <c r="O108" i="6"/>
  <c r="O857" i="6"/>
  <c r="P857" i="6"/>
  <c r="P2610" i="6"/>
  <c r="O2610" i="6"/>
  <c r="O736" i="6"/>
  <c r="P736" i="6"/>
  <c r="O2771" i="6"/>
  <c r="P2771" i="6"/>
  <c r="N2381" i="6"/>
  <c r="N2186" i="6"/>
  <c r="N1971" i="6"/>
  <c r="N921" i="6"/>
  <c r="N1588" i="6"/>
  <c r="N744" i="6"/>
  <c r="N879" i="6"/>
  <c r="N2468" i="6"/>
  <c r="N1434" i="6"/>
  <c r="N2559" i="6"/>
  <c r="N2666" i="6"/>
  <c r="P1623" i="6"/>
  <c r="O1623" i="6"/>
  <c r="P976" i="6"/>
  <c r="O976" i="6"/>
  <c r="P914" i="6"/>
  <c r="O914" i="6"/>
  <c r="P1049" i="6"/>
  <c r="O1049" i="6"/>
  <c r="O513" i="6"/>
  <c r="P513" i="6"/>
  <c r="P1348" i="6"/>
  <c r="O1348" i="6"/>
  <c r="P2425" i="6"/>
  <c r="O2425" i="6"/>
  <c r="O2448" i="6"/>
  <c r="P2448" i="6"/>
  <c r="P431" i="6"/>
  <c r="O431" i="6"/>
  <c r="O2872" i="6"/>
  <c r="P2872" i="6"/>
  <c r="P734" i="6"/>
  <c r="O734" i="6"/>
  <c r="O1597" i="6"/>
  <c r="P1597" i="6"/>
  <c r="P1514" i="6"/>
  <c r="O1514" i="6"/>
  <c r="P2636" i="6"/>
  <c r="O2636" i="6"/>
  <c r="L170" i="3"/>
  <c r="N170" i="3"/>
  <c r="H102" i="3"/>
  <c r="I102" i="3" s="1"/>
  <c r="D103" i="3" s="1"/>
  <c r="F103" i="3" s="1"/>
  <c r="P2332" i="6"/>
  <c r="O2332" i="6"/>
  <c r="O1000" i="6"/>
  <c r="P1000" i="6"/>
  <c r="O2629" i="6"/>
  <c r="P2629" i="6"/>
  <c r="J144" i="3"/>
  <c r="K144" i="3"/>
  <c r="P1590" i="6"/>
  <c r="O1590" i="6"/>
  <c r="P702" i="6"/>
  <c r="O702" i="6"/>
  <c r="P266" i="6"/>
  <c r="O266" i="6"/>
  <c r="P903" i="6"/>
  <c r="O903" i="6"/>
  <c r="N29" i="3"/>
  <c r="L29" i="3"/>
  <c r="O695" i="6"/>
  <c r="P695" i="6"/>
  <c r="P733" i="6"/>
  <c r="O733" i="6"/>
  <c r="P355" i="6"/>
  <c r="O355" i="6"/>
  <c r="P1109" i="6"/>
  <c r="O1109" i="6"/>
  <c r="O2663" i="6"/>
  <c r="P2663" i="6"/>
  <c r="O1712" i="6"/>
  <c r="P1712" i="6"/>
  <c r="O1056" i="6"/>
  <c r="P1056" i="6"/>
  <c r="P2709" i="6"/>
  <c r="O2709" i="6"/>
  <c r="O60" i="6"/>
  <c r="P60" i="6"/>
  <c r="N2235" i="6"/>
  <c r="N2085" i="6"/>
  <c r="N2159" i="6"/>
  <c r="N1989" i="6"/>
  <c r="N1853" i="6"/>
  <c r="N1624" i="6"/>
  <c r="N2061" i="6"/>
  <c r="N1195" i="6"/>
  <c r="N1080" i="6"/>
  <c r="N936" i="6"/>
  <c r="N623" i="6"/>
  <c r="N571" i="6"/>
  <c r="N429" i="6"/>
  <c r="N833" i="6"/>
  <c r="N1084" i="6"/>
  <c r="N1001" i="6"/>
  <c r="N1953" i="6"/>
  <c r="N838" i="6"/>
  <c r="N867" i="6"/>
  <c r="N2461" i="6"/>
  <c r="N1931" i="6"/>
  <c r="N2302" i="6"/>
  <c r="N2447" i="6"/>
  <c r="N1985" i="6"/>
  <c r="N2661" i="6"/>
  <c r="N1055" i="6"/>
  <c r="O985" i="6"/>
  <c r="P985" i="6"/>
  <c r="O2434" i="6"/>
  <c r="P2434" i="6"/>
  <c r="O594" i="6"/>
  <c r="P594" i="6"/>
  <c r="P220" i="6"/>
  <c r="O220" i="6"/>
  <c r="P1148" i="6"/>
  <c r="O1148" i="6"/>
  <c r="P1573" i="6"/>
  <c r="O1573" i="6"/>
  <c r="P782" i="6"/>
  <c r="O782" i="6"/>
  <c r="P817" i="6"/>
  <c r="O817" i="6"/>
  <c r="P1610" i="6"/>
  <c r="O1610" i="6"/>
  <c r="P1029" i="6"/>
  <c r="O1029" i="6"/>
  <c r="O1157" i="6"/>
  <c r="P1157" i="6"/>
  <c r="P2732" i="6"/>
  <c r="O2732" i="6"/>
  <c r="P49" i="6"/>
  <c r="O49" i="6"/>
  <c r="P2864" i="6"/>
  <c r="O2864" i="6"/>
  <c r="P343" i="6"/>
  <c r="O343" i="6"/>
  <c r="H145" i="3"/>
  <c r="I145" i="3" s="1"/>
  <c r="G15" i="4" s="1"/>
  <c r="H15" i="4" s="1"/>
  <c r="L71" i="3"/>
  <c r="N71" i="3"/>
  <c r="N2760" i="6" s="1"/>
  <c r="P619" i="6"/>
  <c r="O619" i="6"/>
  <c r="O1233" i="6"/>
  <c r="P1233" i="6"/>
  <c r="O1902" i="6"/>
  <c r="P1902" i="6"/>
  <c r="P1477" i="6"/>
  <c r="O1477" i="6"/>
  <c r="P86" i="6"/>
  <c r="O86" i="6"/>
  <c r="O75" i="6"/>
  <c r="P75" i="6"/>
  <c r="O1421" i="6"/>
  <c r="P1421" i="6"/>
  <c r="P67" i="6"/>
  <c r="O67" i="6"/>
  <c r="J72" i="3"/>
  <c r="K72" i="3"/>
  <c r="O2160" i="6"/>
  <c r="P2160" i="6"/>
  <c r="P1004" i="6"/>
  <c r="O1004" i="6"/>
  <c r="P2873" i="6"/>
  <c r="O2873" i="6"/>
  <c r="N2866" i="6"/>
  <c r="N2691" i="6"/>
  <c r="N2817" i="6"/>
  <c r="O1616" i="6"/>
  <c r="P1616" i="6"/>
  <c r="O2181" i="6"/>
  <c r="P2181" i="6"/>
  <c r="L143" i="3"/>
  <c r="N143" i="3"/>
  <c r="P410" i="6"/>
  <c r="O410" i="6"/>
  <c r="H156" i="3"/>
  <c r="I156" i="3" s="1"/>
  <c r="D157" i="3" s="1"/>
  <c r="F157" i="3" s="1"/>
  <c r="O853" i="6"/>
  <c r="P853" i="6"/>
  <c r="O294" i="6"/>
  <c r="P294" i="6"/>
  <c r="J155" i="3"/>
  <c r="K155" i="3"/>
  <c r="P908" i="6"/>
  <c r="O908" i="6"/>
  <c r="P231" i="6"/>
  <c r="O231" i="6"/>
  <c r="P228" i="6"/>
  <c r="O228" i="6"/>
  <c r="P1720" i="6"/>
  <c r="O1720" i="6"/>
  <c r="L84" i="3"/>
  <c r="N84" i="3"/>
  <c r="N82" i="6" s="1"/>
  <c r="P1030" i="6"/>
  <c r="O1030" i="6"/>
  <c r="O1392" i="6"/>
  <c r="P1392" i="6"/>
  <c r="P526" i="6"/>
  <c r="O526" i="6"/>
  <c r="P145" i="6"/>
  <c r="O145" i="6"/>
  <c r="O1566" i="6"/>
  <c r="P1566" i="6"/>
  <c r="O1980" i="6"/>
  <c r="P1980" i="6"/>
  <c r="O1412" i="6"/>
  <c r="P1412" i="6"/>
  <c r="O2836" i="6"/>
  <c r="P2836" i="6"/>
  <c r="N57" i="3"/>
  <c r="L57" i="3"/>
  <c r="H31" i="3" l="1"/>
  <c r="I31" i="3" s="1"/>
  <c r="D32" i="3" s="1"/>
  <c r="F32" i="3" s="1"/>
  <c r="O2186" i="6"/>
  <c r="P2186" i="6"/>
  <c r="H116" i="3"/>
  <c r="P2507" i="6"/>
  <c r="O2507" i="6"/>
  <c r="P109" i="6"/>
  <c r="O109" i="6"/>
  <c r="P1294" i="6"/>
  <c r="O1294" i="6"/>
  <c r="P1721" i="6"/>
  <c r="O1721" i="6"/>
  <c r="P1102" i="6"/>
  <c r="O1102" i="6"/>
  <c r="O1478" i="6"/>
  <c r="P1478" i="6"/>
  <c r="O28" i="6"/>
  <c r="P28" i="6"/>
  <c r="P1165" i="6"/>
  <c r="O1165" i="6"/>
  <c r="P2274" i="6"/>
  <c r="O2274" i="6"/>
  <c r="P2381" i="6"/>
  <c r="O2381" i="6"/>
  <c r="O1343" i="6"/>
  <c r="P1343" i="6"/>
  <c r="P2481" i="6"/>
  <c r="O2481" i="6"/>
  <c r="O635" i="6"/>
  <c r="P635" i="6"/>
  <c r="O1513" i="6"/>
  <c r="P1513" i="6"/>
  <c r="P2435" i="6"/>
  <c r="O2435" i="6"/>
  <c r="P2173" i="6"/>
  <c r="O2173" i="6"/>
  <c r="P251" i="6"/>
  <c r="O251" i="6"/>
  <c r="O1908" i="6"/>
  <c r="P1908" i="6"/>
  <c r="O2232" i="6"/>
  <c r="P2232" i="6"/>
  <c r="O867" i="6"/>
  <c r="P867" i="6"/>
  <c r="L144" i="3"/>
  <c r="N144" i="3"/>
  <c r="H129" i="3"/>
  <c r="J129" i="3" s="1"/>
  <c r="O838" i="6"/>
  <c r="P838" i="6"/>
  <c r="O1624" i="6"/>
  <c r="P1624" i="6"/>
  <c r="P2817" i="6"/>
  <c r="O2817" i="6"/>
  <c r="J128" i="3"/>
  <c r="K128" i="3"/>
  <c r="O1953" i="6"/>
  <c r="P1953" i="6"/>
  <c r="P1853" i="6"/>
  <c r="O1853" i="6"/>
  <c r="N2596" i="6"/>
  <c r="N2502" i="6"/>
  <c r="N2437" i="6"/>
  <c r="N2258" i="6"/>
  <c r="N2216" i="6"/>
  <c r="N2095" i="6"/>
  <c r="N1533" i="6"/>
  <c r="N2298" i="6"/>
  <c r="N1430" i="6"/>
  <c r="N1625" i="6"/>
  <c r="N1162" i="6"/>
  <c r="N967" i="6"/>
  <c r="N2365" i="6"/>
  <c r="N1238" i="6"/>
  <c r="N469" i="6"/>
  <c r="N430" i="6"/>
  <c r="N1633" i="6"/>
  <c r="N1932" i="6"/>
  <c r="N1650" i="6"/>
  <c r="N1986" i="6"/>
  <c r="N2055" i="6"/>
  <c r="N1255" i="6"/>
  <c r="N1877" i="6"/>
  <c r="N2419" i="6"/>
  <c r="N2212" i="6"/>
  <c r="N2314" i="6"/>
  <c r="N2516" i="6"/>
  <c r="N2324" i="6"/>
  <c r="N2493" i="6"/>
  <c r="N2465" i="6"/>
  <c r="N2322" i="6"/>
  <c r="N2283" i="6"/>
  <c r="N2363" i="6"/>
  <c r="N2399" i="6"/>
  <c r="N2184" i="6"/>
  <c r="N2168" i="6"/>
  <c r="N1843" i="6"/>
  <c r="N1095" i="6"/>
  <c r="N1340" i="6"/>
  <c r="N1285" i="6"/>
  <c r="N752" i="6"/>
  <c r="N832" i="6"/>
  <c r="N230" i="6"/>
  <c r="N419" i="6"/>
  <c r="N984" i="6"/>
  <c r="N785" i="6"/>
  <c r="N235" i="6"/>
  <c r="N216" i="6"/>
  <c r="N371" i="6"/>
  <c r="N913" i="6"/>
  <c r="N422" i="6"/>
  <c r="N1802" i="6"/>
  <c r="N488" i="6"/>
  <c r="N367" i="6"/>
  <c r="N643" i="6"/>
  <c r="N788" i="6"/>
  <c r="N995" i="6"/>
  <c r="N2133" i="6"/>
  <c r="N2035" i="6"/>
  <c r="N1140" i="6"/>
  <c r="N1923" i="6"/>
  <c r="N1366" i="6"/>
  <c r="N1849" i="6"/>
  <c r="N1403" i="6"/>
  <c r="N1714" i="6"/>
  <c r="N2508" i="6"/>
  <c r="N2366" i="6"/>
  <c r="N2479" i="6"/>
  <c r="N1951" i="6"/>
  <c r="N2504" i="6"/>
  <c r="N1256" i="6"/>
  <c r="N2305" i="6"/>
  <c r="H86" i="3"/>
  <c r="J86" i="3" s="1"/>
  <c r="P484" i="6"/>
  <c r="O484" i="6"/>
  <c r="P808" i="6"/>
  <c r="O808" i="6"/>
  <c r="P732" i="6"/>
  <c r="O732" i="6"/>
  <c r="O1915" i="6"/>
  <c r="P1915" i="6"/>
  <c r="O1930" i="6"/>
  <c r="P1930" i="6"/>
  <c r="O1410" i="6"/>
  <c r="P1410" i="6"/>
  <c r="O532" i="6"/>
  <c r="P532" i="6"/>
  <c r="P1668" i="6"/>
  <c r="O1668" i="6"/>
  <c r="P2473" i="6"/>
  <c r="O2473" i="6"/>
  <c r="K58" i="3"/>
  <c r="J58" i="3"/>
  <c r="P477" i="6"/>
  <c r="O477" i="6"/>
  <c r="O1269" i="6"/>
  <c r="P1269" i="6"/>
  <c r="K156" i="3"/>
  <c r="J156" i="3"/>
  <c r="P2866" i="6"/>
  <c r="O2866" i="6"/>
  <c r="O1084" i="6"/>
  <c r="P1084" i="6"/>
  <c r="P2159" i="6"/>
  <c r="O2159" i="6"/>
  <c r="P2559" i="6"/>
  <c r="O2559" i="6"/>
  <c r="P586" i="6"/>
  <c r="O586" i="6"/>
  <c r="P653" i="6"/>
  <c r="O653" i="6"/>
  <c r="P324" i="6"/>
  <c r="O324" i="6"/>
  <c r="O1683" i="6"/>
  <c r="P1683" i="6"/>
  <c r="P897" i="6"/>
  <c r="O897" i="6"/>
  <c r="P385" i="6"/>
  <c r="O385" i="6"/>
  <c r="P323" i="6"/>
  <c r="O323" i="6"/>
  <c r="O1767" i="6"/>
  <c r="P1767" i="6"/>
  <c r="O2691" i="6"/>
  <c r="P2691" i="6"/>
  <c r="P2194" i="6"/>
  <c r="O2194" i="6"/>
  <c r="O2760" i="6"/>
  <c r="P2760" i="6"/>
  <c r="O833" i="6"/>
  <c r="P833" i="6"/>
  <c r="P2085" i="6"/>
  <c r="O2085" i="6"/>
  <c r="O1434" i="6"/>
  <c r="P1434" i="6"/>
  <c r="N171" i="3"/>
  <c r="L171" i="3"/>
  <c r="O2209" i="6"/>
  <c r="P2209" i="6"/>
  <c r="O26" i="6"/>
  <c r="P26" i="6"/>
  <c r="O1104" i="6"/>
  <c r="P1104" i="6"/>
  <c r="P2045" i="6"/>
  <c r="O2045" i="6"/>
  <c r="P1208" i="6"/>
  <c r="O1208" i="6"/>
  <c r="P536" i="6"/>
  <c r="O536" i="6"/>
  <c r="O417" i="6"/>
  <c r="P417" i="6"/>
  <c r="P1540" i="6"/>
  <c r="O1540" i="6"/>
  <c r="O82" i="6"/>
  <c r="P82" i="6"/>
  <c r="O1001" i="6"/>
  <c r="P1001" i="6"/>
  <c r="O1546" i="6"/>
  <c r="P1546" i="6"/>
  <c r="O2571" i="6"/>
  <c r="P2571" i="6"/>
  <c r="P1055" i="6"/>
  <c r="O1055" i="6"/>
  <c r="P2661" i="6"/>
  <c r="O2661" i="6"/>
  <c r="P429" i="6"/>
  <c r="O429" i="6"/>
  <c r="P2235" i="6"/>
  <c r="O2235" i="6"/>
  <c r="P2468" i="6"/>
  <c r="O2468" i="6"/>
  <c r="O596" i="6"/>
  <c r="P596" i="6"/>
  <c r="P84" i="6"/>
  <c r="O84" i="6"/>
  <c r="O1450" i="6"/>
  <c r="P1450" i="6"/>
  <c r="O1946" i="6"/>
  <c r="P1946" i="6"/>
  <c r="O1096" i="6"/>
  <c r="P1096" i="6"/>
  <c r="P457" i="6"/>
  <c r="O457" i="6"/>
  <c r="P1075" i="6"/>
  <c r="O1075" i="6"/>
  <c r="O2169" i="6"/>
  <c r="P2169" i="6"/>
  <c r="P1989" i="6"/>
  <c r="O1989" i="6"/>
  <c r="J30" i="3"/>
  <c r="K30" i="3"/>
  <c r="P1548" i="6"/>
  <c r="O1548" i="6"/>
  <c r="N2631" i="6"/>
  <c r="N2602" i="6"/>
  <c r="N2662" i="6"/>
  <c r="N2594" i="6"/>
  <c r="N2451" i="6"/>
  <c r="N2132" i="6"/>
  <c r="N2217" i="6"/>
  <c r="N1881" i="6"/>
  <c r="N2272" i="6"/>
  <c r="N1599" i="6"/>
  <c r="N1509" i="6"/>
  <c r="N1551" i="6"/>
  <c r="N1033" i="6"/>
  <c r="N909" i="6"/>
  <c r="N1749" i="6"/>
  <c r="N1181" i="6"/>
  <c r="N708" i="6"/>
  <c r="N754" i="6"/>
  <c r="N246" i="6"/>
  <c r="N799" i="6"/>
  <c r="N549" i="6"/>
  <c r="N201" i="6"/>
  <c r="N487" i="6"/>
  <c r="N918" i="6"/>
  <c r="N444" i="6"/>
  <c r="N245" i="6"/>
  <c r="N76" i="6"/>
  <c r="N146" i="6"/>
  <c r="N39" i="6"/>
  <c r="N413" i="6"/>
  <c r="N192" i="6"/>
  <c r="N1039" i="6"/>
  <c r="N579" i="6"/>
  <c r="N1983" i="6"/>
  <c r="N213" i="6"/>
  <c r="N1063" i="6"/>
  <c r="N1394" i="6"/>
  <c r="N1347" i="6"/>
  <c r="N862" i="6"/>
  <c r="N308" i="6"/>
  <c r="N709" i="6"/>
  <c r="N499" i="6"/>
  <c r="N521" i="6"/>
  <c r="N1743" i="6"/>
  <c r="N1252" i="6"/>
  <c r="N1819" i="6"/>
  <c r="N1654" i="6"/>
  <c r="N272" i="6"/>
  <c r="N1481" i="6"/>
  <c r="N1250" i="6"/>
  <c r="N396" i="6"/>
  <c r="N1011" i="6"/>
  <c r="N2512" i="6"/>
  <c r="N2633" i="6"/>
  <c r="N2406" i="6"/>
  <c r="N2579" i="6"/>
  <c r="K145" i="3"/>
  <c r="J145" i="3"/>
  <c r="O1985" i="6"/>
  <c r="P1985" i="6"/>
  <c r="O571" i="6"/>
  <c r="E19" i="5" s="1"/>
  <c r="P571" i="6"/>
  <c r="F19" i="5" s="1"/>
  <c r="G19" i="5" s="1"/>
  <c r="K102" i="3"/>
  <c r="J102" i="3"/>
  <c r="P879" i="6"/>
  <c r="O879" i="6"/>
  <c r="P2521" i="6"/>
  <c r="O2521" i="6"/>
  <c r="P24" i="6"/>
  <c r="O24" i="6"/>
  <c r="O184" i="6"/>
  <c r="P184" i="6"/>
  <c r="O1666" i="6"/>
  <c r="P1666" i="6"/>
  <c r="P2275" i="6"/>
  <c r="O2275" i="6"/>
  <c r="O776" i="6"/>
  <c r="P776" i="6"/>
  <c r="O2440" i="6"/>
  <c r="P2440" i="6"/>
  <c r="O588" i="6"/>
  <c r="P588" i="6"/>
  <c r="P2211" i="6"/>
  <c r="O2211" i="6"/>
  <c r="N72" i="3"/>
  <c r="L72" i="3"/>
  <c r="P2666" i="6"/>
  <c r="O2666" i="6"/>
  <c r="O332" i="6"/>
  <c r="P332" i="6"/>
  <c r="O1393" i="6"/>
  <c r="P1393" i="6"/>
  <c r="H59" i="3"/>
  <c r="I59" i="3" s="1"/>
  <c r="D60" i="3" s="1"/>
  <c r="F60" i="3" s="1"/>
  <c r="H157" i="3"/>
  <c r="N2763" i="6"/>
  <c r="N2704" i="6"/>
  <c r="N2801" i="6"/>
  <c r="N2726" i="6"/>
  <c r="N2745" i="6"/>
  <c r="N2700" i="6"/>
  <c r="N2682" i="6"/>
  <c r="P2447" i="6"/>
  <c r="O2447" i="6"/>
  <c r="P623" i="6"/>
  <c r="O623" i="6"/>
  <c r="H103" i="3"/>
  <c r="I103" i="3" s="1"/>
  <c r="G12" i="4" s="1"/>
  <c r="H12" i="4" s="1"/>
  <c r="P744" i="6"/>
  <c r="O744" i="6"/>
  <c r="P2213" i="6"/>
  <c r="O2213" i="6"/>
  <c r="P233" i="6"/>
  <c r="O233" i="6"/>
  <c r="O78" i="6"/>
  <c r="P78" i="6"/>
  <c r="O1074" i="6"/>
  <c r="P1074" i="6"/>
  <c r="P2201" i="6"/>
  <c r="O2201" i="6"/>
  <c r="P447" i="6"/>
  <c r="O447" i="6"/>
  <c r="O725" i="6"/>
  <c r="P725" i="6"/>
  <c r="O756" i="6"/>
  <c r="P756" i="6"/>
  <c r="P1967" i="6"/>
  <c r="O1967" i="6"/>
  <c r="K46" i="3"/>
  <c r="J46" i="3"/>
  <c r="P2061" i="6"/>
  <c r="O2061" i="6"/>
  <c r="O1399" i="6"/>
  <c r="P1399" i="6"/>
  <c r="O2302" i="6"/>
  <c r="P2302" i="6"/>
  <c r="O936" i="6"/>
  <c r="P936" i="6"/>
  <c r="N2430" i="6"/>
  <c r="N2163" i="6"/>
  <c r="N2112" i="6"/>
  <c r="N2323" i="6"/>
  <c r="N2047" i="6"/>
  <c r="N1952" i="6"/>
  <c r="N1755" i="6"/>
  <c r="N1722" i="6"/>
  <c r="N1874" i="6"/>
  <c r="N1220" i="6"/>
  <c r="N1454" i="6"/>
  <c r="N1676" i="6"/>
  <c r="N2287" i="6"/>
  <c r="N1374" i="6"/>
  <c r="N890" i="6"/>
  <c r="N1976" i="6"/>
  <c r="N1088" i="6"/>
  <c r="N1576" i="6"/>
  <c r="N828" i="6"/>
  <c r="N801" i="6"/>
  <c r="N474" i="6"/>
  <c r="N582" i="6"/>
  <c r="N374" i="6"/>
  <c r="N514" i="6"/>
  <c r="N262" i="6"/>
  <c r="N12" i="6"/>
  <c r="N495" i="6"/>
  <c r="N218" i="6"/>
  <c r="N805" i="6"/>
  <c r="N151" i="6"/>
  <c r="N177" i="6"/>
  <c r="N765" i="6"/>
  <c r="N22" i="6"/>
  <c r="N1117" i="6"/>
  <c r="N1406" i="6"/>
  <c r="N710" i="6"/>
  <c r="N334" i="6"/>
  <c r="N814" i="6"/>
  <c r="N577" i="6"/>
  <c r="N191" i="6"/>
  <c r="N313" i="6"/>
  <c r="N1295" i="6"/>
  <c r="N1827" i="6"/>
  <c r="N248" i="6"/>
  <c r="N1367" i="6"/>
  <c r="N601" i="6"/>
  <c r="N809" i="6"/>
  <c r="N1501" i="6"/>
  <c r="N873" i="6"/>
  <c r="N2656" i="6"/>
  <c r="N2188" i="6"/>
  <c r="N877" i="6"/>
  <c r="N1536" i="6"/>
  <c r="N991" i="6"/>
  <c r="N668" i="6"/>
  <c r="N1458" i="6"/>
  <c r="P1588" i="6"/>
  <c r="O1588" i="6"/>
  <c r="D13" i="3"/>
  <c r="F13" i="3" s="1"/>
  <c r="E24" i="1"/>
  <c r="O2775" i="6"/>
  <c r="P2775" i="6"/>
  <c r="N45" i="3"/>
  <c r="L45" i="3"/>
  <c r="L85" i="3"/>
  <c r="N85" i="3"/>
  <c r="P1313" i="6"/>
  <c r="O1313" i="6"/>
  <c r="O490" i="6"/>
  <c r="P490" i="6"/>
  <c r="P223" i="6"/>
  <c r="O223" i="6"/>
  <c r="O1167" i="6"/>
  <c r="P1167" i="6"/>
  <c r="O2501" i="6"/>
  <c r="P2501" i="6"/>
  <c r="O1054" i="6"/>
  <c r="P1054" i="6"/>
  <c r="P303" i="6"/>
  <c r="O303" i="6"/>
  <c r="O1390" i="6"/>
  <c r="P1390" i="6"/>
  <c r="O2063" i="6"/>
  <c r="P2063" i="6"/>
  <c r="I46" i="3"/>
  <c r="D47" i="3" s="1"/>
  <c r="F47" i="3" s="1"/>
  <c r="P921" i="6"/>
  <c r="O921" i="6"/>
  <c r="J12" i="3"/>
  <c r="K12" i="3"/>
  <c r="P2792" i="6"/>
  <c r="O2792" i="6"/>
  <c r="O2076" i="6"/>
  <c r="P2076" i="6"/>
  <c r="P1446" i="6"/>
  <c r="O1446" i="6"/>
  <c r="O552" i="6"/>
  <c r="P552" i="6"/>
  <c r="O1175" i="6"/>
  <c r="P1175" i="6"/>
  <c r="P2472" i="6"/>
  <c r="O2472" i="6"/>
  <c r="O1223" i="6"/>
  <c r="P1223" i="6"/>
  <c r="O401" i="6"/>
  <c r="P401" i="6"/>
  <c r="O932" i="6"/>
  <c r="P932" i="6"/>
  <c r="P2236" i="6"/>
  <c r="O2236" i="6"/>
  <c r="K73" i="3"/>
  <c r="J73" i="3"/>
  <c r="O1931" i="6"/>
  <c r="P1931" i="6"/>
  <c r="P1080" i="6"/>
  <c r="O1080" i="6"/>
  <c r="O2750" i="6"/>
  <c r="P2750" i="6"/>
  <c r="L155" i="3"/>
  <c r="N155" i="3"/>
  <c r="P2461" i="6"/>
  <c r="O2461" i="6"/>
  <c r="P1195" i="6"/>
  <c r="O1195" i="6"/>
  <c r="P1971" i="6"/>
  <c r="O1971" i="6"/>
  <c r="H172" i="3"/>
  <c r="K115" i="3"/>
  <c r="J115" i="3"/>
  <c r="O1596" i="6"/>
  <c r="P1596" i="6"/>
  <c r="P557" i="6"/>
  <c r="O557" i="6"/>
  <c r="O613" i="6"/>
  <c r="P613" i="6"/>
  <c r="O1579" i="6"/>
  <c r="P1579" i="6"/>
  <c r="O2469" i="6"/>
  <c r="P2469" i="6"/>
  <c r="P1660" i="6"/>
  <c r="O1660" i="6"/>
  <c r="P541" i="6"/>
  <c r="O541" i="6"/>
  <c r="P1529" i="6"/>
  <c r="O1529" i="6"/>
  <c r="P2225" i="6"/>
  <c r="O2225" i="6"/>
  <c r="I73" i="3"/>
  <c r="D74" i="3" s="1"/>
  <c r="F74" i="3" s="1"/>
  <c r="I129" i="3" l="1"/>
  <c r="D130" i="3" s="1"/>
  <c r="F130" i="3" s="1"/>
  <c r="H130" i="3" s="1"/>
  <c r="I130" i="3" s="1"/>
  <c r="D131" i="3" s="1"/>
  <c r="F131" i="3" s="1"/>
  <c r="O1220" i="6"/>
  <c r="P1220" i="6"/>
  <c r="N2467" i="6"/>
  <c r="N2249" i="6"/>
  <c r="N2127" i="6"/>
  <c r="N2269" i="6"/>
  <c r="N2135" i="6"/>
  <c r="N1664" i="6"/>
  <c r="N2067" i="6"/>
  <c r="N1411" i="6"/>
  <c r="N1292" i="6"/>
  <c r="N875" i="6"/>
  <c r="N1010" i="6"/>
  <c r="N891" i="6"/>
  <c r="N563" i="6"/>
  <c r="N645" i="6"/>
  <c r="N578" i="6"/>
  <c r="N573" i="6"/>
  <c r="N1822" i="6"/>
  <c r="N1132" i="6"/>
  <c r="N1059" i="6"/>
  <c r="N677" i="6"/>
  <c r="N1174" i="6"/>
  <c r="N481" i="6"/>
  <c r="N674" i="6"/>
  <c r="N717" i="6"/>
  <c r="N1925" i="6"/>
  <c r="N1502" i="6"/>
  <c r="N1532" i="6"/>
  <c r="N1612" i="6"/>
  <c r="N772" i="6"/>
  <c r="N2402" i="6"/>
  <c r="N1227" i="6"/>
  <c r="N1358" i="6"/>
  <c r="N2337" i="6"/>
  <c r="N1945" i="6"/>
  <c r="N2418" i="6"/>
  <c r="N2164" i="6"/>
  <c r="P873" i="6"/>
  <c r="O873" i="6"/>
  <c r="O334" i="6"/>
  <c r="P334" i="6"/>
  <c r="O262" i="6"/>
  <c r="P262" i="6"/>
  <c r="P2287" i="6"/>
  <c r="O2287" i="6"/>
  <c r="O2430" i="6"/>
  <c r="P2430" i="6"/>
  <c r="P2579" i="6"/>
  <c r="O2579" i="6"/>
  <c r="O1743" i="6"/>
  <c r="P1743" i="6"/>
  <c r="P1039" i="6"/>
  <c r="O1039" i="6"/>
  <c r="P799" i="6"/>
  <c r="O799" i="6"/>
  <c r="O1881" i="6"/>
  <c r="P1881" i="6"/>
  <c r="L58" i="3"/>
  <c r="N58" i="3"/>
  <c r="P2504" i="6"/>
  <c r="O2504" i="6"/>
  <c r="P2133" i="6"/>
  <c r="O2133" i="6"/>
  <c r="O785" i="6"/>
  <c r="P785" i="6"/>
  <c r="O2399" i="6"/>
  <c r="P2399" i="6"/>
  <c r="P1255" i="6"/>
  <c r="O1255" i="6"/>
  <c r="P1625" i="6"/>
  <c r="O1625" i="6"/>
  <c r="N2715" i="6"/>
  <c r="N2861" i="6"/>
  <c r="N2688" i="6"/>
  <c r="P39" i="6"/>
  <c r="O39" i="6"/>
  <c r="O1501" i="6"/>
  <c r="P1501" i="6"/>
  <c r="O514" i="6"/>
  <c r="P514" i="6"/>
  <c r="P2682" i="6"/>
  <c r="O2682" i="6"/>
  <c r="P2406" i="6"/>
  <c r="O2406" i="6"/>
  <c r="P521" i="6"/>
  <c r="O521" i="6"/>
  <c r="P192" i="6"/>
  <c r="O192" i="6"/>
  <c r="P246" i="6"/>
  <c r="O246" i="6"/>
  <c r="O2217" i="6"/>
  <c r="P2217" i="6"/>
  <c r="O1951" i="6"/>
  <c r="P1951" i="6"/>
  <c r="P995" i="6"/>
  <c r="O995" i="6"/>
  <c r="O984" i="6"/>
  <c r="P984" i="6"/>
  <c r="O2363" i="6"/>
  <c r="P2363" i="6"/>
  <c r="P2055" i="6"/>
  <c r="O2055" i="6"/>
  <c r="O1430" i="6"/>
  <c r="P1430" i="6"/>
  <c r="H13" i="3"/>
  <c r="P710" i="6"/>
  <c r="O710" i="6"/>
  <c r="O1676" i="6"/>
  <c r="P1676" i="6"/>
  <c r="L115" i="3"/>
  <c r="N115" i="3"/>
  <c r="O809" i="6"/>
  <c r="P809" i="6"/>
  <c r="O1406" i="6"/>
  <c r="P1406" i="6"/>
  <c r="O374" i="6"/>
  <c r="P374" i="6"/>
  <c r="P1454" i="6"/>
  <c r="O1454" i="6"/>
  <c r="P2700" i="6"/>
  <c r="O2700" i="6"/>
  <c r="P2633" i="6"/>
  <c r="O2633" i="6"/>
  <c r="P499" i="6"/>
  <c r="O499" i="6"/>
  <c r="O413" i="6"/>
  <c r="P413" i="6"/>
  <c r="P754" i="6"/>
  <c r="O754" i="6"/>
  <c r="O2132" i="6"/>
  <c r="P2132" i="6"/>
  <c r="P2479" i="6"/>
  <c r="O2479" i="6"/>
  <c r="P788" i="6"/>
  <c r="O788" i="6"/>
  <c r="P419" i="6"/>
  <c r="O419" i="6"/>
  <c r="P2283" i="6"/>
  <c r="O2283" i="6"/>
  <c r="P1986" i="6"/>
  <c r="O1986" i="6"/>
  <c r="O2298" i="6"/>
  <c r="P2298" i="6"/>
  <c r="P601" i="6"/>
  <c r="O601" i="6"/>
  <c r="O230" i="6"/>
  <c r="P230" i="6"/>
  <c r="P1367" i="6"/>
  <c r="O1367" i="6"/>
  <c r="O474" i="6"/>
  <c r="P474" i="6"/>
  <c r="O2726" i="6"/>
  <c r="P2726" i="6"/>
  <c r="P1011" i="6"/>
  <c r="O1011" i="6"/>
  <c r="P308" i="6"/>
  <c r="O308" i="6"/>
  <c r="P146" i="6"/>
  <c r="O146" i="6"/>
  <c r="P1181" i="6"/>
  <c r="O1181" i="6"/>
  <c r="O2594" i="6"/>
  <c r="P2594" i="6"/>
  <c r="O2508" i="6"/>
  <c r="P2508" i="6"/>
  <c r="P367" i="6"/>
  <c r="O367" i="6"/>
  <c r="O832" i="6"/>
  <c r="P832" i="6"/>
  <c r="P2465" i="6"/>
  <c r="O2465" i="6"/>
  <c r="O1932" i="6"/>
  <c r="P1932" i="6"/>
  <c r="P2095" i="6"/>
  <c r="O2095" i="6"/>
  <c r="P2512" i="6"/>
  <c r="O2512" i="6"/>
  <c r="P1650" i="6"/>
  <c r="O1650" i="6"/>
  <c r="K172" i="3"/>
  <c r="J172" i="3"/>
  <c r="O22" i="6"/>
  <c r="P22" i="6"/>
  <c r="O1874" i="6"/>
  <c r="P1874" i="6"/>
  <c r="N102" i="3"/>
  <c r="L102" i="3"/>
  <c r="I172" i="3"/>
  <c r="D173" i="3" s="1"/>
  <c r="F173" i="3" s="1"/>
  <c r="O1458" i="6"/>
  <c r="P1458" i="6"/>
  <c r="P248" i="6"/>
  <c r="O248" i="6"/>
  <c r="O765" i="6"/>
  <c r="P765" i="6"/>
  <c r="P801" i="6"/>
  <c r="O801" i="6"/>
  <c r="P1722" i="6"/>
  <c r="O1722" i="6"/>
  <c r="P2801" i="6"/>
  <c r="O2801" i="6"/>
  <c r="O396" i="6"/>
  <c r="P396" i="6"/>
  <c r="O862" i="6"/>
  <c r="P862" i="6"/>
  <c r="O76" i="6"/>
  <c r="P76" i="6"/>
  <c r="O1749" i="6"/>
  <c r="P1749" i="6"/>
  <c r="P2662" i="6"/>
  <c r="O2662" i="6"/>
  <c r="N2012" i="6"/>
  <c r="N2341" i="6"/>
  <c r="N2280" i="6"/>
  <c r="N2265" i="6"/>
  <c r="N2057" i="6"/>
  <c r="N2066" i="6"/>
  <c r="N1715" i="6"/>
  <c r="N1886" i="6"/>
  <c r="N1863" i="6"/>
  <c r="N1605" i="6"/>
  <c r="N1521" i="6"/>
  <c r="N1531" i="6"/>
  <c r="N1433" i="6"/>
  <c r="N1437" i="6"/>
  <c r="N1182" i="6"/>
  <c r="N1257" i="6"/>
  <c r="N1897" i="6"/>
  <c r="N1387" i="6"/>
  <c r="N1275" i="6"/>
  <c r="N660" i="6"/>
  <c r="N1022" i="6"/>
  <c r="N979" i="6"/>
  <c r="N1422" i="6"/>
  <c r="N768" i="6"/>
  <c r="N364" i="6"/>
  <c r="N282" i="6"/>
  <c r="N762" i="6"/>
  <c r="N3" i="6"/>
  <c r="N1040" i="6"/>
  <c r="N486" i="6"/>
  <c r="N4" i="6"/>
  <c r="N412" i="6"/>
  <c r="N215" i="6"/>
  <c r="N628" i="6"/>
  <c r="N1114" i="6"/>
  <c r="N1284" i="6"/>
  <c r="N152" i="6"/>
  <c r="N625" i="6"/>
  <c r="N911" i="6"/>
  <c r="N404" i="6"/>
  <c r="N125" i="6"/>
  <c r="N818" i="6"/>
  <c r="N1020" i="6"/>
  <c r="N2158" i="6"/>
  <c r="N860" i="6"/>
  <c r="N842" i="6"/>
  <c r="N1758" i="6"/>
  <c r="N1141" i="6"/>
  <c r="N95" i="6"/>
  <c r="N1702" i="6"/>
  <c r="N1642" i="6"/>
  <c r="N2490" i="6"/>
  <c r="N1777" i="6"/>
  <c r="N1796" i="6"/>
  <c r="N2583" i="6"/>
  <c r="O1714" i="6"/>
  <c r="P1714" i="6"/>
  <c r="P488" i="6"/>
  <c r="O488" i="6"/>
  <c r="O752" i="6"/>
  <c r="P752" i="6"/>
  <c r="P2493" i="6"/>
  <c r="O2493" i="6"/>
  <c r="O1633" i="6"/>
  <c r="P1633" i="6"/>
  <c r="O2216" i="6"/>
  <c r="P2216" i="6"/>
  <c r="O709" i="6"/>
  <c r="P709" i="6"/>
  <c r="O1533" i="6"/>
  <c r="P1533" i="6"/>
  <c r="N45" i="6"/>
  <c r="N74" i="6"/>
  <c r="N91" i="6"/>
  <c r="P177" i="6"/>
  <c r="O177" i="6"/>
  <c r="O828" i="6"/>
  <c r="P828" i="6"/>
  <c r="O1755" i="6"/>
  <c r="P1755" i="6"/>
  <c r="P2704" i="6"/>
  <c r="O2704" i="6"/>
  <c r="P1250" i="6"/>
  <c r="O1250" i="6"/>
  <c r="O1347" i="6"/>
  <c r="P1347" i="6"/>
  <c r="P245" i="6"/>
  <c r="O245" i="6"/>
  <c r="O909" i="6"/>
  <c r="P909" i="6"/>
  <c r="P2602" i="6"/>
  <c r="O2602" i="6"/>
  <c r="L156" i="3"/>
  <c r="N156" i="3"/>
  <c r="P1403" i="6"/>
  <c r="O1403" i="6"/>
  <c r="P1802" i="6"/>
  <c r="O1802" i="6"/>
  <c r="P1285" i="6"/>
  <c r="O1285" i="6"/>
  <c r="O2324" i="6"/>
  <c r="P2324" i="6"/>
  <c r="O430" i="6"/>
  <c r="P430" i="6"/>
  <c r="O2258" i="6"/>
  <c r="P2258" i="6"/>
  <c r="J116" i="3"/>
  <c r="K116" i="3"/>
  <c r="P708" i="6"/>
  <c r="O708" i="6"/>
  <c r="P1295" i="6"/>
  <c r="O1295" i="6"/>
  <c r="P1576" i="6"/>
  <c r="O1576" i="6"/>
  <c r="O1952" i="6"/>
  <c r="P1952" i="6"/>
  <c r="O2763" i="6"/>
  <c r="P2763" i="6"/>
  <c r="N2839" i="6"/>
  <c r="N2794" i="6"/>
  <c r="N2742" i="6"/>
  <c r="N2843" i="6"/>
  <c r="N2798" i="6"/>
  <c r="N2786" i="6"/>
  <c r="N2678" i="6"/>
  <c r="P1481" i="6"/>
  <c r="O1481" i="6"/>
  <c r="P1394" i="6"/>
  <c r="O1394" i="6"/>
  <c r="O444" i="6"/>
  <c r="P444" i="6"/>
  <c r="P1033" i="6"/>
  <c r="O1033" i="6"/>
  <c r="O2631" i="6"/>
  <c r="P2631" i="6"/>
  <c r="P1849" i="6"/>
  <c r="O1849" i="6"/>
  <c r="O422" i="6"/>
  <c r="P422" i="6"/>
  <c r="O1340" i="6"/>
  <c r="P1340" i="6"/>
  <c r="P2516" i="6"/>
  <c r="O2516" i="6"/>
  <c r="P469" i="6"/>
  <c r="O469" i="6"/>
  <c r="O2437" i="6"/>
  <c r="P2437" i="6"/>
  <c r="I116" i="3"/>
  <c r="D117" i="3" s="1"/>
  <c r="F117" i="3" s="1"/>
  <c r="O582" i="6"/>
  <c r="P582" i="6"/>
  <c r="P643" i="6"/>
  <c r="O643" i="6"/>
  <c r="O668" i="6"/>
  <c r="P668" i="6"/>
  <c r="H74" i="3"/>
  <c r="P991" i="6"/>
  <c r="O991" i="6"/>
  <c r="O151" i="6"/>
  <c r="P151" i="6"/>
  <c r="F24" i="1"/>
  <c r="N12" i="3"/>
  <c r="L12" i="3"/>
  <c r="O1536" i="6"/>
  <c r="P1536" i="6"/>
  <c r="O805" i="6"/>
  <c r="P805" i="6"/>
  <c r="O2047" i="6"/>
  <c r="P2047" i="6"/>
  <c r="J103" i="3"/>
  <c r="K103" i="3"/>
  <c r="J157" i="3"/>
  <c r="K157" i="3"/>
  <c r="P272" i="6"/>
  <c r="O272" i="6"/>
  <c r="P1063" i="6"/>
  <c r="O1063" i="6"/>
  <c r="O918" i="6"/>
  <c r="P918" i="6"/>
  <c r="P1551" i="6"/>
  <c r="O1551" i="6"/>
  <c r="O1366" i="6"/>
  <c r="P1366" i="6"/>
  <c r="P913" i="6"/>
  <c r="O913" i="6"/>
  <c r="O1095" i="6"/>
  <c r="P1095" i="6"/>
  <c r="P2314" i="6"/>
  <c r="O2314" i="6"/>
  <c r="O1238" i="6"/>
  <c r="P1238" i="6"/>
  <c r="O2502" i="6"/>
  <c r="P2502" i="6"/>
  <c r="P1117" i="6"/>
  <c r="O1117" i="6"/>
  <c r="O2451" i="6"/>
  <c r="P2451" i="6"/>
  <c r="P1827" i="6"/>
  <c r="O1827" i="6"/>
  <c r="O313" i="6"/>
  <c r="P313" i="6"/>
  <c r="P1088" i="6"/>
  <c r="O1088" i="6"/>
  <c r="N73" i="3"/>
  <c r="N2712" i="6" s="1"/>
  <c r="L73" i="3"/>
  <c r="N2815" i="6"/>
  <c r="N2782" i="6"/>
  <c r="N2746" i="6"/>
  <c r="N2778" i="6"/>
  <c r="N2811" i="6"/>
  <c r="P877" i="6"/>
  <c r="O877" i="6"/>
  <c r="P191" i="6"/>
  <c r="O191" i="6"/>
  <c r="P218" i="6"/>
  <c r="O218" i="6"/>
  <c r="O1976" i="6"/>
  <c r="P1976" i="6"/>
  <c r="P2323" i="6"/>
  <c r="O2323" i="6"/>
  <c r="N46" i="3"/>
  <c r="L46" i="3"/>
  <c r="I157" i="3"/>
  <c r="D158" i="3" s="1"/>
  <c r="F158" i="3" s="1"/>
  <c r="P1654" i="6"/>
  <c r="O1654" i="6"/>
  <c r="P213" i="6"/>
  <c r="O213" i="6"/>
  <c r="O487" i="6"/>
  <c r="P487" i="6"/>
  <c r="O1509" i="6"/>
  <c r="P1509" i="6"/>
  <c r="I86" i="3"/>
  <c r="D87" i="3" s="1"/>
  <c r="F87" i="3" s="1"/>
  <c r="P1923" i="6"/>
  <c r="O1923" i="6"/>
  <c r="P371" i="6"/>
  <c r="O371" i="6"/>
  <c r="O1843" i="6"/>
  <c r="P1843" i="6"/>
  <c r="P2212" i="6"/>
  <c r="O2212" i="6"/>
  <c r="O2365" i="6"/>
  <c r="P2365" i="6"/>
  <c r="P2596" i="6"/>
  <c r="O2596" i="6"/>
  <c r="P2322" i="6"/>
  <c r="O2322" i="6"/>
  <c r="P2188" i="6"/>
  <c r="O2188" i="6"/>
  <c r="P577" i="6"/>
  <c r="O577" i="6"/>
  <c r="P495" i="6"/>
  <c r="O495" i="6"/>
  <c r="P890" i="6"/>
  <c r="O890" i="6"/>
  <c r="O2112" i="6"/>
  <c r="P2112" i="6"/>
  <c r="K59" i="3"/>
  <c r="J59" i="3"/>
  <c r="N145" i="3"/>
  <c r="L145" i="3"/>
  <c r="P1819" i="6"/>
  <c r="O1819" i="6"/>
  <c r="P1983" i="6"/>
  <c r="O1983" i="6"/>
  <c r="P201" i="6"/>
  <c r="O201" i="6"/>
  <c r="O1599" i="6"/>
  <c r="P1599" i="6"/>
  <c r="P2305" i="6"/>
  <c r="O2305" i="6"/>
  <c r="P1140" i="6"/>
  <c r="O1140" i="6"/>
  <c r="P216" i="6"/>
  <c r="O216" i="6"/>
  <c r="O2168" i="6"/>
  <c r="P2168" i="6"/>
  <c r="P2419" i="6"/>
  <c r="O2419" i="6"/>
  <c r="O967" i="6"/>
  <c r="P967" i="6"/>
  <c r="K31" i="3"/>
  <c r="J31" i="3"/>
  <c r="P2745" i="6"/>
  <c r="O2745" i="6"/>
  <c r="P2366" i="6"/>
  <c r="O2366" i="6"/>
  <c r="L128" i="3"/>
  <c r="N128" i="3"/>
  <c r="H47" i="3"/>
  <c r="O2656" i="6"/>
  <c r="P2656" i="6"/>
  <c r="O814" i="6"/>
  <c r="P814" i="6"/>
  <c r="O12" i="6"/>
  <c r="P12" i="6"/>
  <c r="P1374" i="6"/>
  <c r="O1374" i="6"/>
  <c r="P2163" i="6"/>
  <c r="O2163" i="6"/>
  <c r="H60" i="3"/>
  <c r="I60" i="3" s="1"/>
  <c r="D61" i="3" s="1"/>
  <c r="F61" i="3" s="1"/>
  <c r="P1252" i="6"/>
  <c r="O1252" i="6"/>
  <c r="O579" i="6"/>
  <c r="P579" i="6"/>
  <c r="P549" i="6"/>
  <c r="O549" i="6"/>
  <c r="P2272" i="6"/>
  <c r="O2272" i="6"/>
  <c r="N30" i="3"/>
  <c r="L30" i="3"/>
  <c r="O1256" i="6"/>
  <c r="P1256" i="6"/>
  <c r="P2035" i="6"/>
  <c r="O2035" i="6"/>
  <c r="O235" i="6"/>
  <c r="P235" i="6"/>
  <c r="O2184" i="6"/>
  <c r="P2184" i="6"/>
  <c r="P1877" i="6"/>
  <c r="O1877" i="6"/>
  <c r="O1162" i="6"/>
  <c r="P1162" i="6"/>
  <c r="H32" i="3"/>
  <c r="H131" i="3" l="1"/>
  <c r="J131" i="3" s="1"/>
  <c r="N157" i="3"/>
  <c r="L157" i="3"/>
  <c r="O2265" i="6"/>
  <c r="P2265" i="6"/>
  <c r="N2478" i="6"/>
  <c r="N2612" i="6"/>
  <c r="N2354" i="6"/>
  <c r="N2177" i="6"/>
  <c r="N2183" i="6"/>
  <c r="N2369" i="6"/>
  <c r="N1788" i="6"/>
  <c r="N1365" i="6"/>
  <c r="N1268" i="6"/>
  <c r="N1842" i="6"/>
  <c r="N1704" i="6"/>
  <c r="N1046" i="6"/>
  <c r="N971" i="6"/>
  <c r="N888" i="6"/>
  <c r="N1187" i="6"/>
  <c r="N898" i="6"/>
  <c r="N222" i="6"/>
  <c r="N1296" i="6"/>
  <c r="N688" i="6"/>
  <c r="N570" i="6"/>
  <c r="N787" i="6"/>
  <c r="N757" i="6"/>
  <c r="N460" i="6"/>
  <c r="N515" i="6"/>
  <c r="N205" i="6"/>
  <c r="N363" i="6"/>
  <c r="N249" i="6"/>
  <c r="N868" i="6"/>
  <c r="N338" i="6"/>
  <c r="N21" i="6"/>
  <c r="N359" i="6"/>
  <c r="N88" i="6"/>
  <c r="N528" i="6"/>
  <c r="N493" i="6"/>
  <c r="N195" i="6"/>
  <c r="N1494" i="6"/>
  <c r="N2007" i="6"/>
  <c r="N375" i="6"/>
  <c r="N110" i="6"/>
  <c r="N56" i="6"/>
  <c r="N2174" i="6"/>
  <c r="N742" i="6"/>
  <c r="N565" i="6"/>
  <c r="N46" i="6"/>
  <c r="N336" i="6"/>
  <c r="N339" i="6"/>
  <c r="N1746" i="6"/>
  <c r="N1214" i="6"/>
  <c r="N632" i="6"/>
  <c r="N1391" i="6"/>
  <c r="N2378" i="6"/>
  <c r="N1591" i="6"/>
  <c r="N2345" i="6"/>
  <c r="N1678" i="6"/>
  <c r="N1825" i="6"/>
  <c r="N2525" i="6"/>
  <c r="N2628" i="6"/>
  <c r="N679" i="6"/>
  <c r="N1906" i="6"/>
  <c r="N2242" i="6"/>
  <c r="N2146" i="6"/>
  <c r="J47" i="3"/>
  <c r="K47" i="3"/>
  <c r="P911" i="6"/>
  <c r="O911" i="6"/>
  <c r="P762" i="6"/>
  <c r="O762" i="6"/>
  <c r="O1182" i="6"/>
  <c r="P1182" i="6"/>
  <c r="O2280" i="6"/>
  <c r="P2280" i="6"/>
  <c r="K13" i="3"/>
  <c r="J13" i="3"/>
  <c r="P2337" i="6"/>
  <c r="O2337" i="6"/>
  <c r="P1174" i="6"/>
  <c r="O1174" i="6"/>
  <c r="P1292" i="6"/>
  <c r="O1292" i="6"/>
  <c r="O2490" i="6"/>
  <c r="P2490" i="6"/>
  <c r="K60" i="3"/>
  <c r="J60" i="3"/>
  <c r="I47" i="3"/>
  <c r="G8" i="4" s="1"/>
  <c r="H8" i="4" s="1"/>
  <c r="O2815" i="6"/>
  <c r="P2815" i="6"/>
  <c r="L103" i="3"/>
  <c r="N103" i="3"/>
  <c r="N37" i="6" s="1"/>
  <c r="O2843" i="6"/>
  <c r="P2843" i="6"/>
  <c r="O91" i="6"/>
  <c r="P91" i="6"/>
  <c r="O1702" i="6"/>
  <c r="P1702" i="6"/>
  <c r="O625" i="6"/>
  <c r="P625" i="6"/>
  <c r="O282" i="6"/>
  <c r="P282" i="6"/>
  <c r="P1437" i="6"/>
  <c r="O1437" i="6"/>
  <c r="P2341" i="6"/>
  <c r="O2341" i="6"/>
  <c r="H173" i="3"/>
  <c r="I13" i="3"/>
  <c r="O1358" i="6"/>
  <c r="P1358" i="6"/>
  <c r="O677" i="6"/>
  <c r="P677" i="6"/>
  <c r="P1411" i="6"/>
  <c r="O1411" i="6"/>
  <c r="P2786" i="6"/>
  <c r="O2786" i="6"/>
  <c r="O74" i="6"/>
  <c r="P74" i="6"/>
  <c r="O152" i="6"/>
  <c r="P152" i="6"/>
  <c r="P1433" i="6"/>
  <c r="O1433" i="6"/>
  <c r="P45" i="6"/>
  <c r="O45" i="6"/>
  <c r="P1141" i="6"/>
  <c r="O1141" i="6"/>
  <c r="P1284" i="6"/>
  <c r="O1284" i="6"/>
  <c r="O768" i="6"/>
  <c r="P768" i="6"/>
  <c r="P1531" i="6"/>
  <c r="O1531" i="6"/>
  <c r="N57" i="6"/>
  <c r="N66" i="6"/>
  <c r="N34" i="6"/>
  <c r="P2402" i="6"/>
  <c r="O2402" i="6"/>
  <c r="O1132" i="6"/>
  <c r="P1132" i="6"/>
  <c r="O1664" i="6"/>
  <c r="P1664" i="6"/>
  <c r="O1257" i="6"/>
  <c r="P1257" i="6"/>
  <c r="O875" i="6"/>
  <c r="P875" i="6"/>
  <c r="O2798" i="6"/>
  <c r="P2798" i="6"/>
  <c r="P2742" i="6"/>
  <c r="O2742" i="6"/>
  <c r="P95" i="6"/>
  <c r="O95" i="6"/>
  <c r="O364" i="6"/>
  <c r="P364" i="6"/>
  <c r="O2012" i="6"/>
  <c r="P2012" i="6"/>
  <c r="P1227" i="6"/>
  <c r="O1227" i="6"/>
  <c r="O2067" i="6"/>
  <c r="P2067" i="6"/>
  <c r="N2000" i="6"/>
  <c r="N2023" i="6"/>
  <c r="N1973" i="6"/>
  <c r="N1658" i="6"/>
  <c r="N1460" i="6"/>
  <c r="N1154" i="6"/>
  <c r="N1142" i="6"/>
  <c r="N427" i="6"/>
  <c r="N694" i="6"/>
  <c r="N698" i="6"/>
  <c r="N722" i="6"/>
  <c r="N2544" i="6"/>
  <c r="N2253" i="6"/>
  <c r="N1307" i="6"/>
  <c r="P2794" i="6"/>
  <c r="O2794" i="6"/>
  <c r="O2839" i="6"/>
  <c r="P2839" i="6"/>
  <c r="N116" i="3"/>
  <c r="L116" i="3"/>
  <c r="P1758" i="6"/>
  <c r="O1758" i="6"/>
  <c r="O1114" i="6"/>
  <c r="P1114" i="6"/>
  <c r="P1422" i="6"/>
  <c r="O1422" i="6"/>
  <c r="O1521" i="6"/>
  <c r="P1521" i="6"/>
  <c r="O772" i="6"/>
  <c r="P772" i="6"/>
  <c r="O1822" i="6"/>
  <c r="P1822" i="6"/>
  <c r="O2135" i="6"/>
  <c r="P2135" i="6"/>
  <c r="P3" i="6"/>
  <c r="O3" i="6"/>
  <c r="P481" i="6"/>
  <c r="O481" i="6"/>
  <c r="H61" i="3"/>
  <c r="I61" i="3" s="1"/>
  <c r="G9" i="4" s="1"/>
  <c r="H9" i="4" s="1"/>
  <c r="P1642" i="6"/>
  <c r="O1642" i="6"/>
  <c r="P1059" i="6"/>
  <c r="O1059" i="6"/>
  <c r="P2712" i="6"/>
  <c r="O2712" i="6"/>
  <c r="J74" i="3"/>
  <c r="K74" i="3"/>
  <c r="I74" i="3"/>
  <c r="D75" i="3" s="1"/>
  <c r="F75" i="3" s="1"/>
  <c r="N2648" i="6"/>
  <c r="N1850" i="6"/>
  <c r="N1763" i="6"/>
  <c r="N1204" i="6"/>
  <c r="N1299" i="6"/>
  <c r="N1282" i="6"/>
  <c r="N696" i="6"/>
  <c r="N721" i="6"/>
  <c r="N763" i="6"/>
  <c r="N1314" i="6"/>
  <c r="N2075" i="6"/>
  <c r="N2195" i="6"/>
  <c r="N1554" i="6"/>
  <c r="N553" i="6"/>
  <c r="N2415" i="6"/>
  <c r="N2641" i="6"/>
  <c r="O842" i="6"/>
  <c r="P842" i="6"/>
  <c r="O628" i="6"/>
  <c r="P628" i="6"/>
  <c r="O979" i="6"/>
  <c r="P979" i="6"/>
  <c r="O1605" i="6"/>
  <c r="P1605" i="6"/>
  <c r="P1612" i="6"/>
  <c r="O1612" i="6"/>
  <c r="P573" i="6"/>
  <c r="O573" i="6"/>
  <c r="P2269" i="6"/>
  <c r="O2269" i="6"/>
  <c r="N2581" i="6"/>
  <c r="N2566" i="6"/>
  <c r="N2654" i="6"/>
  <c r="O860" i="6"/>
  <c r="P860" i="6"/>
  <c r="P215" i="6"/>
  <c r="O215" i="6"/>
  <c r="O1022" i="6"/>
  <c r="P1022" i="6"/>
  <c r="O1863" i="6"/>
  <c r="P1863" i="6"/>
  <c r="N2859" i="6"/>
  <c r="N2699" i="6"/>
  <c r="N2868" i="6"/>
  <c r="N2834" i="6"/>
  <c r="P1532" i="6"/>
  <c r="O1532" i="6"/>
  <c r="P578" i="6"/>
  <c r="O578" i="6"/>
  <c r="P2127" i="6"/>
  <c r="O2127" i="6"/>
  <c r="K130" i="3"/>
  <c r="J130" i="3"/>
  <c r="H117" i="3"/>
  <c r="I117" i="3" s="1"/>
  <c r="G13" i="4" s="1"/>
  <c r="H13" i="4" s="1"/>
  <c r="P2158" i="6"/>
  <c r="O2158" i="6"/>
  <c r="P412" i="6"/>
  <c r="O412" i="6"/>
  <c r="O660" i="6"/>
  <c r="P660" i="6"/>
  <c r="P1886" i="6"/>
  <c r="O1886" i="6"/>
  <c r="P1502" i="6"/>
  <c r="O1502" i="6"/>
  <c r="P645" i="6"/>
  <c r="O645" i="6"/>
  <c r="O2249" i="6"/>
  <c r="P2249" i="6"/>
  <c r="O2746" i="6"/>
  <c r="P2746" i="6"/>
  <c r="P2583" i="6"/>
  <c r="O2583" i="6"/>
  <c r="P1020" i="6"/>
  <c r="O1020" i="6"/>
  <c r="P4" i="6"/>
  <c r="O4" i="6"/>
  <c r="P1275" i="6"/>
  <c r="O1275" i="6"/>
  <c r="O1715" i="6"/>
  <c r="P1715" i="6"/>
  <c r="L172" i="3"/>
  <c r="N172" i="3"/>
  <c r="O2688" i="6"/>
  <c r="P2688" i="6"/>
  <c r="P1925" i="6"/>
  <c r="O1925" i="6"/>
  <c r="P563" i="6"/>
  <c r="O563" i="6"/>
  <c r="O2467" i="6"/>
  <c r="P2467" i="6"/>
  <c r="O2811" i="6"/>
  <c r="P2811" i="6"/>
  <c r="N2671" i="6"/>
  <c r="N2659" i="6"/>
  <c r="N2392" i="6"/>
  <c r="N1916" i="6"/>
  <c r="N1901" i="6"/>
  <c r="N1805" i="6"/>
  <c r="N1647" i="6"/>
  <c r="N2080" i="6"/>
  <c r="N931" i="6"/>
  <c r="N1321" i="6"/>
  <c r="N883" i="6"/>
  <c r="N739" i="6"/>
  <c r="N27" i="6"/>
  <c r="N603" i="6"/>
  <c r="N285" i="6"/>
  <c r="N157" i="6"/>
  <c r="N50" i="6"/>
  <c r="N138" i="6"/>
  <c r="N2" i="6"/>
  <c r="N341" i="6"/>
  <c r="N1869" i="6"/>
  <c r="N2097" i="6"/>
  <c r="N259" i="6"/>
  <c r="N104" i="6"/>
  <c r="N2193" i="6"/>
  <c r="N533" i="6"/>
  <c r="N436" i="6"/>
  <c r="N504" i="6"/>
  <c r="N1207" i="6"/>
  <c r="N1491" i="6"/>
  <c r="N1193" i="6"/>
  <c r="N409" i="6"/>
  <c r="N1202" i="6"/>
  <c r="N2152" i="6"/>
  <c r="N1395" i="6"/>
  <c r="N1164" i="6"/>
  <c r="N1773" i="6"/>
  <c r="N1144" i="6"/>
  <c r="N2561" i="6"/>
  <c r="N2429" i="6"/>
  <c r="N2294" i="6"/>
  <c r="N2567" i="6"/>
  <c r="N2541" i="6"/>
  <c r="N1457" i="6"/>
  <c r="N2613" i="6"/>
  <c r="N767" i="6"/>
  <c r="N1447" i="6"/>
  <c r="N2172" i="6"/>
  <c r="N2376" i="6"/>
  <c r="N2622" i="6"/>
  <c r="P1796" i="6"/>
  <c r="O1796" i="6"/>
  <c r="P818" i="6"/>
  <c r="O818" i="6"/>
  <c r="P486" i="6"/>
  <c r="O486" i="6"/>
  <c r="P1387" i="6"/>
  <c r="O1387" i="6"/>
  <c r="P2066" i="6"/>
  <c r="O2066" i="6"/>
  <c r="P2861" i="6"/>
  <c r="O2861" i="6"/>
  <c r="P2164" i="6"/>
  <c r="O2164" i="6"/>
  <c r="P717" i="6"/>
  <c r="O717" i="6"/>
  <c r="O891" i="6"/>
  <c r="P891" i="6"/>
  <c r="H87" i="3"/>
  <c r="I87" i="3" s="1"/>
  <c r="D88" i="3" s="1"/>
  <c r="F88" i="3" s="1"/>
  <c r="P404" i="6"/>
  <c r="O404" i="6"/>
  <c r="O1945" i="6"/>
  <c r="P1945" i="6"/>
  <c r="O2782" i="6"/>
  <c r="P2782" i="6"/>
  <c r="L31" i="3"/>
  <c r="N31" i="3"/>
  <c r="N2755" i="6"/>
  <c r="N2824" i="6"/>
  <c r="N2846" i="6"/>
  <c r="H158" i="3"/>
  <c r="J32" i="3"/>
  <c r="K32" i="3"/>
  <c r="N59" i="3"/>
  <c r="L59" i="3"/>
  <c r="I32" i="3"/>
  <c r="D33" i="3" s="1"/>
  <c r="F33" i="3" s="1"/>
  <c r="N2819" i="6"/>
  <c r="N2770" i="6"/>
  <c r="N2702" i="6"/>
  <c r="N2852" i="6"/>
  <c r="N2701" i="6"/>
  <c r="N2753" i="6"/>
  <c r="O2778" i="6"/>
  <c r="P2778" i="6"/>
  <c r="P2678" i="6"/>
  <c r="O2678" i="6"/>
  <c r="O1777" i="6"/>
  <c r="P1777" i="6"/>
  <c r="P125" i="6"/>
  <c r="O125" i="6"/>
  <c r="O1040" i="6"/>
  <c r="P1040" i="6"/>
  <c r="O1897" i="6"/>
  <c r="P1897" i="6"/>
  <c r="P2057" i="6"/>
  <c r="O2057" i="6"/>
  <c r="O2715" i="6"/>
  <c r="P2715" i="6"/>
  <c r="P2418" i="6"/>
  <c r="O2418" i="6"/>
  <c r="O674" i="6"/>
  <c r="P674" i="6"/>
  <c r="P1010" i="6"/>
  <c r="O1010" i="6"/>
  <c r="I131" i="3" l="1"/>
  <c r="G14" i="4" s="1"/>
  <c r="H14" i="4" s="1"/>
  <c r="O1491" i="6"/>
  <c r="P1491" i="6"/>
  <c r="O138" i="6"/>
  <c r="P138" i="6"/>
  <c r="P1805" i="6"/>
  <c r="O1805" i="6"/>
  <c r="O1299" i="6"/>
  <c r="P1299" i="6"/>
  <c r="P1154" i="6"/>
  <c r="O1154" i="6"/>
  <c r="O1678" i="6"/>
  <c r="P1678" i="6"/>
  <c r="P742" i="6"/>
  <c r="O742" i="6"/>
  <c r="P21" i="6"/>
  <c r="O21" i="6"/>
  <c r="O1296" i="6"/>
  <c r="P1296" i="6"/>
  <c r="P2369" i="6"/>
  <c r="O2369" i="6"/>
  <c r="O2770" i="6"/>
  <c r="P2770" i="6"/>
  <c r="N1904" i="6"/>
  <c r="N2078" i="6"/>
  <c r="N2068" i="6"/>
  <c r="N1569" i="6"/>
  <c r="N1629" i="6"/>
  <c r="N2175" i="6"/>
  <c r="N1520" i="6"/>
  <c r="N1851" i="6"/>
  <c r="N1734" i="6"/>
  <c r="N1738" i="6"/>
  <c r="N1480" i="6"/>
  <c r="N906" i="6"/>
  <c r="N1808" i="6"/>
  <c r="N1052" i="6"/>
  <c r="N498" i="6"/>
  <c r="N2511" i="6"/>
  <c r="N1073" i="6"/>
  <c r="N1170" i="6"/>
  <c r="N2107" i="6"/>
  <c r="N997" i="6"/>
  <c r="N1476" i="6"/>
  <c r="N1249" i="6"/>
  <c r="N2373" i="6"/>
  <c r="N2458" i="6"/>
  <c r="O2819" i="6"/>
  <c r="P2819" i="6"/>
  <c r="P2294" i="6"/>
  <c r="O2294" i="6"/>
  <c r="O1207" i="6"/>
  <c r="P1207" i="6"/>
  <c r="O50" i="6"/>
  <c r="P50" i="6"/>
  <c r="P1901" i="6"/>
  <c r="O1901" i="6"/>
  <c r="P2641" i="6"/>
  <c r="O2641" i="6"/>
  <c r="P1204" i="6"/>
  <c r="O1204" i="6"/>
  <c r="P1460" i="6"/>
  <c r="O1460" i="6"/>
  <c r="P2345" i="6"/>
  <c r="O2345" i="6"/>
  <c r="O2174" i="6"/>
  <c r="P2174" i="6"/>
  <c r="P338" i="6"/>
  <c r="O338" i="6"/>
  <c r="O222" i="6"/>
  <c r="P222" i="6"/>
  <c r="O2183" i="6"/>
  <c r="P2183" i="6"/>
  <c r="O2567" i="6"/>
  <c r="P2567" i="6"/>
  <c r="H33" i="3"/>
  <c r="I33" i="3" s="1"/>
  <c r="G7" i="4" s="1"/>
  <c r="H7" i="4" s="1"/>
  <c r="P2429" i="6"/>
  <c r="O2429" i="6"/>
  <c r="O504" i="6"/>
  <c r="P504" i="6"/>
  <c r="P157" i="6"/>
  <c r="O157" i="6"/>
  <c r="O1916" i="6"/>
  <c r="P1916" i="6"/>
  <c r="P2415" i="6"/>
  <c r="O2415" i="6"/>
  <c r="O1763" i="6"/>
  <c r="P1763" i="6"/>
  <c r="K61" i="3"/>
  <c r="J61" i="3"/>
  <c r="P1658" i="6"/>
  <c r="O1658" i="6"/>
  <c r="P37" i="6"/>
  <c r="O37" i="6"/>
  <c r="P1591" i="6"/>
  <c r="O1591" i="6"/>
  <c r="P56" i="6"/>
  <c r="O56" i="6"/>
  <c r="O868" i="6"/>
  <c r="P868" i="6"/>
  <c r="O898" i="6"/>
  <c r="P898" i="6"/>
  <c r="O2177" i="6"/>
  <c r="P2177" i="6"/>
  <c r="O2392" i="6"/>
  <c r="P2392" i="6"/>
  <c r="P110" i="6"/>
  <c r="O110" i="6"/>
  <c r="P2622" i="6"/>
  <c r="O2622" i="6"/>
  <c r="P1554" i="6"/>
  <c r="O1554" i="6"/>
  <c r="P363" i="6"/>
  <c r="O363" i="6"/>
  <c r="O1773" i="6"/>
  <c r="P1773" i="6"/>
  <c r="P632" i="6"/>
  <c r="O632" i="6"/>
  <c r="P436" i="6"/>
  <c r="O436" i="6"/>
  <c r="P553" i="6"/>
  <c r="O553" i="6"/>
  <c r="P1187" i="6"/>
  <c r="O1187" i="6"/>
  <c r="P603" i="6"/>
  <c r="O603" i="6"/>
  <c r="P1307" i="6"/>
  <c r="O1307" i="6"/>
  <c r="P375" i="6"/>
  <c r="O375" i="6"/>
  <c r="P2193" i="6"/>
  <c r="O2193" i="6"/>
  <c r="P2253" i="6"/>
  <c r="O2253" i="6"/>
  <c r="P205" i="6"/>
  <c r="O205" i="6"/>
  <c r="P104" i="6"/>
  <c r="O104" i="6"/>
  <c r="P2242" i="6"/>
  <c r="O2242" i="6"/>
  <c r="O722" i="6"/>
  <c r="P722" i="6"/>
  <c r="N60" i="3"/>
  <c r="L60" i="3"/>
  <c r="P1906" i="6"/>
  <c r="O1906" i="6"/>
  <c r="O1746" i="6"/>
  <c r="P1746" i="6"/>
  <c r="O195" i="6"/>
  <c r="P195" i="6"/>
  <c r="O460" i="6"/>
  <c r="P460" i="6"/>
  <c r="O1704" i="6"/>
  <c r="P1704" i="6"/>
  <c r="P1850" i="6"/>
  <c r="O1850" i="6"/>
  <c r="P2378" i="6"/>
  <c r="O2378" i="6"/>
  <c r="P1144" i="6"/>
  <c r="O1144" i="6"/>
  <c r="P2648" i="6"/>
  <c r="O2648" i="6"/>
  <c r="O888" i="6"/>
  <c r="P888" i="6"/>
  <c r="O2671" i="6"/>
  <c r="P2671" i="6"/>
  <c r="P2146" i="6"/>
  <c r="O2146" i="6"/>
  <c r="O2478" i="6"/>
  <c r="P2478" i="6"/>
  <c r="L32" i="3"/>
  <c r="N32" i="3"/>
  <c r="P2075" i="6"/>
  <c r="O2075" i="6"/>
  <c r="P1214" i="6"/>
  <c r="O1214" i="6"/>
  <c r="P259" i="6"/>
  <c r="O259" i="6"/>
  <c r="O66" i="6"/>
  <c r="P66" i="6"/>
  <c r="O2152" i="6"/>
  <c r="P2152" i="6"/>
  <c r="O1321" i="6"/>
  <c r="P1321" i="6"/>
  <c r="O2654" i="6"/>
  <c r="P2654" i="6"/>
  <c r="P763" i="6"/>
  <c r="O763" i="6"/>
  <c r="P698" i="6"/>
  <c r="O698" i="6"/>
  <c r="P57" i="6"/>
  <c r="O57" i="6"/>
  <c r="P679" i="6"/>
  <c r="O679" i="6"/>
  <c r="O339" i="6"/>
  <c r="P339" i="6"/>
  <c r="P493" i="6"/>
  <c r="O493" i="6"/>
  <c r="P757" i="6"/>
  <c r="O757" i="6"/>
  <c r="O1842" i="6"/>
  <c r="P1842" i="6"/>
  <c r="P2354" i="6"/>
  <c r="O2354" i="6"/>
  <c r="N2397" i="6"/>
  <c r="N2267" i="6"/>
  <c r="N2151" i="6"/>
  <c r="N2349" i="6"/>
  <c r="N2072" i="6"/>
  <c r="N2227" i="6"/>
  <c r="N2051" i="6"/>
  <c r="N1756" i="6"/>
  <c r="N1960" i="6"/>
  <c r="N1858" i="6"/>
  <c r="N1561" i="6"/>
  <c r="N1696" i="6"/>
  <c r="N1900" i="6"/>
  <c r="N1691" i="6"/>
  <c r="N1279" i="6"/>
  <c r="N1076" i="6"/>
  <c r="N994" i="6"/>
  <c r="N902" i="6"/>
  <c r="N1420" i="6"/>
  <c r="N968" i="6"/>
  <c r="N1158" i="6"/>
  <c r="N1210" i="6"/>
  <c r="N956" i="6"/>
  <c r="N1486" i="6"/>
  <c r="N420" i="6"/>
  <c r="N381" i="6"/>
  <c r="N858" i="6"/>
  <c r="N629" i="6"/>
  <c r="N624" i="6"/>
  <c r="N546" i="6"/>
  <c r="N418" i="6"/>
  <c r="N402" i="6"/>
  <c r="N51" i="6"/>
  <c r="N214" i="6"/>
  <c r="N393" i="6"/>
  <c r="N229" i="6"/>
  <c r="N1474" i="6"/>
  <c r="N904" i="6"/>
  <c r="N1397" i="6"/>
  <c r="N307" i="6"/>
  <c r="N174" i="6"/>
  <c r="N260" i="6"/>
  <c r="N987" i="6"/>
  <c r="N1505" i="6"/>
  <c r="N384" i="6"/>
  <c r="N781" i="6"/>
  <c r="N1246" i="6"/>
  <c r="N580" i="6"/>
  <c r="N1201" i="6"/>
  <c r="N2043" i="6"/>
  <c r="N1643" i="6"/>
  <c r="N217" i="6"/>
  <c r="N1092" i="6"/>
  <c r="N252" i="6"/>
  <c r="N1700" i="6"/>
  <c r="N2014" i="6"/>
  <c r="N1639" i="6"/>
  <c r="N1427" i="6"/>
  <c r="N1283" i="6"/>
  <c r="N2572" i="6"/>
  <c r="N1894" i="6"/>
  <c r="N2433" i="6"/>
  <c r="N1523" i="6"/>
  <c r="N2310" i="6"/>
  <c r="N2442" i="6"/>
  <c r="N2136" i="6"/>
  <c r="O2659" i="6"/>
  <c r="P2659" i="6"/>
  <c r="N2555" i="6"/>
  <c r="N2420" i="6"/>
  <c r="N2396" i="6"/>
  <c r="N2547" i="6"/>
  <c r="N1888" i="6"/>
  <c r="N1962" i="6"/>
  <c r="N1656" i="6"/>
  <c r="N1593" i="6"/>
  <c r="N1482" i="6"/>
  <c r="N1401" i="6"/>
  <c r="N1332" i="6"/>
  <c r="N1360" i="6"/>
  <c r="N1281" i="6"/>
  <c r="N1062" i="6"/>
  <c r="N1261" i="6"/>
  <c r="N439" i="6"/>
  <c r="N357" i="6"/>
  <c r="N654" i="6"/>
  <c r="N407" i="6"/>
  <c r="N671" i="6"/>
  <c r="N631" i="6"/>
  <c r="N239" i="6"/>
  <c r="N123" i="6"/>
  <c r="N99" i="6"/>
  <c r="N881" i="6"/>
  <c r="N382" i="6"/>
  <c r="N188" i="6"/>
  <c r="N311" i="6"/>
  <c r="N154" i="6"/>
  <c r="N509" i="6"/>
  <c r="N507" i="6"/>
  <c r="N676" i="6"/>
  <c r="N406" i="6"/>
  <c r="N673" i="6"/>
  <c r="N480" i="6"/>
  <c r="N1958" i="6"/>
  <c r="N1083" i="6"/>
  <c r="N2350" i="6"/>
  <c r="N2535" i="6"/>
  <c r="N737" i="6"/>
  <c r="N1126" i="6"/>
  <c r="N750" i="6"/>
  <c r="N287" i="6"/>
  <c r="N2122" i="6"/>
  <c r="N1806" i="6"/>
  <c r="N1693" i="6"/>
  <c r="N1765" i="6"/>
  <c r="N716" i="6"/>
  <c r="N1344" i="6"/>
  <c r="N652" i="6"/>
  <c r="N1553" i="6"/>
  <c r="N17" i="6"/>
  <c r="N1857" i="6"/>
  <c r="N2640" i="6"/>
  <c r="N2471" i="6"/>
  <c r="N70" i="6"/>
  <c r="O1391" i="6"/>
  <c r="P1391" i="6"/>
  <c r="P2376" i="6"/>
  <c r="O2376" i="6"/>
  <c r="O2195" i="6"/>
  <c r="P2195" i="6"/>
  <c r="F25" i="1"/>
  <c r="N13" i="3"/>
  <c r="L13" i="3"/>
  <c r="P739" i="6"/>
  <c r="O739" i="6"/>
  <c r="P2544" i="6"/>
  <c r="O2544" i="6"/>
  <c r="O1046" i="6"/>
  <c r="P1046" i="6"/>
  <c r="P1447" i="6"/>
  <c r="O1447" i="6"/>
  <c r="P883" i="6"/>
  <c r="O883" i="6"/>
  <c r="N74" i="3"/>
  <c r="L74" i="3"/>
  <c r="P767" i="6"/>
  <c r="O767" i="6"/>
  <c r="P2097" i="6"/>
  <c r="O2097" i="6"/>
  <c r="P2868" i="6"/>
  <c r="O2868" i="6"/>
  <c r="P2701" i="6"/>
  <c r="O2701" i="6"/>
  <c r="O2846" i="6"/>
  <c r="P2846" i="6"/>
  <c r="K87" i="3"/>
  <c r="J87" i="3"/>
  <c r="P2613" i="6"/>
  <c r="O2613" i="6"/>
  <c r="P1202" i="6"/>
  <c r="O1202" i="6"/>
  <c r="P1869" i="6"/>
  <c r="O1869" i="6"/>
  <c r="O931" i="6"/>
  <c r="P931" i="6"/>
  <c r="O2699" i="6"/>
  <c r="P2699" i="6"/>
  <c r="O2566" i="6"/>
  <c r="P2566" i="6"/>
  <c r="P721" i="6"/>
  <c r="O721" i="6"/>
  <c r="P694" i="6"/>
  <c r="O694" i="6"/>
  <c r="E25" i="1"/>
  <c r="D14" i="3"/>
  <c r="F14" i="3" s="1"/>
  <c r="P2628" i="6"/>
  <c r="O2628" i="6"/>
  <c r="P336" i="6"/>
  <c r="O336" i="6"/>
  <c r="P528" i="6"/>
  <c r="O528" i="6"/>
  <c r="P787" i="6"/>
  <c r="O787" i="6"/>
  <c r="P1268" i="6"/>
  <c r="O1268" i="6"/>
  <c r="N2619" i="6"/>
  <c r="N2445" i="6"/>
  <c r="N2281" i="6"/>
  <c r="N1871" i="6"/>
  <c r="N1716" i="6"/>
  <c r="N1910" i="6"/>
  <c r="N1936" i="6"/>
  <c r="N1273" i="6"/>
  <c r="N693" i="6"/>
  <c r="N973" i="6"/>
  <c r="N2041" i="6"/>
  <c r="N831" i="6"/>
  <c r="N1378" i="6"/>
  <c r="N1097" i="6"/>
  <c r="N1949" i="6"/>
  <c r="N1921" i="6"/>
  <c r="N1970" i="6"/>
  <c r="N2543" i="6"/>
  <c r="N777" i="6"/>
  <c r="N1640" i="6"/>
  <c r="N2318" i="6"/>
  <c r="N2652" i="6"/>
  <c r="P285" i="6"/>
  <c r="O285" i="6"/>
  <c r="P1973" i="6"/>
  <c r="O1973" i="6"/>
  <c r="H75" i="3"/>
  <c r="E10" i="4" s="1"/>
  <c r="P971" i="6"/>
  <c r="O971" i="6"/>
  <c r="P2172" i="6"/>
  <c r="O2172" i="6"/>
  <c r="O34" i="6"/>
  <c r="P34" i="6"/>
  <c r="P515" i="6"/>
  <c r="O515" i="6"/>
  <c r="O1395" i="6"/>
  <c r="P1395" i="6"/>
  <c r="P2834" i="6"/>
  <c r="O2834" i="6"/>
  <c r="P2852" i="6"/>
  <c r="O2852" i="6"/>
  <c r="P1457" i="6"/>
  <c r="O1457" i="6"/>
  <c r="P341" i="6"/>
  <c r="O341" i="6"/>
  <c r="O2859" i="6"/>
  <c r="P2859" i="6"/>
  <c r="P2581" i="6"/>
  <c r="O2581" i="6"/>
  <c r="P696" i="6"/>
  <c r="O696" i="6"/>
  <c r="O427" i="6"/>
  <c r="P427" i="6"/>
  <c r="K173" i="3"/>
  <c r="J173" i="3"/>
  <c r="E13" i="4"/>
  <c r="E14" i="4"/>
  <c r="E7" i="4"/>
  <c r="E8" i="4"/>
  <c r="E12" i="4"/>
  <c r="E15" i="4"/>
  <c r="E9" i="4"/>
  <c r="E17" i="4"/>
  <c r="O2525" i="6"/>
  <c r="P2525" i="6"/>
  <c r="O46" i="6"/>
  <c r="P46" i="6"/>
  <c r="P88" i="6"/>
  <c r="O88" i="6"/>
  <c r="O570" i="6"/>
  <c r="P570" i="6"/>
  <c r="O1365" i="6"/>
  <c r="P1365" i="6"/>
  <c r="P2561" i="6"/>
  <c r="O2561" i="6"/>
  <c r="P249" i="6"/>
  <c r="O249" i="6"/>
  <c r="P533" i="6"/>
  <c r="O533" i="6"/>
  <c r="O2023" i="6"/>
  <c r="P2023" i="6"/>
  <c r="N47" i="3"/>
  <c r="L47" i="3"/>
  <c r="P2612" i="6"/>
  <c r="O2612" i="6"/>
  <c r="P27" i="6"/>
  <c r="O27" i="6"/>
  <c r="O2000" i="6"/>
  <c r="P2000" i="6"/>
  <c r="P2007" i="6"/>
  <c r="O2007" i="6"/>
  <c r="O1164" i="6"/>
  <c r="P1164" i="6"/>
  <c r="P1494" i="6"/>
  <c r="O1494" i="6"/>
  <c r="J158" i="3"/>
  <c r="K158" i="3"/>
  <c r="O1314" i="6"/>
  <c r="P1314" i="6"/>
  <c r="O2753" i="6"/>
  <c r="P2753" i="6"/>
  <c r="I158" i="3"/>
  <c r="D159" i="3" s="1"/>
  <c r="F159" i="3" s="1"/>
  <c r="H88" i="3"/>
  <c r="I88" i="3" s="1"/>
  <c r="D89" i="3" s="1"/>
  <c r="F89" i="3" s="1"/>
  <c r="P2824" i="6"/>
  <c r="O2824" i="6"/>
  <c r="O409" i="6"/>
  <c r="P409" i="6"/>
  <c r="O2080" i="6"/>
  <c r="P2080" i="6"/>
  <c r="K117" i="3"/>
  <c r="J117" i="3"/>
  <c r="P2702" i="6"/>
  <c r="O2702" i="6"/>
  <c r="P2755" i="6"/>
  <c r="O2755" i="6"/>
  <c r="P2541" i="6"/>
  <c r="O2541" i="6"/>
  <c r="P1193" i="6"/>
  <c r="O1193" i="6"/>
  <c r="O2" i="6"/>
  <c r="P2" i="6"/>
  <c r="O1647" i="6"/>
  <c r="P1647" i="6"/>
  <c r="L130" i="3"/>
  <c r="N130" i="3"/>
  <c r="N2769" i="6" s="1"/>
  <c r="O1282" i="6"/>
  <c r="P1282" i="6"/>
  <c r="N2710" i="6"/>
  <c r="N2830" i="6"/>
  <c r="N2804" i="6"/>
  <c r="N2725" i="6"/>
  <c r="N2808" i="6"/>
  <c r="N2788" i="6"/>
  <c r="O1142" i="6"/>
  <c r="P1142" i="6"/>
  <c r="I173" i="3"/>
  <c r="G17" i="4" s="1"/>
  <c r="H17" i="4" s="1"/>
  <c r="P1825" i="6"/>
  <c r="O1825" i="6"/>
  <c r="P565" i="6"/>
  <c r="O565" i="6"/>
  <c r="O359" i="6"/>
  <c r="P359" i="6"/>
  <c r="O688" i="6"/>
  <c r="P688" i="6"/>
  <c r="O1788" i="6"/>
  <c r="P1788" i="6"/>
  <c r="I75" i="3" l="1"/>
  <c r="G10" i="4" s="1"/>
  <c r="H10" i="4" s="1"/>
  <c r="F10" i="5"/>
  <c r="G10" i="5" s="1"/>
  <c r="P2014" i="6"/>
  <c r="O2014" i="6"/>
  <c r="P2769" i="6"/>
  <c r="O2769" i="6"/>
  <c r="P1640" i="6"/>
  <c r="O1640" i="6"/>
  <c r="O2830" i="6"/>
  <c r="P2830" i="6"/>
  <c r="N2854" i="6"/>
  <c r="N2713" i="6"/>
  <c r="N2870" i="6"/>
  <c r="O2543" i="6"/>
  <c r="P2543" i="6"/>
  <c r="P1910" i="6"/>
  <c r="O1910" i="6"/>
  <c r="F12" i="5"/>
  <c r="G12" i="5" s="1"/>
  <c r="O1553" i="6"/>
  <c r="P1553" i="6"/>
  <c r="P2535" i="6"/>
  <c r="O2535" i="6"/>
  <c r="P188" i="6"/>
  <c r="O188" i="6"/>
  <c r="P1261" i="6"/>
  <c r="O1261" i="6"/>
  <c r="P2396" i="6"/>
  <c r="O2396" i="6"/>
  <c r="P1283" i="6"/>
  <c r="O1283" i="6"/>
  <c r="P1246" i="6"/>
  <c r="O1246" i="6"/>
  <c r="O393" i="6"/>
  <c r="P393" i="6"/>
  <c r="O956" i="6"/>
  <c r="P956" i="6"/>
  <c r="O1561" i="6"/>
  <c r="P1561" i="6"/>
  <c r="N1556" i="6"/>
  <c r="N1618" i="6"/>
  <c r="N1326" i="6"/>
  <c r="N1324" i="6"/>
  <c r="N852" i="6"/>
  <c r="N816" i="6"/>
  <c r="N376" i="6"/>
  <c r="N321" i="6"/>
  <c r="N942" i="6"/>
  <c r="N1243" i="6"/>
  <c r="N905" i="6"/>
  <c r="N791" i="6"/>
  <c r="N575" i="6"/>
  <c r="N1019" i="6"/>
  <c r="N278" i="6"/>
  <c r="N714" i="6"/>
  <c r="N394" i="6"/>
  <c r="N281" i="6"/>
  <c r="N295" i="6"/>
  <c r="N242" i="6"/>
  <c r="N845" i="6"/>
  <c r="N18" i="6"/>
  <c r="N922" i="6"/>
  <c r="N705" i="6"/>
  <c r="N735" i="6"/>
  <c r="N94" i="6"/>
  <c r="N758" i="6"/>
  <c r="N1368" i="6"/>
  <c r="N1809" i="6"/>
  <c r="N729" i="6"/>
  <c r="N471" i="6"/>
  <c r="N224" i="6"/>
  <c r="N351" i="6"/>
  <c r="N428" i="6"/>
  <c r="N370" i="6"/>
  <c r="N353" i="6"/>
  <c r="N1066" i="6"/>
  <c r="N915" i="6"/>
  <c r="N119" i="6"/>
  <c r="N590" i="6"/>
  <c r="N1585" i="6"/>
  <c r="N2161" i="6"/>
  <c r="N1991" i="6"/>
  <c r="N2187" i="6"/>
  <c r="N221" i="6"/>
  <c r="N1192" i="6"/>
  <c r="N1939" i="6"/>
  <c r="N2263" i="6"/>
  <c r="N116" i="6"/>
  <c r="N2560" i="6"/>
  <c r="N2299" i="6"/>
  <c r="N1541" i="6"/>
  <c r="N1798" i="6"/>
  <c r="N1048" i="6"/>
  <c r="P1808" i="6"/>
  <c r="O1808" i="6"/>
  <c r="O1904" i="6"/>
  <c r="P1904" i="6"/>
  <c r="P1949" i="6"/>
  <c r="O1949" i="6"/>
  <c r="O1738" i="6"/>
  <c r="P1738" i="6"/>
  <c r="N173" i="3"/>
  <c r="L173" i="3"/>
  <c r="F12" i="4"/>
  <c r="I12" i="4" s="1"/>
  <c r="F17" i="4"/>
  <c r="I17" i="4" s="1"/>
  <c r="F13" i="4"/>
  <c r="I13" i="4" s="1"/>
  <c r="F15" i="4"/>
  <c r="I15" i="4" s="1"/>
  <c r="F8" i="4"/>
  <c r="I8" i="4" s="1"/>
  <c r="F14" i="4"/>
  <c r="I14" i="4" s="1"/>
  <c r="F9" i="4"/>
  <c r="I9" i="4" s="1"/>
  <c r="P2710" i="6"/>
  <c r="O2710" i="6"/>
  <c r="P1970" i="6"/>
  <c r="O1970" i="6"/>
  <c r="P1716" i="6"/>
  <c r="O1716" i="6"/>
  <c r="E12" i="5"/>
  <c r="O652" i="6"/>
  <c r="P652" i="6"/>
  <c r="O2350" i="6"/>
  <c r="P2350" i="6"/>
  <c r="O382" i="6"/>
  <c r="P382" i="6"/>
  <c r="O1062" i="6"/>
  <c r="P1062" i="6"/>
  <c r="P2420" i="6"/>
  <c r="O2420" i="6"/>
  <c r="O1427" i="6"/>
  <c r="P1427" i="6"/>
  <c r="P781" i="6"/>
  <c r="O781" i="6"/>
  <c r="O214" i="6"/>
  <c r="P214" i="6"/>
  <c r="O1210" i="6"/>
  <c r="P1210" i="6"/>
  <c r="O1858" i="6"/>
  <c r="P1858" i="6"/>
  <c r="O2458" i="6"/>
  <c r="P2458" i="6"/>
  <c r="O906" i="6"/>
  <c r="P906" i="6"/>
  <c r="P1921" i="6"/>
  <c r="O1921" i="6"/>
  <c r="O881" i="6"/>
  <c r="P881" i="6"/>
  <c r="O1281" i="6"/>
  <c r="P1281" i="6"/>
  <c r="O2555" i="6"/>
  <c r="P2555" i="6"/>
  <c r="P1639" i="6"/>
  <c r="O1639" i="6"/>
  <c r="P384" i="6"/>
  <c r="O384" i="6"/>
  <c r="O51" i="6"/>
  <c r="P51" i="6"/>
  <c r="O1158" i="6"/>
  <c r="P1158" i="6"/>
  <c r="O1960" i="6"/>
  <c r="P1960" i="6"/>
  <c r="O2373" i="6"/>
  <c r="P2373" i="6"/>
  <c r="P1480" i="6"/>
  <c r="O1480" i="6"/>
  <c r="O1360" i="6"/>
  <c r="P1360" i="6"/>
  <c r="O1756" i="6"/>
  <c r="P1756" i="6"/>
  <c r="H159" i="3"/>
  <c r="I159" i="3" s="1"/>
  <c r="G16" i="4" s="1"/>
  <c r="H16" i="4" s="1"/>
  <c r="P480" i="6"/>
  <c r="O480" i="6"/>
  <c r="P1700" i="6"/>
  <c r="O1700" i="6"/>
  <c r="P2051" i="6"/>
  <c r="O2051" i="6"/>
  <c r="O2619" i="6"/>
  <c r="P2619" i="6"/>
  <c r="P1693" i="6"/>
  <c r="O1693" i="6"/>
  <c r="P239" i="6"/>
  <c r="O239" i="6"/>
  <c r="P2136" i="6"/>
  <c r="O2136" i="6"/>
  <c r="P260" i="6"/>
  <c r="O260" i="6"/>
  <c r="O2227" i="6"/>
  <c r="P2227" i="6"/>
  <c r="P997" i="6"/>
  <c r="O997" i="6"/>
  <c r="P831" i="6"/>
  <c r="O831" i="6"/>
  <c r="P1806" i="6"/>
  <c r="O1806" i="6"/>
  <c r="O406" i="6"/>
  <c r="P406" i="6"/>
  <c r="P631" i="6"/>
  <c r="O631" i="6"/>
  <c r="P1482" i="6"/>
  <c r="O1482" i="6"/>
  <c r="O2442" i="6"/>
  <c r="P2442" i="6"/>
  <c r="O1092" i="6"/>
  <c r="P1092" i="6"/>
  <c r="O174" i="6"/>
  <c r="P174" i="6"/>
  <c r="O624" i="6"/>
  <c r="P624" i="6"/>
  <c r="O994" i="6"/>
  <c r="P994" i="6"/>
  <c r="P2072" i="6"/>
  <c r="O2072" i="6"/>
  <c r="P2107" i="6"/>
  <c r="O2107" i="6"/>
  <c r="P1520" i="6"/>
  <c r="O1520" i="6"/>
  <c r="P1958" i="6"/>
  <c r="O1958" i="6"/>
  <c r="O1249" i="6"/>
  <c r="P1249" i="6"/>
  <c r="P1097" i="6"/>
  <c r="O1097" i="6"/>
  <c r="H14" i="3"/>
  <c r="I14" i="3" s="1"/>
  <c r="P123" i="6"/>
  <c r="O123" i="6"/>
  <c r="O418" i="6"/>
  <c r="P418" i="6"/>
  <c r="P1476" i="6"/>
  <c r="O1476" i="6"/>
  <c r="P673" i="6"/>
  <c r="O673" i="6"/>
  <c r="O1401" i="6"/>
  <c r="P1401" i="6"/>
  <c r="O252" i="6"/>
  <c r="P252" i="6"/>
  <c r="P546" i="6"/>
  <c r="O546" i="6"/>
  <c r="O902" i="6"/>
  <c r="P902" i="6"/>
  <c r="N61" i="3"/>
  <c r="L61" i="3"/>
  <c r="O1851" i="6"/>
  <c r="P1851" i="6"/>
  <c r="N117" i="3"/>
  <c r="N2703" i="6" s="1"/>
  <c r="L117" i="3"/>
  <c r="O2041" i="6"/>
  <c r="P2041" i="6"/>
  <c r="P70" i="6"/>
  <c r="O70" i="6"/>
  <c r="P2122" i="6"/>
  <c r="O2122" i="6"/>
  <c r="O676" i="6"/>
  <c r="P676" i="6"/>
  <c r="P671" i="6"/>
  <c r="O671" i="6"/>
  <c r="O1593" i="6"/>
  <c r="P1593" i="6"/>
  <c r="O2310" i="6"/>
  <c r="P2310" i="6"/>
  <c r="P217" i="6"/>
  <c r="O217" i="6"/>
  <c r="O307" i="6"/>
  <c r="P307" i="6"/>
  <c r="O629" i="6"/>
  <c r="P629" i="6"/>
  <c r="O1076" i="6"/>
  <c r="P1076" i="6"/>
  <c r="O2349" i="6"/>
  <c r="P2349" i="6"/>
  <c r="N1665" i="6"/>
  <c r="N2262" i="6"/>
  <c r="N1485" i="6"/>
  <c r="N1353" i="6"/>
  <c r="N1293" i="6"/>
  <c r="N1408" i="6"/>
  <c r="N1823" i="6"/>
  <c r="N1166" i="6"/>
  <c r="N855" i="6"/>
  <c r="N554" i="6"/>
  <c r="N1752" i="6"/>
  <c r="N1442" i="6"/>
  <c r="N2089" i="6"/>
  <c r="N2176" i="6"/>
  <c r="N1251" i="6"/>
  <c r="N2266" i="6"/>
  <c r="P1170" i="6"/>
  <c r="O1170" i="6"/>
  <c r="P2175" i="6"/>
  <c r="O2175" i="6"/>
  <c r="P1344" i="6"/>
  <c r="O1344" i="6"/>
  <c r="O99" i="6"/>
  <c r="P99" i="6"/>
  <c r="O968" i="6"/>
  <c r="P968" i="6"/>
  <c r="P2445" i="6"/>
  <c r="O2445" i="6"/>
  <c r="O987" i="6"/>
  <c r="P987" i="6"/>
  <c r="P2652" i="6"/>
  <c r="O2652" i="6"/>
  <c r="O973" i="6"/>
  <c r="P973" i="6"/>
  <c r="P2471" i="6"/>
  <c r="O2471" i="6"/>
  <c r="O287" i="6"/>
  <c r="P287" i="6"/>
  <c r="P507" i="6"/>
  <c r="O507" i="6"/>
  <c r="O407" i="6"/>
  <c r="P407" i="6"/>
  <c r="P1656" i="6"/>
  <c r="O1656" i="6"/>
  <c r="P1523" i="6"/>
  <c r="O1523" i="6"/>
  <c r="P1643" i="6"/>
  <c r="O1643" i="6"/>
  <c r="O1397" i="6"/>
  <c r="P1397" i="6"/>
  <c r="O858" i="6"/>
  <c r="P858" i="6"/>
  <c r="O1279" i="6"/>
  <c r="P1279" i="6"/>
  <c r="O2151" i="6"/>
  <c r="P2151" i="6"/>
  <c r="K33" i="3"/>
  <c r="J33" i="3"/>
  <c r="P1073" i="6"/>
  <c r="O1073" i="6"/>
  <c r="O1629" i="6"/>
  <c r="P1629" i="6"/>
  <c r="P1871" i="6"/>
  <c r="O1871" i="6"/>
  <c r="O2281" i="6"/>
  <c r="P2281" i="6"/>
  <c r="O402" i="6"/>
  <c r="P402" i="6"/>
  <c r="P1765" i="6"/>
  <c r="O1765" i="6"/>
  <c r="P1332" i="6"/>
  <c r="O1332" i="6"/>
  <c r="P1420" i="6"/>
  <c r="O1420" i="6"/>
  <c r="P1734" i="6"/>
  <c r="O1734" i="6"/>
  <c r="P1378" i="6"/>
  <c r="O1378" i="6"/>
  <c r="P2788" i="6"/>
  <c r="O2788" i="6"/>
  <c r="P2808" i="6"/>
  <c r="O2808" i="6"/>
  <c r="O2318" i="6"/>
  <c r="P2318" i="6"/>
  <c r="P693" i="6"/>
  <c r="O693" i="6"/>
  <c r="O2640" i="6"/>
  <c r="P2640" i="6"/>
  <c r="P750" i="6"/>
  <c r="O750" i="6"/>
  <c r="O509" i="6"/>
  <c r="P509" i="6"/>
  <c r="O654" i="6"/>
  <c r="P654" i="6"/>
  <c r="O1962" i="6"/>
  <c r="P1962" i="6"/>
  <c r="P2433" i="6"/>
  <c r="O2433" i="6"/>
  <c r="P2043" i="6"/>
  <c r="O2043" i="6"/>
  <c r="P904" i="6"/>
  <c r="O904" i="6"/>
  <c r="P381" i="6"/>
  <c r="O381" i="6"/>
  <c r="O1691" i="6"/>
  <c r="P1691" i="6"/>
  <c r="O2267" i="6"/>
  <c r="P2267" i="6"/>
  <c r="O2511" i="6"/>
  <c r="P2511" i="6"/>
  <c r="O1569" i="6"/>
  <c r="P1569" i="6"/>
  <c r="N87" i="3"/>
  <c r="L87" i="3"/>
  <c r="P1857" i="6"/>
  <c r="O1857" i="6"/>
  <c r="P1126" i="6"/>
  <c r="O1126" i="6"/>
  <c r="O154" i="6"/>
  <c r="P154" i="6"/>
  <c r="P357" i="6"/>
  <c r="O357" i="6"/>
  <c r="P1888" i="6"/>
  <c r="O1888" i="6"/>
  <c r="O1894" i="6"/>
  <c r="P1894" i="6"/>
  <c r="O1201" i="6"/>
  <c r="P1201" i="6"/>
  <c r="P1474" i="6"/>
  <c r="O1474" i="6"/>
  <c r="P420" i="6"/>
  <c r="O420" i="6"/>
  <c r="P1900" i="6"/>
  <c r="O1900" i="6"/>
  <c r="O2397" i="6"/>
  <c r="P2397" i="6"/>
  <c r="O498" i="6"/>
  <c r="P498" i="6"/>
  <c r="P2068" i="6"/>
  <c r="O2068" i="6"/>
  <c r="H89" i="3"/>
  <c r="J89" i="3" s="1"/>
  <c r="P1083" i="6"/>
  <c r="O1083" i="6"/>
  <c r="K88" i="3"/>
  <c r="J88" i="3"/>
  <c r="J75" i="3"/>
  <c r="F10" i="4" s="1"/>
  <c r="I10" i="4" s="1"/>
  <c r="K75" i="3"/>
  <c r="P716" i="6"/>
  <c r="O716" i="6"/>
  <c r="O1505" i="6"/>
  <c r="P1505" i="6"/>
  <c r="O2725" i="6"/>
  <c r="P2725" i="6"/>
  <c r="L158" i="3"/>
  <c r="N158" i="3"/>
  <c r="O1273" i="6"/>
  <c r="P1273" i="6"/>
  <c r="P2804" i="6"/>
  <c r="O2804" i="6"/>
  <c r="P777" i="6"/>
  <c r="O777" i="6"/>
  <c r="P1936" i="6"/>
  <c r="O1936" i="6"/>
  <c r="E10" i="5"/>
  <c r="N2874" i="6"/>
  <c r="N2719" i="6"/>
  <c r="N2683" i="6"/>
  <c r="N2810" i="6"/>
  <c r="N2869" i="6"/>
  <c r="N2643" i="6"/>
  <c r="N2360" i="6"/>
  <c r="N2422" i="6"/>
  <c r="N2300" i="6"/>
  <c r="N2646" i="6"/>
  <c r="N2486" i="6"/>
  <c r="N1964" i="6"/>
  <c r="N2240" i="6"/>
  <c r="N2411" i="6"/>
  <c r="N1994" i="6"/>
  <c r="N1859" i="6"/>
  <c r="N1670" i="6"/>
  <c r="N1757" i="6"/>
  <c r="N1518" i="6"/>
  <c r="N1776" i="6"/>
  <c r="N1709" i="6"/>
  <c r="N1130" i="6"/>
  <c r="N2025" i="6"/>
  <c r="N1290" i="6"/>
  <c r="N1383" i="6"/>
  <c r="N1225" i="6"/>
  <c r="N1724" i="6"/>
  <c r="N1440" i="6"/>
  <c r="N1176" i="6"/>
  <c r="N1009" i="6"/>
  <c r="N523" i="6"/>
  <c r="N593" i="6"/>
  <c r="N539" i="6"/>
  <c r="N102" i="6"/>
  <c r="N333" i="6"/>
  <c r="N390" i="6"/>
  <c r="N576" i="6"/>
  <c r="N1719" i="6"/>
  <c r="N1667" i="6"/>
  <c r="N350" i="6"/>
  <c r="N745" i="6"/>
  <c r="N41" i="6"/>
  <c r="N362" i="6"/>
  <c r="N299" i="6"/>
  <c r="N907" i="6"/>
  <c r="N516" i="6"/>
  <c r="N988" i="6"/>
  <c r="N1451" i="6"/>
  <c r="N1655" i="6"/>
  <c r="N1219" i="6"/>
  <c r="N1271" i="6"/>
  <c r="N1064" i="6"/>
  <c r="N1156" i="6"/>
  <c r="N1673" i="6"/>
  <c r="N2359" i="6"/>
  <c r="N2268" i="6"/>
  <c r="N2585" i="6"/>
  <c r="N1352" i="6"/>
  <c r="N1580" i="6"/>
  <c r="N2218" i="6"/>
  <c r="N2245" i="6"/>
  <c r="P17" i="6"/>
  <c r="O17" i="6"/>
  <c r="P737" i="6"/>
  <c r="O737" i="6"/>
  <c r="P311" i="6"/>
  <c r="O311" i="6"/>
  <c r="P439" i="6"/>
  <c r="O439" i="6"/>
  <c r="O2547" i="6"/>
  <c r="P2547" i="6"/>
  <c r="O2572" i="6"/>
  <c r="P2572" i="6"/>
  <c r="P580" i="6"/>
  <c r="O580" i="6"/>
  <c r="P229" i="6"/>
  <c r="O229" i="6"/>
  <c r="P1486" i="6"/>
  <c r="O1486" i="6"/>
  <c r="P1696" i="6"/>
  <c r="O1696" i="6"/>
  <c r="P1052" i="6"/>
  <c r="O1052" i="6"/>
  <c r="P2078" i="6"/>
  <c r="O2078" i="6"/>
  <c r="F11" i="4" l="1"/>
  <c r="I11" i="4" s="1"/>
  <c r="I89" i="3"/>
  <c r="G11" i="4" s="1"/>
  <c r="H11" i="4" s="1"/>
  <c r="D15" i="3"/>
  <c r="F15" i="3" s="1"/>
  <c r="E26" i="1"/>
  <c r="O1485" i="6"/>
  <c r="P1485" i="6"/>
  <c r="P2870" i="6"/>
  <c r="O2870" i="6"/>
  <c r="P1251" i="6"/>
  <c r="O1251" i="6"/>
  <c r="P1939" i="6"/>
  <c r="O1939" i="6"/>
  <c r="P370" i="6"/>
  <c r="O370" i="6"/>
  <c r="O922" i="6"/>
  <c r="P922" i="6"/>
  <c r="P905" i="6"/>
  <c r="O905" i="6"/>
  <c r="O1580" i="6"/>
  <c r="P1580" i="6"/>
  <c r="P988" i="6"/>
  <c r="O988" i="6"/>
  <c r="P333" i="6"/>
  <c r="O333" i="6"/>
  <c r="O2025" i="6"/>
  <c r="P2025" i="6"/>
  <c r="O2486" i="6"/>
  <c r="P2486" i="6"/>
  <c r="P2176" i="6"/>
  <c r="O2176" i="6"/>
  <c r="P2262" i="6"/>
  <c r="O2262" i="6"/>
  <c r="P1192" i="6"/>
  <c r="O1192" i="6"/>
  <c r="O428" i="6"/>
  <c r="P428" i="6"/>
  <c r="O18" i="6"/>
  <c r="P18" i="6"/>
  <c r="O1243" i="6"/>
  <c r="P1243" i="6"/>
  <c r="P2713" i="6"/>
  <c r="O2713" i="6"/>
  <c r="O1290" i="6"/>
  <c r="P1290" i="6"/>
  <c r="P1352" i="6"/>
  <c r="O1352" i="6"/>
  <c r="O516" i="6"/>
  <c r="P516" i="6"/>
  <c r="O102" i="6"/>
  <c r="P102" i="6"/>
  <c r="P1130" i="6"/>
  <c r="O1130" i="6"/>
  <c r="P2646" i="6"/>
  <c r="O2646" i="6"/>
  <c r="O2089" i="6"/>
  <c r="P2089" i="6"/>
  <c r="O1665" i="6"/>
  <c r="P1665" i="6"/>
  <c r="K14" i="3"/>
  <c r="J14" i="3"/>
  <c r="P221" i="6"/>
  <c r="O221" i="6"/>
  <c r="P351" i="6"/>
  <c r="O351" i="6"/>
  <c r="P845" i="6"/>
  <c r="O845" i="6"/>
  <c r="O942" i="6"/>
  <c r="P942" i="6"/>
  <c r="P2854" i="6"/>
  <c r="O2854" i="6"/>
  <c r="P390" i="6"/>
  <c r="O390" i="6"/>
  <c r="O539" i="6"/>
  <c r="P539" i="6"/>
  <c r="P593" i="6"/>
  <c r="O593" i="6"/>
  <c r="N33" i="3"/>
  <c r="L33" i="3"/>
  <c r="O362" i="6"/>
  <c r="P362" i="6"/>
  <c r="P2161" i="6"/>
  <c r="O2161" i="6"/>
  <c r="O2300" i="6"/>
  <c r="P2300" i="6"/>
  <c r="O242" i="6"/>
  <c r="P242" i="6"/>
  <c r="O2703" i="6"/>
  <c r="P2703" i="6"/>
  <c r="O295" i="6"/>
  <c r="P295" i="6"/>
  <c r="P1518" i="6"/>
  <c r="O1518" i="6"/>
  <c r="P41" i="6"/>
  <c r="O41" i="6"/>
  <c r="P1757" i="6"/>
  <c r="O1757" i="6"/>
  <c r="O2643" i="6"/>
  <c r="P2643" i="6"/>
  <c r="N75" i="3"/>
  <c r="L75" i="3"/>
  <c r="N36" i="6"/>
  <c r="N89" i="6"/>
  <c r="O855" i="6"/>
  <c r="P855" i="6"/>
  <c r="F7" i="4"/>
  <c r="I7" i="4" s="1"/>
  <c r="P1798" i="6"/>
  <c r="O1798" i="6"/>
  <c r="O1585" i="6"/>
  <c r="P1585" i="6"/>
  <c r="P1809" i="6"/>
  <c r="O1809" i="6"/>
  <c r="O394" i="6"/>
  <c r="P394" i="6"/>
  <c r="O852" i="6"/>
  <c r="P852" i="6"/>
  <c r="P2218" i="6"/>
  <c r="O2218" i="6"/>
  <c r="P2187" i="6"/>
  <c r="O2187" i="6"/>
  <c r="P1776" i="6"/>
  <c r="O1776" i="6"/>
  <c r="P376" i="6"/>
  <c r="O376" i="6"/>
  <c r="P2359" i="6"/>
  <c r="O2359" i="6"/>
  <c r="P554" i="6"/>
  <c r="O554" i="6"/>
  <c r="O816" i="6"/>
  <c r="P816" i="6"/>
  <c r="P1009" i="6"/>
  <c r="O1009" i="6"/>
  <c r="O745" i="6"/>
  <c r="P745" i="6"/>
  <c r="O1670" i="6"/>
  <c r="P1670" i="6"/>
  <c r="O1166" i="6"/>
  <c r="P1166" i="6"/>
  <c r="O1541" i="6"/>
  <c r="P1541" i="6"/>
  <c r="O590" i="6"/>
  <c r="P590" i="6"/>
  <c r="P1368" i="6"/>
  <c r="O1368" i="6"/>
  <c r="O714" i="6"/>
  <c r="P714" i="6"/>
  <c r="P1324" i="6"/>
  <c r="O1324" i="6"/>
  <c r="E13" i="5"/>
  <c r="P2585" i="6"/>
  <c r="O2585" i="6"/>
  <c r="P1442" i="6"/>
  <c r="O1442" i="6"/>
  <c r="O2268" i="6"/>
  <c r="P2268" i="6"/>
  <c r="P1752" i="6"/>
  <c r="O1752" i="6"/>
  <c r="P471" i="6"/>
  <c r="O471" i="6"/>
  <c r="P2360" i="6"/>
  <c r="O2360" i="6"/>
  <c r="O1048" i="6"/>
  <c r="P1048" i="6"/>
  <c r="P1064" i="6"/>
  <c r="O1064" i="6"/>
  <c r="O1440" i="6"/>
  <c r="P1440" i="6"/>
  <c r="O2810" i="6"/>
  <c r="P2810" i="6"/>
  <c r="O1823" i="6"/>
  <c r="P1823" i="6"/>
  <c r="N2642" i="6"/>
  <c r="N2120" i="6"/>
  <c r="N2049" i="6"/>
  <c r="N1832" i="6"/>
  <c r="N1718" i="6"/>
  <c r="N1461" i="6"/>
  <c r="N1760" i="6"/>
  <c r="N1300" i="6"/>
  <c r="N1129" i="6"/>
  <c r="N1274" i="6"/>
  <c r="N1431" i="6"/>
  <c r="N1151" i="6"/>
  <c r="N1465" i="6"/>
  <c r="N1316" i="6"/>
  <c r="N508" i="6"/>
  <c r="N1085" i="6"/>
  <c r="N1417" i="6"/>
  <c r="N503" i="6"/>
  <c r="N621" i="6"/>
  <c r="N226" i="6"/>
  <c r="N511" i="6"/>
  <c r="N319" i="6"/>
  <c r="N59" i="6"/>
  <c r="N865" i="6"/>
  <c r="N199" i="6"/>
  <c r="N203" i="6"/>
  <c r="N289" i="6"/>
  <c r="N141" i="6"/>
  <c r="N738" i="6"/>
  <c r="N1741" i="6"/>
  <c r="N1379" i="6"/>
  <c r="N1942" i="6"/>
  <c r="N163" i="6"/>
  <c r="N512" i="6"/>
  <c r="N29" i="6"/>
  <c r="N1206" i="6"/>
  <c r="N1357" i="6"/>
  <c r="N69" i="6"/>
  <c r="N164" i="6"/>
  <c r="N168" i="6"/>
  <c r="N1439" i="6"/>
  <c r="N2537" i="6"/>
  <c r="N1179" i="6"/>
  <c r="N2532" i="6"/>
  <c r="K159" i="3"/>
  <c r="J159" i="3"/>
  <c r="E16" i="4"/>
  <c r="N2593" i="6"/>
  <c r="N2578" i="6"/>
  <c r="N2463" i="6"/>
  <c r="N2252" i="6"/>
  <c r="N2185" i="6"/>
  <c r="N2297" i="6"/>
  <c r="N1824" i="6"/>
  <c r="N1803" i="6"/>
  <c r="N1698" i="6"/>
  <c r="N1578" i="6"/>
  <c r="N1525" i="6"/>
  <c r="N1312" i="6"/>
  <c r="N935" i="6"/>
  <c r="N926" i="6"/>
  <c r="N1037" i="6"/>
  <c r="N1342" i="6"/>
  <c r="N1230" i="6"/>
  <c r="N462" i="6"/>
  <c r="N834" i="6"/>
  <c r="N1161" i="6"/>
  <c r="N1266" i="6"/>
  <c r="N946" i="6"/>
  <c r="N1028" i="6"/>
  <c r="N489" i="6"/>
  <c r="N634" i="6"/>
  <c r="N622" i="6"/>
  <c r="N132" i="6"/>
  <c r="N111" i="6"/>
  <c r="N269" i="6"/>
  <c r="N562" i="6"/>
  <c r="N120" i="6"/>
  <c r="N1016" i="6"/>
  <c r="N380" i="6"/>
  <c r="N798" i="6"/>
  <c r="N825" i="6"/>
  <c r="N1429" i="6"/>
  <c r="N1706" i="6"/>
  <c r="N1671" i="6"/>
  <c r="N254" i="6"/>
  <c r="N604" i="6"/>
  <c r="N1008" i="6"/>
  <c r="N1346" i="6"/>
  <c r="N1404" i="6"/>
  <c r="N1955" i="6"/>
  <c r="N466" i="6"/>
  <c r="N1398" i="6"/>
  <c r="N1982" i="6"/>
  <c r="N2237" i="6"/>
  <c r="N2301" i="6"/>
  <c r="N2487" i="6"/>
  <c r="N1607" i="6"/>
  <c r="N2229" i="6"/>
  <c r="N2531" i="6"/>
  <c r="O2299" i="6"/>
  <c r="P2299" i="6"/>
  <c r="P119" i="6"/>
  <c r="O119" i="6"/>
  <c r="O758" i="6"/>
  <c r="P758" i="6"/>
  <c r="O278" i="6"/>
  <c r="P278" i="6"/>
  <c r="P1326" i="6"/>
  <c r="O1326" i="6"/>
  <c r="F13" i="5"/>
  <c r="G13" i="5" s="1"/>
  <c r="O281" i="6"/>
  <c r="P281" i="6"/>
  <c r="P1673" i="6"/>
  <c r="O1673" i="6"/>
  <c r="O1156" i="6"/>
  <c r="P1156" i="6"/>
  <c r="O1176" i="6"/>
  <c r="P1176" i="6"/>
  <c r="O2869" i="6"/>
  <c r="P2869" i="6"/>
  <c r="L88" i="3"/>
  <c r="N88" i="3"/>
  <c r="N79" i="6" s="1"/>
  <c r="O350" i="6"/>
  <c r="P350" i="6"/>
  <c r="O1859" i="6"/>
  <c r="P1859" i="6"/>
  <c r="O1271" i="6"/>
  <c r="P1271" i="6"/>
  <c r="O1667" i="6"/>
  <c r="P1667" i="6"/>
  <c r="O1724" i="6"/>
  <c r="P1724" i="6"/>
  <c r="O1994" i="6"/>
  <c r="P1994" i="6"/>
  <c r="O2683" i="6"/>
  <c r="P2683" i="6"/>
  <c r="N2598" i="6"/>
  <c r="N2624" i="6"/>
  <c r="N2334" i="6"/>
  <c r="N2329" i="6"/>
  <c r="N2058" i="6"/>
  <c r="N2004" i="6"/>
  <c r="N2115" i="6"/>
  <c r="N2037" i="6"/>
  <c r="N1178" i="6"/>
  <c r="N655" i="6"/>
  <c r="N697" i="6"/>
  <c r="N649" i="6"/>
  <c r="N589" i="6"/>
  <c r="N821" i="6"/>
  <c r="N505" i="6"/>
  <c r="N1006" i="6"/>
  <c r="N1212" i="6"/>
  <c r="N872" i="6"/>
  <c r="N952" i="6"/>
  <c r="N1385" i="6"/>
  <c r="N793" i="6"/>
  <c r="N1544" i="6"/>
  <c r="N2027" i="6"/>
  <c r="N1537" i="6"/>
  <c r="N1479" i="6"/>
  <c r="N2665" i="6"/>
  <c r="N2552" i="6"/>
  <c r="N2431" i="6"/>
  <c r="P1408" i="6"/>
  <c r="O1408" i="6"/>
  <c r="O2560" i="6"/>
  <c r="P2560" i="6"/>
  <c r="P915" i="6"/>
  <c r="O915" i="6"/>
  <c r="O94" i="6"/>
  <c r="P94" i="6"/>
  <c r="P1019" i="6"/>
  <c r="O1019" i="6"/>
  <c r="P1618" i="6"/>
  <c r="O1618" i="6"/>
  <c r="P1451" i="6"/>
  <c r="O1451" i="6"/>
  <c r="P1709" i="6"/>
  <c r="F21" i="5" s="1"/>
  <c r="G21" i="5" s="1"/>
  <c r="O1709" i="6"/>
  <c r="E21" i="5" s="1"/>
  <c r="O321" i="6"/>
  <c r="P321" i="6"/>
  <c r="O2422" i="6"/>
  <c r="P2422" i="6"/>
  <c r="O729" i="6"/>
  <c r="P729" i="6"/>
  <c r="O1293" i="6"/>
  <c r="P1293" i="6"/>
  <c r="O116" i="6"/>
  <c r="P116" i="6"/>
  <c r="P1066" i="6"/>
  <c r="O1066" i="6"/>
  <c r="O735" i="6"/>
  <c r="P735" i="6"/>
  <c r="O575" i="6"/>
  <c r="P575" i="6"/>
  <c r="O1556" i="6"/>
  <c r="P1556" i="6"/>
  <c r="O1964" i="6"/>
  <c r="P1964" i="6"/>
  <c r="O907" i="6"/>
  <c r="P907" i="6"/>
  <c r="P224" i="6"/>
  <c r="O224" i="6"/>
  <c r="O299" i="6"/>
  <c r="P299" i="6"/>
  <c r="P1991" i="6"/>
  <c r="O1991" i="6"/>
  <c r="P523" i="6"/>
  <c r="O523" i="6"/>
  <c r="P1219" i="6"/>
  <c r="O1219" i="6"/>
  <c r="P1719" i="6"/>
  <c r="O1719" i="6"/>
  <c r="O1225" i="6"/>
  <c r="P1225" i="6"/>
  <c r="P2411" i="6"/>
  <c r="O2411" i="6"/>
  <c r="P2719" i="6"/>
  <c r="O2719" i="6"/>
  <c r="O2245" i="6"/>
  <c r="P2245" i="6"/>
  <c r="P1655" i="6"/>
  <c r="O1655" i="6"/>
  <c r="P576" i="6"/>
  <c r="O576" i="6"/>
  <c r="O1383" i="6"/>
  <c r="P1383" i="6"/>
  <c r="O2240" i="6"/>
  <c r="P2240" i="6"/>
  <c r="P2874" i="6"/>
  <c r="O2874" i="6"/>
  <c r="O2266" i="6"/>
  <c r="P2266" i="6"/>
  <c r="O1353" i="6"/>
  <c r="P1353" i="6"/>
  <c r="P2263" i="6"/>
  <c r="O2263" i="6"/>
  <c r="O353" i="6"/>
  <c r="P353" i="6"/>
  <c r="P705" i="6"/>
  <c r="O705" i="6"/>
  <c r="P791" i="6"/>
  <c r="O791" i="6"/>
  <c r="E11" i="4"/>
  <c r="O2665" i="6" l="1"/>
  <c r="P2665" i="6"/>
  <c r="P821" i="6"/>
  <c r="O821" i="6"/>
  <c r="O2624" i="6"/>
  <c r="P2624" i="6"/>
  <c r="P1955" i="6"/>
  <c r="O1955" i="6"/>
  <c r="O1016" i="6"/>
  <c r="P1016" i="6"/>
  <c r="P1161" i="6"/>
  <c r="O1161" i="6"/>
  <c r="O1803" i="6"/>
  <c r="P1803" i="6"/>
  <c r="P1179" i="6"/>
  <c r="O1179" i="6"/>
  <c r="P1379" i="6"/>
  <c r="O1379" i="6"/>
  <c r="P621" i="6"/>
  <c r="O621" i="6"/>
  <c r="P1760" i="6"/>
  <c r="O1760" i="6"/>
  <c r="P589" i="6"/>
  <c r="O589" i="6"/>
  <c r="P1404" i="6"/>
  <c r="O1404" i="6"/>
  <c r="P120" i="6"/>
  <c r="O120" i="6"/>
  <c r="P834" i="6"/>
  <c r="O834" i="6"/>
  <c r="P1824" i="6"/>
  <c r="O1824" i="6"/>
  <c r="P2537" i="6"/>
  <c r="O2537" i="6"/>
  <c r="P1741" i="6"/>
  <c r="O1741" i="6"/>
  <c r="O503" i="6"/>
  <c r="P503" i="6"/>
  <c r="O1461" i="6"/>
  <c r="P1461" i="6"/>
  <c r="P1479" i="6"/>
  <c r="O1479" i="6"/>
  <c r="O1537" i="6"/>
  <c r="P1537" i="6"/>
  <c r="O649" i="6"/>
  <c r="P649" i="6"/>
  <c r="O1346" i="6"/>
  <c r="P1346" i="6"/>
  <c r="O562" i="6"/>
  <c r="P562" i="6"/>
  <c r="P462" i="6"/>
  <c r="O462" i="6"/>
  <c r="O2297" i="6"/>
  <c r="P2297" i="6"/>
  <c r="O1439" i="6"/>
  <c r="P1439" i="6"/>
  <c r="P738" i="6"/>
  <c r="O738" i="6"/>
  <c r="O1417" i="6"/>
  <c r="P1417" i="6"/>
  <c r="P1718" i="6"/>
  <c r="O1718" i="6"/>
  <c r="F26" i="1"/>
  <c r="N14" i="3"/>
  <c r="L14" i="3"/>
  <c r="O2598" i="6"/>
  <c r="P2598" i="6"/>
  <c r="P2027" i="6"/>
  <c r="O2027" i="6"/>
  <c r="O697" i="6"/>
  <c r="P697" i="6"/>
  <c r="P2531" i="6"/>
  <c r="O2531" i="6"/>
  <c r="P1008" i="6"/>
  <c r="O1008" i="6"/>
  <c r="O269" i="6"/>
  <c r="P269" i="6"/>
  <c r="P1230" i="6"/>
  <c r="O1230" i="6"/>
  <c r="O2185" i="6"/>
  <c r="P2185" i="6"/>
  <c r="P168" i="6"/>
  <c r="O168" i="6"/>
  <c r="O141" i="6"/>
  <c r="P141" i="6"/>
  <c r="O1085" i="6"/>
  <c r="P1085" i="6"/>
  <c r="P1832" i="6"/>
  <c r="O1832" i="6"/>
  <c r="P1342" i="6"/>
  <c r="O1342" i="6"/>
  <c r="O2252" i="6"/>
  <c r="P2252" i="6"/>
  <c r="O164" i="6"/>
  <c r="P164" i="6"/>
  <c r="P289" i="6"/>
  <c r="O289" i="6"/>
  <c r="O508" i="6"/>
  <c r="P508" i="6"/>
  <c r="O2049" i="6"/>
  <c r="P2049" i="6"/>
  <c r="P89" i="6"/>
  <c r="O89" i="6"/>
  <c r="P1607" i="6"/>
  <c r="O1607" i="6"/>
  <c r="P254" i="6"/>
  <c r="O254" i="6"/>
  <c r="P132" i="6"/>
  <c r="O132" i="6"/>
  <c r="O1037" i="6"/>
  <c r="P1037" i="6"/>
  <c r="O2463" i="6"/>
  <c r="P2463" i="6"/>
  <c r="O69" i="6"/>
  <c r="P69" i="6"/>
  <c r="P203" i="6"/>
  <c r="O203" i="6"/>
  <c r="P1316" i="6"/>
  <c r="O1316" i="6"/>
  <c r="O2120" i="6"/>
  <c r="P2120" i="6"/>
  <c r="O36" i="6"/>
  <c r="P36" i="6"/>
  <c r="N2679" i="6"/>
  <c r="N2226" i="6"/>
  <c r="N2231" i="6"/>
  <c r="N2196" i="6"/>
  <c r="N2499" i="6"/>
  <c r="N2148" i="6"/>
  <c r="N1690" i="6"/>
  <c r="N1498" i="6"/>
  <c r="N1560" i="6"/>
  <c r="N2042" i="6"/>
  <c r="N1402" i="6"/>
  <c r="N1996" i="6"/>
  <c r="N962" i="6"/>
  <c r="N1196" i="6"/>
  <c r="N778" i="6"/>
  <c r="N1024" i="6"/>
  <c r="N425" i="6"/>
  <c r="N1564" i="6"/>
  <c r="N2357" i="6"/>
  <c r="N2403" i="6"/>
  <c r="P655" i="6"/>
  <c r="O655" i="6"/>
  <c r="P793" i="6"/>
  <c r="O793" i="6"/>
  <c r="P2037" i="6"/>
  <c r="O2037" i="6"/>
  <c r="P1671" i="6"/>
  <c r="O1671" i="6"/>
  <c r="P622" i="6"/>
  <c r="O622" i="6"/>
  <c r="P926" i="6"/>
  <c r="O926" i="6"/>
  <c r="P2578" i="6"/>
  <c r="O2578" i="6"/>
  <c r="O1357" i="6"/>
  <c r="P1357" i="6"/>
  <c r="O199" i="6"/>
  <c r="P199" i="6"/>
  <c r="O1465" i="6"/>
  <c r="P1465" i="6"/>
  <c r="O2642" i="6"/>
  <c r="P2642" i="6"/>
  <c r="O79" i="6"/>
  <c r="P79" i="6"/>
  <c r="P1178" i="6"/>
  <c r="O1178" i="6"/>
  <c r="P1385" i="6"/>
  <c r="O1385" i="6"/>
  <c r="P952" i="6"/>
  <c r="O952" i="6"/>
  <c r="P2115" i="6"/>
  <c r="O2115" i="6"/>
  <c r="O2301" i="6"/>
  <c r="P2301" i="6"/>
  <c r="P1706" i="6"/>
  <c r="O1706" i="6"/>
  <c r="O634" i="6"/>
  <c r="P634" i="6"/>
  <c r="P935" i="6"/>
  <c r="O935" i="6"/>
  <c r="P2593" i="6"/>
  <c r="O2593" i="6"/>
  <c r="P1206" i="6"/>
  <c r="O1206" i="6"/>
  <c r="O865" i="6"/>
  <c r="P865" i="6"/>
  <c r="P1151" i="6"/>
  <c r="O1151" i="6"/>
  <c r="N2696" i="6"/>
  <c r="N2689" i="6"/>
  <c r="O2487" i="6"/>
  <c r="P2487" i="6"/>
  <c r="O872" i="6"/>
  <c r="P872" i="6"/>
  <c r="O2004" i="6"/>
  <c r="P2004" i="6"/>
  <c r="P2237" i="6"/>
  <c r="O2237" i="6"/>
  <c r="O1429" i="6"/>
  <c r="P1429" i="6"/>
  <c r="P489" i="6"/>
  <c r="O489" i="6"/>
  <c r="P1312" i="6"/>
  <c r="O1312" i="6"/>
  <c r="O29" i="6"/>
  <c r="P29" i="6"/>
  <c r="O59" i="6"/>
  <c r="P59" i="6"/>
  <c r="O1431" i="6"/>
  <c r="P1431" i="6"/>
  <c r="P111" i="6"/>
  <c r="O111" i="6"/>
  <c r="P2058" i="6"/>
  <c r="O2058" i="6"/>
  <c r="P1982" i="6"/>
  <c r="O1982" i="6"/>
  <c r="P825" i="6"/>
  <c r="O825" i="6"/>
  <c r="O1028" i="6"/>
  <c r="P1028" i="6"/>
  <c r="O1525" i="6"/>
  <c r="P1525" i="6"/>
  <c r="N159" i="3"/>
  <c r="L159" i="3"/>
  <c r="F16" i="4"/>
  <c r="I16" i="4" s="1"/>
  <c r="P512" i="6"/>
  <c r="O512" i="6"/>
  <c r="O319" i="6"/>
  <c r="P319" i="6"/>
  <c r="O1274" i="6"/>
  <c r="P1274" i="6"/>
  <c r="P604" i="6"/>
  <c r="O604" i="6"/>
  <c r="P2431" i="6"/>
  <c r="O2431" i="6"/>
  <c r="P1006" i="6"/>
  <c r="O1006" i="6"/>
  <c r="O2329" i="6"/>
  <c r="P2329" i="6"/>
  <c r="P1398" i="6"/>
  <c r="O1398" i="6"/>
  <c r="P798" i="6"/>
  <c r="O798" i="6"/>
  <c r="O946" i="6"/>
  <c r="P946" i="6"/>
  <c r="O1578" i="6"/>
  <c r="P1578" i="6"/>
  <c r="P163" i="6"/>
  <c r="O163" i="6"/>
  <c r="P511" i="6"/>
  <c r="O511" i="6"/>
  <c r="P1129" i="6"/>
  <c r="O1129" i="6"/>
  <c r="O1544" i="6"/>
  <c r="P1544" i="6"/>
  <c r="O2229" i="6"/>
  <c r="P2229" i="6"/>
  <c r="P1212" i="6"/>
  <c r="O1212" i="6"/>
  <c r="O2552" i="6"/>
  <c r="P2552" i="6"/>
  <c r="O505" i="6"/>
  <c r="P505" i="6"/>
  <c r="O2334" i="6"/>
  <c r="P2334" i="6"/>
  <c r="P466" i="6"/>
  <c r="O466" i="6"/>
  <c r="O380" i="6"/>
  <c r="P380" i="6"/>
  <c r="O1266" i="6"/>
  <c r="P1266" i="6"/>
  <c r="P1698" i="6"/>
  <c r="O1698" i="6"/>
  <c r="P2532" i="6"/>
  <c r="O2532" i="6"/>
  <c r="P1942" i="6"/>
  <c r="O1942" i="6"/>
  <c r="O226" i="6"/>
  <c r="P226" i="6"/>
  <c r="P1300" i="6"/>
  <c r="O1300" i="6"/>
  <c r="H15" i="3"/>
  <c r="P1024" i="6" l="1"/>
  <c r="O1024" i="6"/>
  <c r="P2196" i="6"/>
  <c r="O2196" i="6"/>
  <c r="O425" i="6"/>
  <c r="P425" i="6"/>
  <c r="P778" i="6"/>
  <c r="O778" i="6"/>
  <c r="P2231" i="6"/>
  <c r="O2231" i="6"/>
  <c r="O2042" i="6"/>
  <c r="P2042" i="6"/>
  <c r="P1560" i="6"/>
  <c r="O1560" i="6"/>
  <c r="P2226" i="6"/>
  <c r="O2226" i="6"/>
  <c r="K15" i="3"/>
  <c r="J15" i="3"/>
  <c r="I15" i="3"/>
  <c r="O962" i="6"/>
  <c r="P962" i="6"/>
  <c r="P2499" i="6"/>
  <c r="O2499" i="6"/>
  <c r="P1196" i="6"/>
  <c r="O1196" i="6"/>
  <c r="O2679" i="6"/>
  <c r="P2679" i="6"/>
  <c r="O1996" i="6"/>
  <c r="P1996" i="6"/>
  <c r="P2689" i="6"/>
  <c r="O2689" i="6"/>
  <c r="O2696" i="6"/>
  <c r="P2696" i="6"/>
  <c r="N2626" i="6"/>
  <c r="N2603" i="6"/>
  <c r="N2162" i="6"/>
  <c r="N1562" i="6"/>
  <c r="N1662" i="6"/>
  <c r="N1305" i="6"/>
  <c r="N1329" i="6"/>
  <c r="N1338" i="6"/>
  <c r="N270" i="6"/>
  <c r="N859" i="6"/>
  <c r="N483" i="6"/>
  <c r="N797" i="6"/>
  <c r="N547" i="6"/>
  <c r="N167" i="6"/>
  <c r="N899" i="6"/>
  <c r="N506" i="6"/>
  <c r="N149" i="6"/>
  <c r="N377" i="6"/>
  <c r="N1820" i="6"/>
  <c r="N959" i="6"/>
  <c r="N1837" i="6"/>
  <c r="N609" i="6"/>
  <c r="N1646" i="6"/>
  <c r="N812" i="6"/>
  <c r="N647" i="6"/>
  <c r="N187" i="6"/>
  <c r="N2205" i="6"/>
  <c r="N1829" i="6"/>
  <c r="N2243" i="6"/>
  <c r="N2588" i="6"/>
  <c r="N2443" i="6"/>
  <c r="N1506" i="6"/>
  <c r="N2291" i="6"/>
  <c r="N2577" i="6"/>
  <c r="N2410" i="6"/>
  <c r="N2385" i="6"/>
  <c r="N1831" i="6"/>
  <c r="N1413" i="6"/>
  <c r="N1621" i="6"/>
  <c r="N1459" i="6"/>
  <c r="N1508" i="6"/>
  <c r="N1105" i="6"/>
  <c r="N784" i="6"/>
  <c r="N711" i="6"/>
  <c r="N813" i="6"/>
  <c r="N2375" i="6"/>
  <c r="N1017" i="6"/>
  <c r="N806" i="6"/>
  <c r="N1217" i="6"/>
  <c r="N2054" i="6"/>
  <c r="N1759" i="6"/>
  <c r="N1107" i="6"/>
  <c r="N1445" i="6"/>
  <c r="N2556" i="6"/>
  <c r="P2403" i="6"/>
  <c r="O2403" i="6"/>
  <c r="O1498" i="6"/>
  <c r="P1498" i="6"/>
  <c r="P1690" i="6"/>
  <c r="O1690" i="6"/>
  <c r="O1402" i="6"/>
  <c r="P1402" i="6"/>
  <c r="P2357" i="6"/>
  <c r="O2357" i="6"/>
  <c r="P1564" i="6"/>
  <c r="O1564" i="6"/>
  <c r="O2148" i="6"/>
  <c r="P2148" i="6"/>
  <c r="P1105" i="6" l="1"/>
  <c r="O1105" i="6"/>
  <c r="O1329" i="6"/>
  <c r="P1329" i="6"/>
  <c r="E27" i="1"/>
  <c r="D16" i="3"/>
  <c r="F16" i="3" s="1"/>
  <c r="P1508" i="6"/>
  <c r="O1508" i="6"/>
  <c r="O149" i="6"/>
  <c r="P149" i="6"/>
  <c r="P1662" i="6"/>
  <c r="O1662" i="6"/>
  <c r="O2588" i="6"/>
  <c r="P2588" i="6"/>
  <c r="O1445" i="6"/>
  <c r="P1445" i="6"/>
  <c r="P1107" i="6"/>
  <c r="O1107" i="6"/>
  <c r="O1459" i="6"/>
  <c r="P1459" i="6"/>
  <c r="P1829" i="6"/>
  <c r="O1829" i="6"/>
  <c r="P506" i="6"/>
  <c r="O506" i="6"/>
  <c r="P1562" i="6"/>
  <c r="O1562" i="6"/>
  <c r="O2243" i="6"/>
  <c r="P2243" i="6"/>
  <c r="P1759" i="6"/>
  <c r="O1759" i="6"/>
  <c r="P1621" i="6"/>
  <c r="O1621" i="6"/>
  <c r="O2205" i="6"/>
  <c r="P2205" i="6"/>
  <c r="O899" i="6"/>
  <c r="P899" i="6"/>
  <c r="P2162" i="6"/>
  <c r="O2162" i="6"/>
  <c r="O784" i="6"/>
  <c r="P784" i="6"/>
  <c r="O1305" i="6"/>
  <c r="P1305" i="6"/>
  <c r="P2054" i="6"/>
  <c r="O2054" i="6"/>
  <c r="P1413" i="6"/>
  <c r="O1413" i="6"/>
  <c r="O187" i="6"/>
  <c r="P187" i="6"/>
  <c r="O167" i="6"/>
  <c r="P167" i="6"/>
  <c r="O2603" i="6"/>
  <c r="P2603" i="6"/>
  <c r="F27" i="1"/>
  <c r="N15" i="3"/>
  <c r="L15" i="3"/>
  <c r="P1820" i="6"/>
  <c r="O1820" i="6"/>
  <c r="O1217" i="6"/>
  <c r="P1217" i="6"/>
  <c r="O1831" i="6"/>
  <c r="P1831" i="6"/>
  <c r="O647" i="6"/>
  <c r="P647" i="6"/>
  <c r="P547" i="6"/>
  <c r="O547" i="6"/>
  <c r="P2626" i="6"/>
  <c r="O2626" i="6"/>
  <c r="O2556" i="6"/>
  <c r="P2556" i="6"/>
  <c r="O806" i="6"/>
  <c r="P806" i="6"/>
  <c r="O2385" i="6"/>
  <c r="P2385" i="6"/>
  <c r="O812" i="6"/>
  <c r="P812" i="6"/>
  <c r="P797" i="6"/>
  <c r="O797" i="6"/>
  <c r="P2443" i="6"/>
  <c r="O2443" i="6"/>
  <c r="P377" i="6"/>
  <c r="O377" i="6"/>
  <c r="P1017" i="6"/>
  <c r="O1017" i="6"/>
  <c r="O2410" i="6"/>
  <c r="E8" i="5" s="1"/>
  <c r="P2410" i="6"/>
  <c r="F8" i="5" s="1"/>
  <c r="G8" i="5" s="1"/>
  <c r="P1646" i="6"/>
  <c r="O1646" i="6"/>
  <c r="P483" i="6"/>
  <c r="O483" i="6"/>
  <c r="P2577" i="6"/>
  <c r="O2577" i="6"/>
  <c r="P859" i="6"/>
  <c r="O859" i="6"/>
  <c r="O2375" i="6"/>
  <c r="P2375" i="6"/>
  <c r="P609" i="6"/>
  <c r="O609" i="6"/>
  <c r="P813" i="6"/>
  <c r="O813" i="6"/>
  <c r="O2291" i="6"/>
  <c r="P2291" i="6"/>
  <c r="O1837" i="6"/>
  <c r="P1837" i="6"/>
  <c r="O270" i="6"/>
  <c r="P270" i="6"/>
  <c r="P711" i="6"/>
  <c r="O711" i="6"/>
  <c r="P1506" i="6"/>
  <c r="O1506" i="6"/>
  <c r="P959" i="6"/>
  <c r="O959" i="6"/>
  <c r="O1338" i="6"/>
  <c r="P1338" i="6"/>
  <c r="N2587" i="6" l="1"/>
  <c r="N2573" i="6"/>
  <c r="N2414" i="6"/>
  <c r="N2214" i="6"/>
  <c r="N2286" i="6"/>
  <c r="N2371" i="6"/>
  <c r="N2273" i="6"/>
  <c r="N2248" i="6"/>
  <c r="N2123" i="6"/>
  <c r="N2279" i="6"/>
  <c r="N1912" i="6"/>
  <c r="N1927" i="6"/>
  <c r="N1082" i="6"/>
  <c r="N1600" i="6"/>
  <c r="N1557" i="6"/>
  <c r="N1106" i="6"/>
  <c r="N1369" i="6"/>
  <c r="N1444" i="6"/>
  <c r="N1334" i="6"/>
  <c r="N1428" i="6"/>
  <c r="N999" i="6"/>
  <c r="N561" i="6"/>
  <c r="N129" i="6"/>
  <c r="N54" i="6"/>
  <c r="N31" i="6"/>
  <c r="N227" i="6"/>
  <c r="N715" i="6"/>
  <c r="N585" i="6"/>
  <c r="N770" i="6"/>
  <c r="N2475" i="6"/>
  <c r="N190" i="6"/>
  <c r="N485" i="6"/>
  <c r="N943" i="6"/>
  <c r="N1781" i="6"/>
  <c r="N706" i="6"/>
  <c r="N1113" i="6"/>
  <c r="N1810" i="6"/>
  <c r="N1198" i="6"/>
  <c r="N1432" i="6"/>
  <c r="N1826" i="6"/>
  <c r="N1116" i="6"/>
  <c r="N1813" i="6"/>
  <c r="N2370" i="6"/>
  <c r="N2092" i="6"/>
  <c r="H16" i="3"/>
  <c r="I16" i="3" s="1"/>
  <c r="O943" i="6" l="1"/>
  <c r="P943" i="6"/>
  <c r="O999" i="6"/>
  <c r="P999" i="6"/>
  <c r="O2123" i="6"/>
  <c r="P2123" i="6"/>
  <c r="P485" i="6"/>
  <c r="O485" i="6"/>
  <c r="O1428" i="6"/>
  <c r="P1428" i="6"/>
  <c r="O2248" i="6"/>
  <c r="P2248" i="6"/>
  <c r="P190" i="6"/>
  <c r="O190" i="6"/>
  <c r="O1334" i="6"/>
  <c r="P1334" i="6"/>
  <c r="P2273" i="6"/>
  <c r="O2273" i="6"/>
  <c r="P1444" i="6"/>
  <c r="O1444" i="6"/>
  <c r="P1826" i="6"/>
  <c r="O1826" i="6"/>
  <c r="P1106" i="6"/>
  <c r="O1106" i="6"/>
  <c r="O2214" i="6"/>
  <c r="P2214" i="6"/>
  <c r="O2475" i="6"/>
  <c r="P2475" i="6"/>
  <c r="O2286" i="6"/>
  <c r="P2286" i="6"/>
  <c r="P1432" i="6"/>
  <c r="O1432" i="6"/>
  <c r="P715" i="6"/>
  <c r="O715" i="6"/>
  <c r="O1557" i="6"/>
  <c r="P1557" i="6"/>
  <c r="O2414" i="6"/>
  <c r="P2414" i="6"/>
  <c r="E28" i="1"/>
  <c r="D17" i="3"/>
  <c r="F17" i="3" s="1"/>
  <c r="P1116" i="6"/>
  <c r="F20" i="5" s="1"/>
  <c r="G20" i="5" s="1"/>
  <c r="O1116" i="6"/>
  <c r="E20" i="5" s="1"/>
  <c r="O585" i="6"/>
  <c r="P585" i="6"/>
  <c r="P1198" i="6"/>
  <c r="O1198" i="6"/>
  <c r="P227" i="6"/>
  <c r="O227" i="6"/>
  <c r="O1600" i="6"/>
  <c r="P1600" i="6"/>
  <c r="P2573" i="6"/>
  <c r="O2573" i="6"/>
  <c r="P1813" i="6"/>
  <c r="O1813" i="6"/>
  <c r="O1369" i="6"/>
  <c r="P1369" i="6"/>
  <c r="O1810" i="6"/>
  <c r="P1810" i="6"/>
  <c r="O31" i="6"/>
  <c r="P31" i="6"/>
  <c r="P1082" i="6"/>
  <c r="O1082" i="6"/>
  <c r="P2587" i="6"/>
  <c r="O2587" i="6"/>
  <c r="O2371" i="6"/>
  <c r="P2371" i="6"/>
  <c r="P1113" i="6"/>
  <c r="O1113" i="6"/>
  <c r="O54" i="6"/>
  <c r="P54" i="6"/>
  <c r="P1927" i="6"/>
  <c r="O1927" i="6"/>
  <c r="P2370" i="6"/>
  <c r="O2370" i="6"/>
  <c r="O706" i="6"/>
  <c r="P706" i="6"/>
  <c r="P129" i="6"/>
  <c r="O129" i="6"/>
  <c r="O1912" i="6"/>
  <c r="P1912" i="6"/>
  <c r="O2092" i="6"/>
  <c r="P2092" i="6"/>
  <c r="P770" i="6"/>
  <c r="O770" i="6"/>
  <c r="K16" i="3"/>
  <c r="J16" i="3"/>
  <c r="P1781" i="6"/>
  <c r="O1781" i="6"/>
  <c r="P561" i="6"/>
  <c r="O561" i="6"/>
  <c r="P2279" i="6"/>
  <c r="O2279" i="6"/>
  <c r="H17" i="3" l="1"/>
  <c r="I17" i="3" s="1"/>
  <c r="F28" i="1"/>
  <c r="N16" i="3"/>
  <c r="L16" i="3"/>
  <c r="D18" i="3" l="1"/>
  <c r="F18" i="3" s="1"/>
  <c r="E29" i="1"/>
  <c r="N2315" i="6"/>
  <c r="N2210" i="6"/>
  <c r="N2121" i="6"/>
  <c r="N2073" i="6"/>
  <c r="N2449" i="6"/>
  <c r="N2105" i="6"/>
  <c r="N1934" i="6"/>
  <c r="N1679" i="6"/>
  <c r="N2149" i="6"/>
  <c r="N1229" i="6"/>
  <c r="N1067" i="6"/>
  <c r="N1043" i="6"/>
  <c r="N1172" i="6"/>
  <c r="N1386" i="6"/>
  <c r="N1503" i="6"/>
  <c r="N1436" i="6"/>
  <c r="N893" i="6"/>
  <c r="N1373" i="6"/>
  <c r="N889" i="6"/>
  <c r="N225" i="6"/>
  <c r="N804" i="6"/>
  <c r="N630" i="6"/>
  <c r="N544" i="6"/>
  <c r="N58" i="6"/>
  <c r="N352" i="6"/>
  <c r="N197" i="6"/>
  <c r="N106" i="6"/>
  <c r="N93" i="6"/>
  <c r="N500" i="6"/>
  <c r="N1635" i="6"/>
  <c r="N77" i="6"/>
  <c r="N606" i="6"/>
  <c r="N1462" i="6"/>
  <c r="N2206" i="6"/>
  <c r="N1968" i="6"/>
  <c r="N670" i="6"/>
  <c r="N972" i="6"/>
  <c r="N1453" i="6"/>
  <c r="N2077" i="6"/>
  <c r="N2395" i="6"/>
  <c r="N1005" i="6"/>
  <c r="N1265" i="6"/>
  <c r="N1592" i="6"/>
  <c r="N1547" i="6"/>
  <c r="N2452" i="6"/>
  <c r="N1160" i="6"/>
  <c r="N1879" i="6"/>
  <c r="N2617" i="6"/>
  <c r="N761" i="6"/>
  <c r="N2260" i="6"/>
  <c r="N2398" i="6"/>
  <c r="N1959" i="6"/>
  <c r="N2453" i="6"/>
  <c r="N1301" i="6"/>
  <c r="N2664" i="6"/>
  <c r="N2346" i="6"/>
  <c r="N2514" i="6"/>
  <c r="N2157" i="6"/>
  <c r="N2251" i="6"/>
  <c r="J17" i="3"/>
  <c r="K17" i="3"/>
  <c r="P2514" i="6" l="1"/>
  <c r="O2514" i="6"/>
  <c r="O1462" i="6"/>
  <c r="P1462" i="6"/>
  <c r="O804" i="6"/>
  <c r="P804" i="6"/>
  <c r="O2149" i="6"/>
  <c r="P2149" i="6"/>
  <c r="P630" i="6"/>
  <c r="O630" i="6"/>
  <c r="O606" i="6"/>
  <c r="P606" i="6"/>
  <c r="P225" i="6"/>
  <c r="O225" i="6"/>
  <c r="O1679" i="6"/>
  <c r="P1679" i="6"/>
  <c r="O2157" i="6"/>
  <c r="P2157" i="6"/>
  <c r="P1547" i="6"/>
  <c r="O1547" i="6"/>
  <c r="P1592" i="6"/>
  <c r="O1592" i="6"/>
  <c r="O77" i="6"/>
  <c r="P77" i="6"/>
  <c r="P889" i="6"/>
  <c r="O889" i="6"/>
  <c r="P1934" i="6"/>
  <c r="O1934" i="6"/>
  <c r="P1229" i="6"/>
  <c r="O1229" i="6"/>
  <c r="O2664" i="6"/>
  <c r="E11" i="5" s="1"/>
  <c r="P2664" i="6"/>
  <c r="F11" i="5" s="1"/>
  <c r="G11" i="5" s="1"/>
  <c r="P1301" i="6"/>
  <c r="O1301" i="6"/>
  <c r="O1265" i="6"/>
  <c r="P1265" i="6"/>
  <c r="P1635" i="6"/>
  <c r="O1635" i="6"/>
  <c r="O1373" i="6"/>
  <c r="P1373" i="6"/>
  <c r="P2105" i="6"/>
  <c r="O2105" i="6"/>
  <c r="P2206" i="6"/>
  <c r="O2206" i="6"/>
  <c r="P2453" i="6"/>
  <c r="O2453" i="6"/>
  <c r="P1005" i="6"/>
  <c r="O1005" i="6"/>
  <c r="P500" i="6"/>
  <c r="O500" i="6"/>
  <c r="O893" i="6"/>
  <c r="P893" i="6"/>
  <c r="O2449" i="6"/>
  <c r="P2449" i="6"/>
  <c r="O1160" i="6"/>
  <c r="P1160" i="6"/>
  <c r="P1959" i="6"/>
  <c r="O1959" i="6"/>
  <c r="P2395" i="6"/>
  <c r="O2395" i="6"/>
  <c r="O93" i="6"/>
  <c r="P93" i="6"/>
  <c r="P1436" i="6"/>
  <c r="O1436" i="6"/>
  <c r="O2073" i="6"/>
  <c r="P2073" i="6"/>
  <c r="O2617" i="6"/>
  <c r="P2617" i="6"/>
  <c r="O2398" i="6"/>
  <c r="P2398" i="6"/>
  <c r="P2077" i="6"/>
  <c r="O2077" i="6"/>
  <c r="O106" i="6"/>
  <c r="P106" i="6"/>
  <c r="O1503" i="6"/>
  <c r="P1503" i="6"/>
  <c r="O2121" i="6"/>
  <c r="P2121" i="6"/>
  <c r="P2452" i="6"/>
  <c r="O2452" i="6"/>
  <c r="P2260" i="6"/>
  <c r="O2260" i="6"/>
  <c r="O1453" i="6"/>
  <c r="P1453" i="6"/>
  <c r="P197" i="6"/>
  <c r="O197" i="6"/>
  <c r="P1386" i="6"/>
  <c r="O1386" i="6"/>
  <c r="O2210" i="6"/>
  <c r="P2210" i="6"/>
  <c r="P670" i="6"/>
  <c r="O670" i="6"/>
  <c r="P2346" i="6"/>
  <c r="O2346" i="6"/>
  <c r="P761" i="6"/>
  <c r="O761" i="6"/>
  <c r="P972" i="6"/>
  <c r="O972" i="6"/>
  <c r="P352" i="6"/>
  <c r="O352" i="6"/>
  <c r="P1172" i="6"/>
  <c r="O1172" i="6"/>
  <c r="O2315" i="6"/>
  <c r="P2315" i="6"/>
  <c r="O58" i="6"/>
  <c r="P58" i="6"/>
  <c r="O1043" i="6"/>
  <c r="P1043" i="6"/>
  <c r="F29" i="1"/>
  <c r="N17" i="3"/>
  <c r="L17" i="3"/>
  <c r="O2251" i="6"/>
  <c r="P2251" i="6"/>
  <c r="P1879" i="6"/>
  <c r="O1879" i="6"/>
  <c r="O1968" i="6"/>
  <c r="P1968" i="6"/>
  <c r="O544" i="6"/>
  <c r="P544" i="6"/>
  <c r="P1067" i="6"/>
  <c r="O1067" i="6"/>
  <c r="H18" i="3"/>
  <c r="I18" i="3" s="1"/>
  <c r="E30" i="1" l="1"/>
  <c r="D19" i="3"/>
  <c r="F19" i="3" s="1"/>
  <c r="N2276" i="6"/>
  <c r="N2296" i="6"/>
  <c r="N2351" i="6"/>
  <c r="N1975" i="6"/>
  <c r="N1917" i="6"/>
  <c r="N2088" i="6"/>
  <c r="N2053" i="6"/>
  <c r="N2020" i="6"/>
  <c r="N1928" i="6"/>
  <c r="N1846" i="6"/>
  <c r="N1852" i="6"/>
  <c r="N1762" i="6"/>
  <c r="N1604" i="6"/>
  <c r="N1027" i="6"/>
  <c r="N827" i="6"/>
  <c r="N1961" i="6"/>
  <c r="N636" i="6"/>
  <c r="N1425" i="6"/>
  <c r="N667" i="6"/>
  <c r="N910" i="6"/>
  <c r="N683" i="6"/>
  <c r="N775" i="6"/>
  <c r="N331" i="6"/>
  <c r="N322" i="6"/>
  <c r="N207" i="6"/>
  <c r="N600" i="6"/>
  <c r="N1036" i="6"/>
  <c r="N719" i="6"/>
  <c r="N555" i="6"/>
  <c r="N1840" i="6"/>
  <c r="N240" i="6"/>
  <c r="N250" i="6"/>
  <c r="N1496" i="6"/>
  <c r="N1935" i="6"/>
  <c r="N1260" i="6"/>
  <c r="N1510" i="6"/>
  <c r="N1318" i="6"/>
  <c r="N71" i="6"/>
  <c r="N2002" i="6"/>
  <c r="N2056" i="6"/>
  <c r="N2124" i="6"/>
  <c r="N2290" i="6"/>
  <c r="N2316" i="6"/>
  <c r="N2050" i="6"/>
  <c r="N1280" i="6"/>
  <c r="J18" i="3"/>
  <c r="K18" i="3"/>
  <c r="P1935" i="6" l="1"/>
  <c r="O1935" i="6"/>
  <c r="P775" i="6"/>
  <c r="O775" i="6"/>
  <c r="O1846" i="6"/>
  <c r="P1846" i="6"/>
  <c r="P1496" i="6"/>
  <c r="O1496" i="6"/>
  <c r="O683" i="6"/>
  <c r="P683" i="6"/>
  <c r="O1928" i="6"/>
  <c r="P1928" i="6"/>
  <c r="P250" i="6"/>
  <c r="O250" i="6"/>
  <c r="P910" i="6"/>
  <c r="O910" i="6"/>
  <c r="P2020" i="6"/>
  <c r="O2020" i="6"/>
  <c r="P2290" i="6"/>
  <c r="O2290" i="6"/>
  <c r="P667" i="6"/>
  <c r="O667" i="6"/>
  <c r="O2088" i="6"/>
  <c r="P2088" i="6"/>
  <c r="P555" i="6"/>
  <c r="O555" i="6"/>
  <c r="O636" i="6"/>
  <c r="P636" i="6"/>
  <c r="O1917" i="6"/>
  <c r="P1917" i="6"/>
  <c r="O2316" i="6"/>
  <c r="P2316" i="6"/>
  <c r="O1425" i="6"/>
  <c r="P1425" i="6"/>
  <c r="P2056" i="6"/>
  <c r="O2056" i="6"/>
  <c r="P719" i="6"/>
  <c r="O719" i="6"/>
  <c r="P1961" i="6"/>
  <c r="O1961" i="6"/>
  <c r="O1975" i="6"/>
  <c r="P1975" i="6"/>
  <c r="P1280" i="6"/>
  <c r="O1280" i="6"/>
  <c r="O1036" i="6"/>
  <c r="P1036" i="6"/>
  <c r="O827" i="6"/>
  <c r="P827" i="6"/>
  <c r="P2351" i="6"/>
  <c r="O2351" i="6"/>
  <c r="O2053" i="6"/>
  <c r="P2053" i="6"/>
  <c r="O2124" i="6"/>
  <c r="P2124" i="6"/>
  <c r="P71" i="6"/>
  <c r="O71" i="6"/>
  <c r="O600" i="6"/>
  <c r="P600" i="6"/>
  <c r="P1027" i="6"/>
  <c r="O1027" i="6"/>
  <c r="O2296" i="6"/>
  <c r="P2296" i="6"/>
  <c r="P2050" i="6"/>
  <c r="O2050" i="6"/>
  <c r="O1840" i="6"/>
  <c r="P1840" i="6"/>
  <c r="P2002" i="6"/>
  <c r="O2002" i="6"/>
  <c r="O1318" i="6"/>
  <c r="P1318" i="6"/>
  <c r="P207" i="6"/>
  <c r="O207" i="6"/>
  <c r="O1604" i="6"/>
  <c r="P1604" i="6"/>
  <c r="O2276" i="6"/>
  <c r="P2276" i="6"/>
  <c r="F30" i="1"/>
  <c r="N18" i="3"/>
  <c r="L18" i="3"/>
  <c r="O1762" i="6"/>
  <c r="P1762" i="6"/>
  <c r="H19" i="3"/>
  <c r="I19" i="3" s="1"/>
  <c r="O240" i="6"/>
  <c r="P240" i="6"/>
  <c r="O1510" i="6"/>
  <c r="P1510" i="6"/>
  <c r="O322" i="6"/>
  <c r="P322" i="6"/>
  <c r="P1260" i="6"/>
  <c r="O1260" i="6"/>
  <c r="O331" i="6"/>
  <c r="P331" i="6"/>
  <c r="P1852" i="6"/>
  <c r="O1852" i="6"/>
  <c r="F17" i="5" l="1"/>
  <c r="G17" i="5" s="1"/>
  <c r="E17" i="5"/>
  <c r="G6" i="4"/>
  <c r="H6" i="4" s="1"/>
  <c r="E31" i="1"/>
  <c r="C13" i="1"/>
  <c r="N2455" i="6"/>
  <c r="N2340" i="6"/>
  <c r="N2228" i="6"/>
  <c r="N2101" i="6"/>
  <c r="N1883" i="6"/>
  <c r="N1769" i="6"/>
  <c r="N1848" i="6"/>
  <c r="N1244" i="6"/>
  <c r="N978" i="6"/>
  <c r="N749" i="6"/>
  <c r="N378" i="6"/>
  <c r="N1675" i="6"/>
  <c r="N178" i="6"/>
  <c r="N9" i="6"/>
  <c r="N306" i="6"/>
  <c r="N479" i="6"/>
  <c r="N1015" i="6"/>
  <c r="N680" i="6"/>
  <c r="N1993" i="6"/>
  <c r="N320" i="6"/>
  <c r="N1524" i="6"/>
  <c r="N275" i="6"/>
  <c r="N704" i="6"/>
  <c r="N1754" i="6"/>
  <c r="N886" i="6"/>
  <c r="N1542" i="6"/>
  <c r="N724" i="6"/>
  <c r="N2482" i="6"/>
  <c r="N2550" i="6"/>
  <c r="N2069" i="6"/>
  <c r="N2542" i="6"/>
  <c r="N1789" i="6"/>
  <c r="N2538" i="6"/>
  <c r="N2379" i="6"/>
  <c r="K19" i="3"/>
  <c r="J19" i="3"/>
  <c r="C9" i="1"/>
  <c r="C11" i="1" s="1"/>
  <c r="E6" i="4"/>
  <c r="O1789" i="6" l="1"/>
  <c r="P1789" i="6"/>
  <c r="P320" i="6"/>
  <c r="O320" i="6"/>
  <c r="P1244" i="6"/>
  <c r="O1244" i="6"/>
  <c r="P2542" i="6"/>
  <c r="O2542" i="6"/>
  <c r="P1993" i="6"/>
  <c r="O1993" i="6"/>
  <c r="P1848" i="6"/>
  <c r="O1848" i="6"/>
  <c r="O978" i="6"/>
  <c r="P978" i="6"/>
  <c r="P2069" i="6"/>
  <c r="O2069" i="6"/>
  <c r="O1015" i="6"/>
  <c r="P1015" i="6"/>
  <c r="P2482" i="6"/>
  <c r="O2482" i="6"/>
  <c r="P479" i="6"/>
  <c r="O479" i="6"/>
  <c r="P2101" i="6"/>
  <c r="O2101" i="6"/>
  <c r="P1769" i="6"/>
  <c r="O1769" i="6"/>
  <c r="P1883" i="6"/>
  <c r="O1883" i="6"/>
  <c r="O724" i="6"/>
  <c r="P724" i="6"/>
  <c r="O306" i="6"/>
  <c r="P306" i="6"/>
  <c r="O2228" i="6"/>
  <c r="E7" i="5" s="1"/>
  <c r="P2228" i="6"/>
  <c r="F7" i="5" s="1"/>
  <c r="G7" i="5" s="1"/>
  <c r="P1524" i="6"/>
  <c r="O1524" i="6"/>
  <c r="P680" i="6"/>
  <c r="O680" i="6"/>
  <c r="O2550" i="6"/>
  <c r="P2550" i="6"/>
  <c r="O1542" i="6"/>
  <c r="P1542" i="6"/>
  <c r="P9" i="6"/>
  <c r="O9" i="6"/>
  <c r="O2340" i="6"/>
  <c r="P2340" i="6"/>
  <c r="P178" i="6"/>
  <c r="O178" i="6"/>
  <c r="P2455" i="6"/>
  <c r="O2455" i="6"/>
  <c r="O2538" i="6"/>
  <c r="P2538" i="6"/>
  <c r="O886" i="6"/>
  <c r="P886" i="6"/>
  <c r="F31" i="1"/>
  <c r="N19" i="3"/>
  <c r="L19" i="3"/>
  <c r="C12" i="1" s="1"/>
  <c r="F6" i="4"/>
  <c r="I6" i="4" s="1"/>
  <c r="C10" i="1"/>
  <c r="P1754" i="6"/>
  <c r="O1754" i="6"/>
  <c r="O1675" i="6"/>
  <c r="P1675" i="6"/>
  <c r="P704" i="6"/>
  <c r="O704" i="6"/>
  <c r="O378" i="6"/>
  <c r="P378" i="6"/>
  <c r="P2379" i="6"/>
  <c r="O2379" i="6"/>
  <c r="P275" i="6"/>
  <c r="O275" i="6"/>
  <c r="O749" i="6"/>
  <c r="P749" i="6"/>
  <c r="N2609" i="6" l="1"/>
  <c r="N2655" i="6"/>
  <c r="N2639" i="6"/>
  <c r="N2233" i="6"/>
  <c r="N2202" i="6"/>
  <c r="N2192" i="6"/>
  <c r="N2118" i="6"/>
  <c r="N2083" i="6"/>
  <c r="N1697" i="6"/>
  <c r="N1577" i="6"/>
  <c r="N1622" i="6"/>
  <c r="N1483" i="6"/>
  <c r="N990" i="6"/>
  <c r="N1152" i="6"/>
  <c r="N558" i="6"/>
  <c r="N1418" i="6"/>
  <c r="N896" i="6"/>
  <c r="N279" i="6"/>
  <c r="N42" i="6"/>
  <c r="N200" i="6"/>
  <c r="N937" i="6"/>
  <c r="N1586" i="6"/>
  <c r="N288" i="6"/>
  <c r="N312" i="6"/>
  <c r="N550" i="6"/>
  <c r="N274" i="6"/>
  <c r="N587" i="6"/>
  <c r="N755" i="6"/>
  <c r="N212" i="6"/>
  <c r="N389" i="6"/>
  <c r="N113" i="6"/>
  <c r="N1235" i="6"/>
  <c r="N1053" i="6"/>
  <c r="N846" i="6"/>
  <c r="N866" i="6"/>
  <c r="N267" i="6"/>
  <c r="N1120" i="6"/>
  <c r="N2527" i="6"/>
  <c r="N2524" i="6"/>
  <c r="N824" i="6"/>
  <c r="N1744" i="6"/>
  <c r="N2198" i="6"/>
  <c r="N1583" i="6"/>
  <c r="N2308" i="6"/>
  <c r="P267" i="6" l="1"/>
  <c r="O267" i="6"/>
  <c r="O312" i="6"/>
  <c r="P312" i="6"/>
  <c r="O1483" i="6"/>
  <c r="P1483" i="6"/>
  <c r="P866" i="6"/>
  <c r="O866" i="6"/>
  <c r="P288" i="6"/>
  <c r="O288" i="6"/>
  <c r="P1622" i="6"/>
  <c r="O1622" i="6"/>
  <c r="P846" i="6"/>
  <c r="O846" i="6"/>
  <c r="P1586" i="6"/>
  <c r="O1586" i="6"/>
  <c r="P1577" i="6"/>
  <c r="O1577" i="6"/>
  <c r="O1697" i="6"/>
  <c r="P1697" i="6"/>
  <c r="O1583" i="6"/>
  <c r="P1583" i="6"/>
  <c r="P389" i="6"/>
  <c r="O389" i="6"/>
  <c r="P212" i="6"/>
  <c r="O212" i="6"/>
  <c r="O896" i="6"/>
  <c r="P896" i="6"/>
  <c r="O2202" i="6"/>
  <c r="P2202" i="6"/>
  <c r="O1235" i="6"/>
  <c r="P1235" i="6"/>
  <c r="O2118" i="6"/>
  <c r="P2118" i="6"/>
  <c r="P1744" i="6"/>
  <c r="O1744" i="6"/>
  <c r="O824" i="6"/>
  <c r="P824" i="6"/>
  <c r="P755" i="6"/>
  <c r="O755" i="6"/>
  <c r="O1418" i="6"/>
  <c r="P1418" i="6"/>
  <c r="O2233" i="6"/>
  <c r="P2233" i="6"/>
  <c r="P1053" i="6"/>
  <c r="O1053" i="6"/>
  <c r="O200" i="6"/>
  <c r="P200" i="6"/>
  <c r="O42" i="6"/>
  <c r="P42" i="6"/>
  <c r="O279" i="6"/>
  <c r="P279" i="6"/>
  <c r="P2524" i="6"/>
  <c r="F9" i="5" s="1"/>
  <c r="G9" i="5" s="1"/>
  <c r="O2524" i="6"/>
  <c r="E9" i="5" s="1"/>
  <c r="P587" i="6"/>
  <c r="O587" i="6"/>
  <c r="O558" i="6"/>
  <c r="P558" i="6"/>
  <c r="O2639" i="6"/>
  <c r="P2639" i="6"/>
  <c r="O2308" i="6"/>
  <c r="P2308" i="6"/>
  <c r="P2083" i="6"/>
  <c r="O2083" i="6"/>
  <c r="O2192" i="6"/>
  <c r="P2192" i="6"/>
  <c r="P2527" i="6"/>
  <c r="O2527" i="6"/>
  <c r="O274" i="6"/>
  <c r="P274" i="6"/>
  <c r="P1152" i="6"/>
  <c r="O1152" i="6"/>
  <c r="O2655" i="6"/>
  <c r="P2655" i="6"/>
  <c r="O937" i="6"/>
  <c r="P937" i="6"/>
  <c r="P113" i="6"/>
  <c r="O113" i="6"/>
  <c r="P2198" i="6"/>
  <c r="O2198" i="6"/>
  <c r="P1120" i="6"/>
  <c r="O1120" i="6"/>
  <c r="O550" i="6"/>
  <c r="P550" i="6"/>
  <c r="O990" i="6"/>
  <c r="P990" i="6"/>
  <c r="P2609" i="6"/>
  <c r="O2609" i="6"/>
  <c r="E16" i="5" l="1"/>
  <c r="F18" i="5"/>
  <c r="G18" i="5" s="1"/>
  <c r="F16" i="5"/>
  <c r="G16" i="5" s="1"/>
  <c r="E6" i="5"/>
  <c r="E18" i="5"/>
  <c r="F15" i="5"/>
  <c r="G15" i="5" s="1"/>
  <c r="F6" i="5"/>
  <c r="E15" i="5"/>
  <c r="G6" i="5" l="1"/>
</calcChain>
</file>

<file path=xl/sharedStrings.xml><?xml version="1.0" encoding="utf-8"?>
<sst xmlns="http://schemas.openxmlformats.org/spreadsheetml/2006/main" count="21201" uniqueCount="3078">
  <si>
    <t>PROSACCO | Supply chain planning</t>
  </si>
  <si>
    <t>October-December 2023; 12 SKUs; 2,880 order lines</t>
  </si>
  <si>
    <t>Selected scenario</t>
  </si>
  <si>
    <t>Metric</t>
  </si>
  <si>
    <t>Result</t>
  </si>
  <si>
    <t>Demand units</t>
  </si>
  <si>
    <t>Fulfilled units</t>
  </si>
  <si>
    <t>Uncovered units</t>
  </si>
  <si>
    <t>Projected unit fill rate</t>
  </si>
  <si>
    <t>Exposed order value USD</t>
  </si>
  <si>
    <t>Closing stock, week 52</t>
  </si>
  <si>
    <t>Supply and demand by week</t>
  </si>
  <si>
    <t>Week</t>
  </si>
  <si>
    <t>Demand</t>
  </si>
  <si>
    <t>Production</t>
  </si>
  <si>
    <t>Closing stock</t>
  </si>
  <si>
    <t>Uncovered</t>
  </si>
  <si>
    <t>W39</t>
  </si>
  <si>
    <t>W40</t>
  </si>
  <si>
    <t>W41</t>
  </si>
  <si>
    <t>W42</t>
  </si>
  <si>
    <t>W43</t>
  </si>
  <si>
    <t>W44</t>
  </si>
  <si>
    <t>W45</t>
  </si>
  <si>
    <t>W46</t>
  </si>
  <si>
    <t>How to use this project</t>
  </si>
  <si>
    <t>W47</t>
  </si>
  <si>
    <t>W48</t>
  </si>
  <si>
    <t>1. Select Original or Delayed in Controls!B5.</t>
  </si>
  <si>
    <t>W49</t>
  </si>
  <si>
    <t>2. Review shortages in PSI Plan and customer exposure.</t>
  </si>
  <si>
    <t>W50</t>
  </si>
  <si>
    <t>3. Change the demand multiplier to test demand pressure.</t>
  </si>
  <si>
    <t>W51</t>
  </si>
  <si>
    <t>W52</t>
  </si>
  <si>
    <t>Exposure is not confirmed lost revenue or actual delivery performance.</t>
  </si>
  <si>
    <t>Planning assumptions</t>
  </si>
  <si>
    <t>Amber cells are editable. Outputs update from these controls.</t>
  </si>
  <si>
    <t>Scenario</t>
  </si>
  <si>
    <t>1 = Original; 2 = Delayed</t>
  </si>
  <si>
    <t>Demand multiplier</t>
  </si>
  <si>
    <t>1.00 = supplied order quantities</t>
  </si>
  <si>
    <t>Scenario selected</t>
  </si>
  <si>
    <t>Period</t>
  </si>
  <si>
    <t>2023 weeks 39-52</t>
  </si>
  <si>
    <t>Receipt timing</t>
  </si>
  <si>
    <t>Available before weekly demand</t>
  </si>
  <si>
    <t>Unmet demand</t>
  </si>
  <si>
    <t>Not carried forward</t>
  </si>
  <si>
    <t>Customer exposure</t>
  </si>
  <si>
    <t>Proportional within SKU and week</t>
  </si>
  <si>
    <t>Units</t>
  </si>
  <si>
    <t>Source order units; USD</t>
  </si>
  <si>
    <t>Receipt quantities are plans, not validated manufacturing capacity.</t>
  </si>
  <si>
    <t>Customer exposure is an estimate, not a shipment allocation or lost-sales result.</t>
  </si>
  <si>
    <t>Weekly production, sales and inventory</t>
  </si>
  <si>
    <t>No backlog carry-forward. Production is assumed available before demand in each week.</t>
  </si>
  <si>
    <t>SKU</t>
  </si>
  <si>
    <t>Opening units</t>
  </si>
  <si>
    <t>Supply</t>
  </si>
  <si>
    <t>Fulfilled</t>
  </si>
  <si>
    <t>Closing units</t>
  </si>
  <si>
    <t>Fill rate</t>
  </si>
  <si>
    <t>Exposed USD</t>
  </si>
  <si>
    <t>SKU/week key</t>
  </si>
  <si>
    <t>Uncovered share</t>
  </si>
  <si>
    <t>FP2020</t>
  </si>
  <si>
    <t>FP3055</t>
  </si>
  <si>
    <t>HB0156</t>
  </si>
  <si>
    <t>HB1016</t>
  </si>
  <si>
    <t>HT1045</t>
  </si>
  <si>
    <t>HT1064</t>
  </si>
  <si>
    <t>HT2054</t>
  </si>
  <si>
    <t>OB1265</t>
  </si>
  <si>
    <t>OF1060</t>
  </si>
  <si>
    <t>OF2035</t>
  </si>
  <si>
    <t>OP8025</t>
  </si>
  <si>
    <t>OY2545</t>
  </si>
  <si>
    <t>Inventory review</t>
  </si>
  <si>
    <t>Coverage uses average planned demand across weeks 40-52. It does not measure expiry or safety stock.</t>
  </si>
  <si>
    <t>Week 52 stock</t>
  </si>
  <si>
    <t>Weeks of cover</t>
  </si>
  <si>
    <t>Action</t>
  </si>
  <si>
    <t>Customer exposure estimate</t>
  </si>
  <si>
    <t>Proportional share of shortage within each SKU/week. Fractional quantities are planning estimates.</t>
  </si>
  <si>
    <t>Customer</t>
  </si>
  <si>
    <t>Planned units</t>
  </si>
  <si>
    <t>Planned USD</t>
  </si>
  <si>
    <t>Exposed units</t>
  </si>
  <si>
    <t>Value exposed %</t>
  </si>
  <si>
    <t>Customer1</t>
  </si>
  <si>
    <t>Customer10</t>
  </si>
  <si>
    <t>Customer11</t>
  </si>
  <si>
    <t>Customer12</t>
  </si>
  <si>
    <t>Customer13</t>
  </si>
  <si>
    <t>Customer14</t>
  </si>
  <si>
    <t>Customer15</t>
  </si>
  <si>
    <t>Customer16</t>
  </si>
  <si>
    <t>Customer17</t>
  </si>
  <si>
    <t>Customer2</t>
  </si>
  <si>
    <t>Customer3</t>
  </si>
  <si>
    <t>Customer4</t>
  </si>
  <si>
    <t>Customer5</t>
  </si>
  <si>
    <t>Customer6</t>
  </si>
  <si>
    <t>Customer7</t>
  </si>
  <si>
    <t>Customer8</t>
  </si>
  <si>
    <t>Customer9</t>
  </si>
  <si>
    <t>Order ID</t>
  </si>
  <si>
    <t>Channel</t>
  </si>
  <si>
    <t>Warehouse</t>
  </si>
  <si>
    <t>Order units</t>
  </si>
  <si>
    <t>Order value USD</t>
  </si>
  <si>
    <t>Expected date</t>
  </si>
  <si>
    <t>Country</t>
  </si>
  <si>
    <t>City</t>
  </si>
  <si>
    <t>Planned demand</t>
  </si>
  <si>
    <t>Planned value USD</t>
  </si>
  <si>
    <t>Exposed value USD</t>
  </si>
  <si>
    <t>102981</t>
  </si>
  <si>
    <t>Retail</t>
  </si>
  <si>
    <t>Kern</t>
  </si>
  <si>
    <t>United States</t>
  </si>
  <si>
    <t>New York City</t>
  </si>
  <si>
    <t>102980</t>
  </si>
  <si>
    <t>102979</t>
  </si>
  <si>
    <t>Los Angeles</t>
  </si>
  <si>
    <t>102978</t>
  </si>
  <si>
    <t>102977</t>
  </si>
  <si>
    <t>102976</t>
  </si>
  <si>
    <t>102975</t>
  </si>
  <si>
    <t>102974</t>
  </si>
  <si>
    <t>102973</t>
  </si>
  <si>
    <t>Chicago</t>
  </si>
  <si>
    <t>102972</t>
  </si>
  <si>
    <t>102971</t>
  </si>
  <si>
    <t>Houston</t>
  </si>
  <si>
    <t>102970</t>
  </si>
  <si>
    <t>102969</t>
  </si>
  <si>
    <t>102968</t>
  </si>
  <si>
    <t>Phoenix</t>
  </si>
  <si>
    <t>102967</t>
  </si>
  <si>
    <t>102966</t>
  </si>
  <si>
    <t>102965</t>
  </si>
  <si>
    <t>102964</t>
  </si>
  <si>
    <t>102963</t>
  </si>
  <si>
    <t>102962</t>
  </si>
  <si>
    <t>102961</t>
  </si>
  <si>
    <t>102960</t>
  </si>
  <si>
    <t>102959</t>
  </si>
  <si>
    <t>102958</t>
  </si>
  <si>
    <t>Philadelphia</t>
  </si>
  <si>
    <t>102957</t>
  </si>
  <si>
    <t>102956</t>
  </si>
  <si>
    <t>102955</t>
  </si>
  <si>
    <t>102954</t>
  </si>
  <si>
    <t>102953</t>
  </si>
  <si>
    <t>102952</t>
  </si>
  <si>
    <t>102951</t>
  </si>
  <si>
    <t>102950</t>
  </si>
  <si>
    <t>102949</t>
  </si>
  <si>
    <t>102948</t>
  </si>
  <si>
    <t>102947</t>
  </si>
  <si>
    <t>102946</t>
  </si>
  <si>
    <t>102945</t>
  </si>
  <si>
    <t>102944</t>
  </si>
  <si>
    <t>102943</t>
  </si>
  <si>
    <t>102942</t>
  </si>
  <si>
    <t>102941</t>
  </si>
  <si>
    <t>102940</t>
  </si>
  <si>
    <t>San Antonio</t>
  </si>
  <si>
    <t>102939</t>
  </si>
  <si>
    <t>San Diego</t>
  </si>
  <si>
    <t>102938</t>
  </si>
  <si>
    <t>102937</t>
  </si>
  <si>
    <t>102936</t>
  </si>
  <si>
    <t>102935</t>
  </si>
  <si>
    <t>102934</t>
  </si>
  <si>
    <t>102933</t>
  </si>
  <si>
    <t>102932</t>
  </si>
  <si>
    <t>102931</t>
  </si>
  <si>
    <t>102930</t>
  </si>
  <si>
    <t>102929</t>
  </si>
  <si>
    <t>102928</t>
  </si>
  <si>
    <t>102927</t>
  </si>
  <si>
    <t>102926</t>
  </si>
  <si>
    <t>102925</t>
  </si>
  <si>
    <t>102924</t>
  </si>
  <si>
    <t>102923</t>
  </si>
  <si>
    <t>102922</t>
  </si>
  <si>
    <t>102921</t>
  </si>
  <si>
    <t>102920</t>
  </si>
  <si>
    <t>102919</t>
  </si>
  <si>
    <t>102918</t>
  </si>
  <si>
    <t>102917</t>
  </si>
  <si>
    <t>102916</t>
  </si>
  <si>
    <t>102915</t>
  </si>
  <si>
    <t>102914</t>
  </si>
  <si>
    <t>102913</t>
  </si>
  <si>
    <t>102912</t>
  </si>
  <si>
    <t>102911</t>
  </si>
  <si>
    <t>102910</t>
  </si>
  <si>
    <t>102909</t>
  </si>
  <si>
    <t>102908</t>
  </si>
  <si>
    <t>102907</t>
  </si>
  <si>
    <t>102906</t>
  </si>
  <si>
    <t>102905</t>
  </si>
  <si>
    <t>102904</t>
  </si>
  <si>
    <t>102903</t>
  </si>
  <si>
    <t>102902</t>
  </si>
  <si>
    <t>102901</t>
  </si>
  <si>
    <t>102900</t>
  </si>
  <si>
    <t>102899</t>
  </si>
  <si>
    <t>102898</t>
  </si>
  <si>
    <t>102897</t>
  </si>
  <si>
    <t>102896</t>
  </si>
  <si>
    <t>102895</t>
  </si>
  <si>
    <t>102894</t>
  </si>
  <si>
    <t>102893</t>
  </si>
  <si>
    <t>102892</t>
  </si>
  <si>
    <t>102891</t>
  </si>
  <si>
    <t>102890</t>
  </si>
  <si>
    <t>102889</t>
  </si>
  <si>
    <t>102888</t>
  </si>
  <si>
    <t>102887</t>
  </si>
  <si>
    <t>102886</t>
  </si>
  <si>
    <t>102885</t>
  </si>
  <si>
    <t>102884</t>
  </si>
  <si>
    <t>102883</t>
  </si>
  <si>
    <t>102882</t>
  </si>
  <si>
    <t>102881</t>
  </si>
  <si>
    <t>102880</t>
  </si>
  <si>
    <t>102879</t>
  </si>
  <si>
    <t>102878</t>
  </si>
  <si>
    <t>102877</t>
  </si>
  <si>
    <t>102876</t>
  </si>
  <si>
    <t>102875</t>
  </si>
  <si>
    <t>102874</t>
  </si>
  <si>
    <t>102873</t>
  </si>
  <si>
    <t>102872</t>
  </si>
  <si>
    <t>102871</t>
  </si>
  <si>
    <t>102870</t>
  </si>
  <si>
    <t>102869</t>
  </si>
  <si>
    <t>102868</t>
  </si>
  <si>
    <t>102867</t>
  </si>
  <si>
    <t>102866</t>
  </si>
  <si>
    <t>102865</t>
  </si>
  <si>
    <t>102864</t>
  </si>
  <si>
    <t>102863</t>
  </si>
  <si>
    <t>102862</t>
  </si>
  <si>
    <t>102861</t>
  </si>
  <si>
    <t>102860</t>
  </si>
  <si>
    <t>102859</t>
  </si>
  <si>
    <t>102858</t>
  </si>
  <si>
    <t>102857</t>
  </si>
  <si>
    <t>102856</t>
  </si>
  <si>
    <t>102855</t>
  </si>
  <si>
    <t>102854</t>
  </si>
  <si>
    <t>102853</t>
  </si>
  <si>
    <t>102852</t>
  </si>
  <si>
    <t>102851</t>
  </si>
  <si>
    <t>102850</t>
  </si>
  <si>
    <t>102849</t>
  </si>
  <si>
    <t>102848</t>
  </si>
  <si>
    <t>102847</t>
  </si>
  <si>
    <t>102846</t>
  </si>
  <si>
    <t>102845</t>
  </si>
  <si>
    <t>102844</t>
  </si>
  <si>
    <t>102843</t>
  </si>
  <si>
    <t>102842</t>
  </si>
  <si>
    <t>102841</t>
  </si>
  <si>
    <t>102840</t>
  </si>
  <si>
    <t>102839</t>
  </si>
  <si>
    <t>102838</t>
  </si>
  <si>
    <t>102837</t>
  </si>
  <si>
    <t>102836</t>
  </si>
  <si>
    <t>102835</t>
  </si>
  <si>
    <t>102834</t>
  </si>
  <si>
    <t>102833</t>
  </si>
  <si>
    <t>102832</t>
  </si>
  <si>
    <t>102831</t>
  </si>
  <si>
    <t>102830</t>
  </si>
  <si>
    <t>102829</t>
  </si>
  <si>
    <t>102828</t>
  </si>
  <si>
    <t>102827</t>
  </si>
  <si>
    <t>102826</t>
  </si>
  <si>
    <t>102825</t>
  </si>
  <si>
    <t>102824</t>
  </si>
  <si>
    <t>102823</t>
  </si>
  <si>
    <t>102822</t>
  </si>
  <si>
    <t>102821</t>
  </si>
  <si>
    <t>102820</t>
  </si>
  <si>
    <t>102819</t>
  </si>
  <si>
    <t>102818</t>
  </si>
  <si>
    <t>102817</t>
  </si>
  <si>
    <t>102816</t>
  </si>
  <si>
    <t>102815</t>
  </si>
  <si>
    <t>102814</t>
  </si>
  <si>
    <t>102813</t>
  </si>
  <si>
    <t>Dallas</t>
  </si>
  <si>
    <t>102812</t>
  </si>
  <si>
    <t>102811</t>
  </si>
  <si>
    <t>102810</t>
  </si>
  <si>
    <t>102809</t>
  </si>
  <si>
    <t>102808</t>
  </si>
  <si>
    <t>102807</t>
  </si>
  <si>
    <t>102806</t>
  </si>
  <si>
    <t>102805</t>
  </si>
  <si>
    <t>102804</t>
  </si>
  <si>
    <t>102803</t>
  </si>
  <si>
    <t>102802</t>
  </si>
  <si>
    <t>102801</t>
  </si>
  <si>
    <t>102800</t>
  </si>
  <si>
    <t>102799</t>
  </si>
  <si>
    <t>102798</t>
  </si>
  <si>
    <t>102797</t>
  </si>
  <si>
    <t>102796</t>
  </si>
  <si>
    <t>102795</t>
  </si>
  <si>
    <t>102794</t>
  </si>
  <si>
    <t>102793</t>
  </si>
  <si>
    <t>Ecomm</t>
  </si>
  <si>
    <t>San Jose</t>
  </si>
  <si>
    <t>102792</t>
  </si>
  <si>
    <t>102791</t>
  </si>
  <si>
    <t>102790</t>
  </si>
  <si>
    <t>Austin</t>
  </si>
  <si>
    <t>102789</t>
  </si>
  <si>
    <t>102788</t>
  </si>
  <si>
    <t>102787</t>
  </si>
  <si>
    <t>102786</t>
  </si>
  <si>
    <t>102785</t>
  </si>
  <si>
    <t>102784</t>
  </si>
  <si>
    <t>102783</t>
  </si>
  <si>
    <t>102782</t>
  </si>
  <si>
    <t>102781</t>
  </si>
  <si>
    <t>102780</t>
  </si>
  <si>
    <t>102779</t>
  </si>
  <si>
    <t>102778</t>
  </si>
  <si>
    <t>102777</t>
  </si>
  <si>
    <t>102776</t>
  </si>
  <si>
    <t>102775</t>
  </si>
  <si>
    <t>102774</t>
  </si>
  <si>
    <t>102773</t>
  </si>
  <si>
    <t>102772</t>
  </si>
  <si>
    <t>102771</t>
  </si>
  <si>
    <t>Jacksonville</t>
  </si>
  <si>
    <t>102770</t>
  </si>
  <si>
    <t>102769</t>
  </si>
  <si>
    <t>Fort Worth</t>
  </si>
  <si>
    <t>102768</t>
  </si>
  <si>
    <t>102767</t>
  </si>
  <si>
    <t>102766</t>
  </si>
  <si>
    <t>102765</t>
  </si>
  <si>
    <t>102764</t>
  </si>
  <si>
    <t>102763</t>
  </si>
  <si>
    <t>102762</t>
  </si>
  <si>
    <t>102761</t>
  </si>
  <si>
    <t>102760</t>
  </si>
  <si>
    <t>102759</t>
  </si>
  <si>
    <t>102758</t>
  </si>
  <si>
    <t>102757</t>
  </si>
  <si>
    <t>102756</t>
  </si>
  <si>
    <t>Columbus</t>
  </si>
  <si>
    <t>102755</t>
  </si>
  <si>
    <t>102754</t>
  </si>
  <si>
    <t>102753</t>
  </si>
  <si>
    <t>San Francisco</t>
  </si>
  <si>
    <t>102752</t>
  </si>
  <si>
    <t>102751</t>
  </si>
  <si>
    <t>102750</t>
  </si>
  <si>
    <t>102749</t>
  </si>
  <si>
    <t>102748</t>
  </si>
  <si>
    <t>102747</t>
  </si>
  <si>
    <t>102746</t>
  </si>
  <si>
    <t>102745</t>
  </si>
  <si>
    <t>Charlotte</t>
  </si>
  <si>
    <t>102744</t>
  </si>
  <si>
    <t>102743</t>
  </si>
  <si>
    <t>102742</t>
  </si>
  <si>
    <t>102741</t>
  </si>
  <si>
    <t>102740</t>
  </si>
  <si>
    <t>102739</t>
  </si>
  <si>
    <t>102738</t>
  </si>
  <si>
    <t>102737</t>
  </si>
  <si>
    <t>102736</t>
  </si>
  <si>
    <t>102735</t>
  </si>
  <si>
    <t>102734</t>
  </si>
  <si>
    <t>102733</t>
  </si>
  <si>
    <t>102732</t>
  </si>
  <si>
    <t>102731</t>
  </si>
  <si>
    <t>102730</t>
  </si>
  <si>
    <t>102729</t>
  </si>
  <si>
    <t>102728</t>
  </si>
  <si>
    <t>102727</t>
  </si>
  <si>
    <t>102726</t>
  </si>
  <si>
    <t>102725</t>
  </si>
  <si>
    <t>102724</t>
  </si>
  <si>
    <t>102723</t>
  </si>
  <si>
    <t>102722</t>
  </si>
  <si>
    <t>102721</t>
  </si>
  <si>
    <t>102720</t>
  </si>
  <si>
    <t>102719</t>
  </si>
  <si>
    <t>102718</t>
  </si>
  <si>
    <t>102717</t>
  </si>
  <si>
    <t>102716</t>
  </si>
  <si>
    <t>102715</t>
  </si>
  <si>
    <t>102714</t>
  </si>
  <si>
    <t>102713</t>
  </si>
  <si>
    <t>102712</t>
  </si>
  <si>
    <t>102711</t>
  </si>
  <si>
    <t>102710</t>
  </si>
  <si>
    <t>102709</t>
  </si>
  <si>
    <t>102708</t>
  </si>
  <si>
    <t>102707</t>
  </si>
  <si>
    <t>102706</t>
  </si>
  <si>
    <t>102705</t>
  </si>
  <si>
    <t>102704</t>
  </si>
  <si>
    <t>102703</t>
  </si>
  <si>
    <t>102702</t>
  </si>
  <si>
    <t>102701</t>
  </si>
  <si>
    <t>102700</t>
  </si>
  <si>
    <t>102699</t>
  </si>
  <si>
    <t>102698</t>
  </si>
  <si>
    <t>102697</t>
  </si>
  <si>
    <t>102696</t>
  </si>
  <si>
    <t>102695</t>
  </si>
  <si>
    <t>102694</t>
  </si>
  <si>
    <t>102693</t>
  </si>
  <si>
    <t>102692</t>
  </si>
  <si>
    <t>102691</t>
  </si>
  <si>
    <t>102690</t>
  </si>
  <si>
    <t>102689</t>
  </si>
  <si>
    <t>102688</t>
  </si>
  <si>
    <t>102687</t>
  </si>
  <si>
    <t>102686</t>
  </si>
  <si>
    <t>102685</t>
  </si>
  <si>
    <t>102684</t>
  </si>
  <si>
    <t>102683</t>
  </si>
  <si>
    <t>102682</t>
  </si>
  <si>
    <t>102681</t>
  </si>
  <si>
    <t>102680</t>
  </si>
  <si>
    <t>102679</t>
  </si>
  <si>
    <t>102678</t>
  </si>
  <si>
    <t>102677</t>
  </si>
  <si>
    <t>102676</t>
  </si>
  <si>
    <t>102675</t>
  </si>
  <si>
    <t>102674</t>
  </si>
  <si>
    <t>102673</t>
  </si>
  <si>
    <t>102672</t>
  </si>
  <si>
    <t>102671</t>
  </si>
  <si>
    <t>102670</t>
  </si>
  <si>
    <t>102669</t>
  </si>
  <si>
    <t>102668</t>
  </si>
  <si>
    <t>102667</t>
  </si>
  <si>
    <t>102666</t>
  </si>
  <si>
    <t>102665</t>
  </si>
  <si>
    <t>102664</t>
  </si>
  <si>
    <t>102663</t>
  </si>
  <si>
    <t>102662</t>
  </si>
  <si>
    <t>102661</t>
  </si>
  <si>
    <t>Indianapolis</t>
  </si>
  <si>
    <t>102660</t>
  </si>
  <si>
    <t>102659</t>
  </si>
  <si>
    <t>102658</t>
  </si>
  <si>
    <t>102657</t>
  </si>
  <si>
    <t>102656</t>
  </si>
  <si>
    <t>102655</t>
  </si>
  <si>
    <t>102654</t>
  </si>
  <si>
    <t>102653</t>
  </si>
  <si>
    <t>102652</t>
  </si>
  <si>
    <t>102651</t>
  </si>
  <si>
    <t>102650</t>
  </si>
  <si>
    <t>102649</t>
  </si>
  <si>
    <t>102648</t>
  </si>
  <si>
    <t>102647</t>
  </si>
  <si>
    <t>102646</t>
  </si>
  <si>
    <t>102645</t>
  </si>
  <si>
    <t>102644</t>
  </si>
  <si>
    <t>102643</t>
  </si>
  <si>
    <t>102642</t>
  </si>
  <si>
    <t>102641</t>
  </si>
  <si>
    <t>102640</t>
  </si>
  <si>
    <t>102639</t>
  </si>
  <si>
    <t>102638</t>
  </si>
  <si>
    <t>102637</t>
  </si>
  <si>
    <t>102636</t>
  </si>
  <si>
    <t>102635</t>
  </si>
  <si>
    <t>102634</t>
  </si>
  <si>
    <t>102633</t>
  </si>
  <si>
    <t>102632</t>
  </si>
  <si>
    <t>102631</t>
  </si>
  <si>
    <t>102630</t>
  </si>
  <si>
    <t>102629</t>
  </si>
  <si>
    <t>102628</t>
  </si>
  <si>
    <t>102627</t>
  </si>
  <si>
    <t>102626</t>
  </si>
  <si>
    <t>102625</t>
  </si>
  <si>
    <t>102624</t>
  </si>
  <si>
    <t>102623</t>
  </si>
  <si>
    <t>102622</t>
  </si>
  <si>
    <t>102621</t>
  </si>
  <si>
    <t>102620</t>
  </si>
  <si>
    <t>102619</t>
  </si>
  <si>
    <t>102618</t>
  </si>
  <si>
    <t>102617</t>
  </si>
  <si>
    <t>102616</t>
  </si>
  <si>
    <t>102615</t>
  </si>
  <si>
    <t>102614</t>
  </si>
  <si>
    <t>102613</t>
  </si>
  <si>
    <t>102612</t>
  </si>
  <si>
    <t>102611</t>
  </si>
  <si>
    <t>102610</t>
  </si>
  <si>
    <t>102609</t>
  </si>
  <si>
    <t>102608</t>
  </si>
  <si>
    <t>102607</t>
  </si>
  <si>
    <t>102606</t>
  </si>
  <si>
    <t>102605</t>
  </si>
  <si>
    <t>102604</t>
  </si>
  <si>
    <t>102603</t>
  </si>
  <si>
    <t>102602</t>
  </si>
  <si>
    <t>102601</t>
  </si>
  <si>
    <t>102600</t>
  </si>
  <si>
    <t>102599</t>
  </si>
  <si>
    <t>102598</t>
  </si>
  <si>
    <t>102597</t>
  </si>
  <si>
    <t>102596</t>
  </si>
  <si>
    <t>102595</t>
  </si>
  <si>
    <t>102594</t>
  </si>
  <si>
    <t>102593</t>
  </si>
  <si>
    <t>102592</t>
  </si>
  <si>
    <t>102591</t>
  </si>
  <si>
    <t>102590</t>
  </si>
  <si>
    <t>102589</t>
  </si>
  <si>
    <t>102588</t>
  </si>
  <si>
    <t>102587</t>
  </si>
  <si>
    <t>102586</t>
  </si>
  <si>
    <t>102585</t>
  </si>
  <si>
    <t>102584</t>
  </si>
  <si>
    <t>102583</t>
  </si>
  <si>
    <t>102582</t>
  </si>
  <si>
    <t>102581</t>
  </si>
  <si>
    <t>102580</t>
  </si>
  <si>
    <t>102579</t>
  </si>
  <si>
    <t>102578</t>
  </si>
  <si>
    <t>102577</t>
  </si>
  <si>
    <t>102576</t>
  </si>
  <si>
    <t>102575</t>
  </si>
  <si>
    <t>102574</t>
  </si>
  <si>
    <t>102573</t>
  </si>
  <si>
    <t>102572</t>
  </si>
  <si>
    <t>102571</t>
  </si>
  <si>
    <t>102570</t>
  </si>
  <si>
    <t>102569</t>
  </si>
  <si>
    <t>102568</t>
  </si>
  <si>
    <t>102567</t>
  </si>
  <si>
    <t>102566</t>
  </si>
  <si>
    <t>102565</t>
  </si>
  <si>
    <t>102564</t>
  </si>
  <si>
    <t>102563</t>
  </si>
  <si>
    <t>102562</t>
  </si>
  <si>
    <t>102561</t>
  </si>
  <si>
    <t>102560</t>
  </si>
  <si>
    <t>102559</t>
  </si>
  <si>
    <t>102558</t>
  </si>
  <si>
    <t>102557</t>
  </si>
  <si>
    <t>102556</t>
  </si>
  <si>
    <t>102555</t>
  </si>
  <si>
    <t>102554</t>
  </si>
  <si>
    <t>Major Distributor</t>
  </si>
  <si>
    <t>Seattle</t>
  </si>
  <si>
    <t>102553</t>
  </si>
  <si>
    <t>102552</t>
  </si>
  <si>
    <t>Closeout</t>
  </si>
  <si>
    <t>Denver</t>
  </si>
  <si>
    <t>102551</t>
  </si>
  <si>
    <t>102550</t>
  </si>
  <si>
    <t>102549</t>
  </si>
  <si>
    <t>102548</t>
  </si>
  <si>
    <t>102547</t>
  </si>
  <si>
    <t>102546</t>
  </si>
  <si>
    <t>102545</t>
  </si>
  <si>
    <t>102544</t>
  </si>
  <si>
    <t>102543</t>
  </si>
  <si>
    <t>102542</t>
  </si>
  <si>
    <t>102541</t>
  </si>
  <si>
    <t>102540</t>
  </si>
  <si>
    <t>102539</t>
  </si>
  <si>
    <t>102538</t>
  </si>
  <si>
    <t>102537</t>
  </si>
  <si>
    <t>102536</t>
  </si>
  <si>
    <t>102535</t>
  </si>
  <si>
    <t>102534</t>
  </si>
  <si>
    <t>102533</t>
  </si>
  <si>
    <t>102532</t>
  </si>
  <si>
    <t>102531</t>
  </si>
  <si>
    <t>102530</t>
  </si>
  <si>
    <t>102529</t>
  </si>
  <si>
    <t>102528</t>
  </si>
  <si>
    <t>102527</t>
  </si>
  <si>
    <t>102526</t>
  </si>
  <si>
    <t>102525</t>
  </si>
  <si>
    <t>102524</t>
  </si>
  <si>
    <t>102523</t>
  </si>
  <si>
    <t>102522</t>
  </si>
  <si>
    <t>102521</t>
  </si>
  <si>
    <t>102520</t>
  </si>
  <si>
    <t>102519</t>
  </si>
  <si>
    <t>102518</t>
  </si>
  <si>
    <t>102517</t>
  </si>
  <si>
    <t>102516</t>
  </si>
  <si>
    <t>102515</t>
  </si>
  <si>
    <t>102514</t>
  </si>
  <si>
    <t>102513</t>
  </si>
  <si>
    <t>102512</t>
  </si>
  <si>
    <t>102511</t>
  </si>
  <si>
    <t>102510</t>
  </si>
  <si>
    <t>102509</t>
  </si>
  <si>
    <t>102508</t>
  </si>
  <si>
    <t>102507</t>
  </si>
  <si>
    <t>102506</t>
  </si>
  <si>
    <t>102505</t>
  </si>
  <si>
    <t>102504</t>
  </si>
  <si>
    <t>102503</t>
  </si>
  <si>
    <t>102502</t>
  </si>
  <si>
    <t>102501</t>
  </si>
  <si>
    <t>102500</t>
  </si>
  <si>
    <t>102499</t>
  </si>
  <si>
    <t>102498</t>
  </si>
  <si>
    <t>102497</t>
  </si>
  <si>
    <t>102496</t>
  </si>
  <si>
    <t>102495</t>
  </si>
  <si>
    <t>102494</t>
  </si>
  <si>
    <t>102493</t>
  </si>
  <si>
    <t>102492</t>
  </si>
  <si>
    <t>102491</t>
  </si>
  <si>
    <t>102490</t>
  </si>
  <si>
    <t>102489</t>
  </si>
  <si>
    <t>Washington</t>
  </si>
  <si>
    <t>102488</t>
  </si>
  <si>
    <t>102487</t>
  </si>
  <si>
    <t>102486</t>
  </si>
  <si>
    <t>102485</t>
  </si>
  <si>
    <t>102484</t>
  </si>
  <si>
    <t>102483</t>
  </si>
  <si>
    <t>102482</t>
  </si>
  <si>
    <t>102481</t>
  </si>
  <si>
    <t>102480</t>
  </si>
  <si>
    <t>102479</t>
  </si>
  <si>
    <t>102478</t>
  </si>
  <si>
    <t>102477</t>
  </si>
  <si>
    <t>102476</t>
  </si>
  <si>
    <t>102475</t>
  </si>
  <si>
    <t>102474</t>
  </si>
  <si>
    <t>102473</t>
  </si>
  <si>
    <t>102472</t>
  </si>
  <si>
    <t>102471</t>
  </si>
  <si>
    <t>102470</t>
  </si>
  <si>
    <t>102469</t>
  </si>
  <si>
    <t>102468</t>
  </si>
  <si>
    <t>102467</t>
  </si>
  <si>
    <t>102466</t>
  </si>
  <si>
    <t>102465</t>
  </si>
  <si>
    <t>102464</t>
  </si>
  <si>
    <t>102463</t>
  </si>
  <si>
    <t>102462</t>
  </si>
  <si>
    <t>102461</t>
  </si>
  <si>
    <t>102460</t>
  </si>
  <si>
    <t>102459</t>
  </si>
  <si>
    <t>102458</t>
  </si>
  <si>
    <t>102457</t>
  </si>
  <si>
    <t>102456</t>
  </si>
  <si>
    <t>102455</t>
  </si>
  <si>
    <t>102454</t>
  </si>
  <si>
    <t>102453</t>
  </si>
  <si>
    <t>102452</t>
  </si>
  <si>
    <t>102451</t>
  </si>
  <si>
    <t>102450</t>
  </si>
  <si>
    <t>102449</t>
  </si>
  <si>
    <t>102448</t>
  </si>
  <si>
    <t>102447</t>
  </si>
  <si>
    <t>102446</t>
  </si>
  <si>
    <t>102445</t>
  </si>
  <si>
    <t>102444</t>
  </si>
  <si>
    <t>102443</t>
  </si>
  <si>
    <t>102442</t>
  </si>
  <si>
    <t>102441</t>
  </si>
  <si>
    <t>102440</t>
  </si>
  <si>
    <t>102439</t>
  </si>
  <si>
    <t>102438</t>
  </si>
  <si>
    <t>102437</t>
  </si>
  <si>
    <t>102436</t>
  </si>
  <si>
    <t>102435</t>
  </si>
  <si>
    <t>102434</t>
  </si>
  <si>
    <t>102433</t>
  </si>
  <si>
    <t>102432</t>
  </si>
  <si>
    <t>102431</t>
  </si>
  <si>
    <t>102430</t>
  </si>
  <si>
    <t>102429</t>
  </si>
  <si>
    <t>102428</t>
  </si>
  <si>
    <t>102427</t>
  </si>
  <si>
    <t>102426</t>
  </si>
  <si>
    <t>102425</t>
  </si>
  <si>
    <t>102424</t>
  </si>
  <si>
    <t>102423</t>
  </si>
  <si>
    <t>102422</t>
  </si>
  <si>
    <t>102421</t>
  </si>
  <si>
    <t>102420</t>
  </si>
  <si>
    <t>102419</t>
  </si>
  <si>
    <t>102418</t>
  </si>
  <si>
    <t>102417</t>
  </si>
  <si>
    <t>102416</t>
  </si>
  <si>
    <t>102415</t>
  </si>
  <si>
    <t>102414</t>
  </si>
  <si>
    <t>102413</t>
  </si>
  <si>
    <t>102412</t>
  </si>
  <si>
    <t>Boston</t>
  </si>
  <si>
    <t>102411</t>
  </si>
  <si>
    <t>102410</t>
  </si>
  <si>
    <t>102409</t>
  </si>
  <si>
    <t>102408</t>
  </si>
  <si>
    <t>102407</t>
  </si>
  <si>
    <t>102406</t>
  </si>
  <si>
    <t>102405</t>
  </si>
  <si>
    <t>102404</t>
  </si>
  <si>
    <t>102403</t>
  </si>
  <si>
    <t>102402</t>
  </si>
  <si>
    <t>El Paso</t>
  </si>
  <si>
    <t>102401</t>
  </si>
  <si>
    <t>102400</t>
  </si>
  <si>
    <t>102399</t>
  </si>
  <si>
    <t>102398</t>
  </si>
  <si>
    <t>102397</t>
  </si>
  <si>
    <t>102396</t>
  </si>
  <si>
    <t>102395</t>
  </si>
  <si>
    <t>102394</t>
  </si>
  <si>
    <t>102393</t>
  </si>
  <si>
    <t>102392</t>
  </si>
  <si>
    <t>102391</t>
  </si>
  <si>
    <t>102390</t>
  </si>
  <si>
    <t>102389</t>
  </si>
  <si>
    <t>102388</t>
  </si>
  <si>
    <t>102387</t>
  </si>
  <si>
    <t>102386</t>
  </si>
  <si>
    <t>102385</t>
  </si>
  <si>
    <t>102384</t>
  </si>
  <si>
    <t>102383</t>
  </si>
  <si>
    <t>102382</t>
  </si>
  <si>
    <t>102381</t>
  </si>
  <si>
    <t>102380</t>
  </si>
  <si>
    <t>102379</t>
  </si>
  <si>
    <t>102378</t>
  </si>
  <si>
    <t>102377</t>
  </si>
  <si>
    <t>102376</t>
  </si>
  <si>
    <t>102375</t>
  </si>
  <si>
    <t>102374</t>
  </si>
  <si>
    <t>102373</t>
  </si>
  <si>
    <t>102372</t>
  </si>
  <si>
    <t>102371</t>
  </si>
  <si>
    <t>102370</t>
  </si>
  <si>
    <t>102369</t>
  </si>
  <si>
    <t>102368</t>
  </si>
  <si>
    <t>102367</t>
  </si>
  <si>
    <t>102366</t>
  </si>
  <si>
    <t>102365</t>
  </si>
  <si>
    <t>102364</t>
  </si>
  <si>
    <t>102363</t>
  </si>
  <si>
    <t>102362</t>
  </si>
  <si>
    <t>102361</t>
  </si>
  <si>
    <t>102360</t>
  </si>
  <si>
    <t>102359</t>
  </si>
  <si>
    <t>102358</t>
  </si>
  <si>
    <t>102357</t>
  </si>
  <si>
    <t>102356</t>
  </si>
  <si>
    <t>102355</t>
  </si>
  <si>
    <t>102354</t>
  </si>
  <si>
    <t>102353</t>
  </si>
  <si>
    <t>102352</t>
  </si>
  <si>
    <t>102351</t>
  </si>
  <si>
    <t>102350</t>
  </si>
  <si>
    <t>102349</t>
  </si>
  <si>
    <t>102348</t>
  </si>
  <si>
    <t>102347</t>
  </si>
  <si>
    <t>Nashville</t>
  </si>
  <si>
    <t>102346</t>
  </si>
  <si>
    <t>102345</t>
  </si>
  <si>
    <t>102344</t>
  </si>
  <si>
    <t>102343</t>
  </si>
  <si>
    <t>102342</t>
  </si>
  <si>
    <t>102341</t>
  </si>
  <si>
    <t>102340</t>
  </si>
  <si>
    <t>102339</t>
  </si>
  <si>
    <t>102338</t>
  </si>
  <si>
    <t>102337</t>
  </si>
  <si>
    <t>102336</t>
  </si>
  <si>
    <t>102335</t>
  </si>
  <si>
    <t>102334</t>
  </si>
  <si>
    <t>102333</t>
  </si>
  <si>
    <t>102332</t>
  </si>
  <si>
    <t>102331</t>
  </si>
  <si>
    <t>102330</t>
  </si>
  <si>
    <t>102329</t>
  </si>
  <si>
    <t>102328</t>
  </si>
  <si>
    <t>102327</t>
  </si>
  <si>
    <t>102326</t>
  </si>
  <si>
    <t>102325</t>
  </si>
  <si>
    <t>102324</t>
  </si>
  <si>
    <t>102323</t>
  </si>
  <si>
    <t>102322</t>
  </si>
  <si>
    <t>102321</t>
  </si>
  <si>
    <t>102320</t>
  </si>
  <si>
    <t>102319</t>
  </si>
  <si>
    <t>102318</t>
  </si>
  <si>
    <t>102317</t>
  </si>
  <si>
    <t>102316</t>
  </si>
  <si>
    <t>102315</t>
  </si>
  <si>
    <t>102314</t>
  </si>
  <si>
    <t>102313</t>
  </si>
  <si>
    <t>102312</t>
  </si>
  <si>
    <t>102311</t>
  </si>
  <si>
    <t>102310</t>
  </si>
  <si>
    <t>102309</t>
  </si>
  <si>
    <t>102308</t>
  </si>
  <si>
    <t>102307</t>
  </si>
  <si>
    <t>102306</t>
  </si>
  <si>
    <t>102305</t>
  </si>
  <si>
    <t>102304</t>
  </si>
  <si>
    <t>102303</t>
  </si>
  <si>
    <t>102302</t>
  </si>
  <si>
    <t>102301</t>
  </si>
  <si>
    <t>102300</t>
  </si>
  <si>
    <t>102299</t>
  </si>
  <si>
    <t>102298</t>
  </si>
  <si>
    <t>102297</t>
  </si>
  <si>
    <t>102296</t>
  </si>
  <si>
    <t>102295</t>
  </si>
  <si>
    <t>102294</t>
  </si>
  <si>
    <t>102293</t>
  </si>
  <si>
    <t>102292</t>
  </si>
  <si>
    <t>102291</t>
  </si>
  <si>
    <t>102290</t>
  </si>
  <si>
    <t>102289</t>
  </si>
  <si>
    <t>102288</t>
  </si>
  <si>
    <t>102287</t>
  </si>
  <si>
    <t>102286</t>
  </si>
  <si>
    <t>102285</t>
  </si>
  <si>
    <t>102284</t>
  </si>
  <si>
    <t>102283</t>
  </si>
  <si>
    <t>102282</t>
  </si>
  <si>
    <t>102281</t>
  </si>
  <si>
    <t>102280</t>
  </si>
  <si>
    <t>102279</t>
  </si>
  <si>
    <t>102278</t>
  </si>
  <si>
    <t>102277</t>
  </si>
  <si>
    <t>102276</t>
  </si>
  <si>
    <t>102275</t>
  </si>
  <si>
    <t>102274</t>
  </si>
  <si>
    <t>Detroit</t>
  </si>
  <si>
    <t>102273</t>
  </si>
  <si>
    <t>102272</t>
  </si>
  <si>
    <t>102271</t>
  </si>
  <si>
    <t>102270</t>
  </si>
  <si>
    <t>102269</t>
  </si>
  <si>
    <t>102268</t>
  </si>
  <si>
    <t>102267</t>
  </si>
  <si>
    <t>102266</t>
  </si>
  <si>
    <t>102265</t>
  </si>
  <si>
    <t>102264</t>
  </si>
  <si>
    <t>102263</t>
  </si>
  <si>
    <t>102262</t>
  </si>
  <si>
    <t>102261</t>
  </si>
  <si>
    <t>102260</t>
  </si>
  <si>
    <t>102259</t>
  </si>
  <si>
    <t>102258</t>
  </si>
  <si>
    <t>102257</t>
  </si>
  <si>
    <t>102256</t>
  </si>
  <si>
    <t>102255</t>
  </si>
  <si>
    <t>102254</t>
  </si>
  <si>
    <t>102253</t>
  </si>
  <si>
    <t>102252</t>
  </si>
  <si>
    <t>102251</t>
  </si>
  <si>
    <t>102250</t>
  </si>
  <si>
    <t>102249</t>
  </si>
  <si>
    <t>102248</t>
  </si>
  <si>
    <t>102247</t>
  </si>
  <si>
    <t>102246</t>
  </si>
  <si>
    <t>102245</t>
  </si>
  <si>
    <t>102244</t>
  </si>
  <si>
    <t>102243</t>
  </si>
  <si>
    <t>102242</t>
  </si>
  <si>
    <t>102241</t>
  </si>
  <si>
    <t>102240</t>
  </si>
  <si>
    <t>102239</t>
  </si>
  <si>
    <t>102238</t>
  </si>
  <si>
    <t>102237</t>
  </si>
  <si>
    <t>102236</t>
  </si>
  <si>
    <t>102235</t>
  </si>
  <si>
    <t>102234</t>
  </si>
  <si>
    <t>102233</t>
  </si>
  <si>
    <t>102232</t>
  </si>
  <si>
    <t>102231</t>
  </si>
  <si>
    <t>102230</t>
  </si>
  <si>
    <t>102229</t>
  </si>
  <si>
    <t>102228</t>
  </si>
  <si>
    <t>102227</t>
  </si>
  <si>
    <t>102226</t>
  </si>
  <si>
    <t>102225</t>
  </si>
  <si>
    <t>102224</t>
  </si>
  <si>
    <t>102223</t>
  </si>
  <si>
    <t>102222</t>
  </si>
  <si>
    <t>102221</t>
  </si>
  <si>
    <t>102220</t>
  </si>
  <si>
    <t>102219</t>
  </si>
  <si>
    <t>102218</t>
  </si>
  <si>
    <t>102217</t>
  </si>
  <si>
    <t>102216</t>
  </si>
  <si>
    <t>102215</t>
  </si>
  <si>
    <t>102214</t>
  </si>
  <si>
    <t>102213</t>
  </si>
  <si>
    <t>102212</t>
  </si>
  <si>
    <t>102211</t>
  </si>
  <si>
    <t>102210</t>
  </si>
  <si>
    <t>102208</t>
  </si>
  <si>
    <t>102207</t>
  </si>
  <si>
    <t>102206</t>
  </si>
  <si>
    <t>102205</t>
  </si>
  <si>
    <t>102204</t>
  </si>
  <si>
    <t>102203</t>
  </si>
  <si>
    <t>102202</t>
  </si>
  <si>
    <t>102201</t>
  </si>
  <si>
    <t>102200</t>
  </si>
  <si>
    <t>102199</t>
  </si>
  <si>
    <t>102198</t>
  </si>
  <si>
    <t>102197</t>
  </si>
  <si>
    <t>102196</t>
  </si>
  <si>
    <t>102195</t>
  </si>
  <si>
    <t>102194</t>
  </si>
  <si>
    <t>102193</t>
  </si>
  <si>
    <t>102192</t>
  </si>
  <si>
    <t>102191</t>
  </si>
  <si>
    <t>102190</t>
  </si>
  <si>
    <t>102189</t>
  </si>
  <si>
    <t>102188</t>
  </si>
  <si>
    <t>102187</t>
  </si>
  <si>
    <t>102186</t>
  </si>
  <si>
    <t>102185</t>
  </si>
  <si>
    <t>102184</t>
  </si>
  <si>
    <t>102183</t>
  </si>
  <si>
    <t>102182</t>
  </si>
  <si>
    <t>102181</t>
  </si>
  <si>
    <t>102180</t>
  </si>
  <si>
    <t>102179</t>
  </si>
  <si>
    <t>102178</t>
  </si>
  <si>
    <t>102177</t>
  </si>
  <si>
    <t>102176</t>
  </si>
  <si>
    <t>102175</t>
  </si>
  <si>
    <t>102174</t>
  </si>
  <si>
    <t>102173</t>
  </si>
  <si>
    <t>102172</t>
  </si>
  <si>
    <t>102171</t>
  </si>
  <si>
    <t>102170</t>
  </si>
  <si>
    <t>102169</t>
  </si>
  <si>
    <t>102168</t>
  </si>
  <si>
    <t>102167</t>
  </si>
  <si>
    <t>102166</t>
  </si>
  <si>
    <t>102165</t>
  </si>
  <si>
    <t>102164</t>
  </si>
  <si>
    <t>102163</t>
  </si>
  <si>
    <t>102162</t>
  </si>
  <si>
    <t>102161</t>
  </si>
  <si>
    <t>102160</t>
  </si>
  <si>
    <t>102159</t>
  </si>
  <si>
    <t>102158</t>
  </si>
  <si>
    <t>102157</t>
  </si>
  <si>
    <t>102156</t>
  </si>
  <si>
    <t>102155</t>
  </si>
  <si>
    <t>102154</t>
  </si>
  <si>
    <t>102153</t>
  </si>
  <si>
    <t>102152</t>
  </si>
  <si>
    <t>102151</t>
  </si>
  <si>
    <t>102150</t>
  </si>
  <si>
    <t>102149</t>
  </si>
  <si>
    <t>102148</t>
  </si>
  <si>
    <t>102147</t>
  </si>
  <si>
    <t>102146</t>
  </si>
  <si>
    <t>102145</t>
  </si>
  <si>
    <t>102144</t>
  </si>
  <si>
    <t>102143</t>
  </si>
  <si>
    <t>102142</t>
  </si>
  <si>
    <t>102141</t>
  </si>
  <si>
    <t>102140</t>
  </si>
  <si>
    <t>102139</t>
  </si>
  <si>
    <t>102138</t>
  </si>
  <si>
    <t>102137</t>
  </si>
  <si>
    <t>102136</t>
  </si>
  <si>
    <t>102135</t>
  </si>
  <si>
    <t>102134</t>
  </si>
  <si>
    <t>102133</t>
  </si>
  <si>
    <t>102132</t>
  </si>
  <si>
    <t>102131</t>
  </si>
  <si>
    <t>102130</t>
  </si>
  <si>
    <t>102129</t>
  </si>
  <si>
    <t>Oklahoma City</t>
  </si>
  <si>
    <t>102128</t>
  </si>
  <si>
    <t>102127</t>
  </si>
  <si>
    <t>102126</t>
  </si>
  <si>
    <t>102125</t>
  </si>
  <si>
    <t>102124</t>
  </si>
  <si>
    <t>102123</t>
  </si>
  <si>
    <t>102122</t>
  </si>
  <si>
    <t>102121</t>
  </si>
  <si>
    <t>102120</t>
  </si>
  <si>
    <t>102119</t>
  </si>
  <si>
    <t>102118</t>
  </si>
  <si>
    <t>102117</t>
  </si>
  <si>
    <t>102116</t>
  </si>
  <si>
    <t>102115</t>
  </si>
  <si>
    <t>102114</t>
  </si>
  <si>
    <t>102113</t>
  </si>
  <si>
    <t>102112</t>
  </si>
  <si>
    <t>102111</t>
  </si>
  <si>
    <t>102110</t>
  </si>
  <si>
    <t>102109</t>
  </si>
  <si>
    <t>102108</t>
  </si>
  <si>
    <t>102107</t>
  </si>
  <si>
    <t>102106</t>
  </si>
  <si>
    <t>102105</t>
  </si>
  <si>
    <t>102104</t>
  </si>
  <si>
    <t>102103</t>
  </si>
  <si>
    <t>102102</t>
  </si>
  <si>
    <t>102101</t>
  </si>
  <si>
    <t>102100</t>
  </si>
  <si>
    <t>102099</t>
  </si>
  <si>
    <t>102098</t>
  </si>
  <si>
    <t>102097</t>
  </si>
  <si>
    <t>102096</t>
  </si>
  <si>
    <t>102095</t>
  </si>
  <si>
    <t>102094</t>
  </si>
  <si>
    <t>102093</t>
  </si>
  <si>
    <t>102092</t>
  </si>
  <si>
    <t>102091</t>
  </si>
  <si>
    <t>102090</t>
  </si>
  <si>
    <t>102089</t>
  </si>
  <si>
    <t>102088</t>
  </si>
  <si>
    <t>102087</t>
  </si>
  <si>
    <t>102086</t>
  </si>
  <si>
    <t>102085</t>
  </si>
  <si>
    <t>102084</t>
  </si>
  <si>
    <t>102083</t>
  </si>
  <si>
    <t>102082</t>
  </si>
  <si>
    <t>102081</t>
  </si>
  <si>
    <t>102080</t>
  </si>
  <si>
    <t>102079</t>
  </si>
  <si>
    <t>102078</t>
  </si>
  <si>
    <t>102077</t>
  </si>
  <si>
    <t>102076</t>
  </si>
  <si>
    <t>102075</t>
  </si>
  <si>
    <t>102074</t>
  </si>
  <si>
    <t>102073</t>
  </si>
  <si>
    <t>102072</t>
  </si>
  <si>
    <t>102071</t>
  </si>
  <si>
    <t>102070</t>
  </si>
  <si>
    <t>102069</t>
  </si>
  <si>
    <t>102068</t>
  </si>
  <si>
    <t>102067</t>
  </si>
  <si>
    <t>102066</t>
  </si>
  <si>
    <t>102065</t>
  </si>
  <si>
    <t>102064</t>
  </si>
  <si>
    <t>102063</t>
  </si>
  <si>
    <t>102062</t>
  </si>
  <si>
    <t>102061</t>
  </si>
  <si>
    <t>102060</t>
  </si>
  <si>
    <t>102059</t>
  </si>
  <si>
    <t>102058</t>
  </si>
  <si>
    <t>102057</t>
  </si>
  <si>
    <t>102056</t>
  </si>
  <si>
    <t>102055</t>
  </si>
  <si>
    <t>102054</t>
  </si>
  <si>
    <t>102053</t>
  </si>
  <si>
    <t>102052</t>
  </si>
  <si>
    <t>102051</t>
  </si>
  <si>
    <t>102050</t>
  </si>
  <si>
    <t>102049</t>
  </si>
  <si>
    <t>102048</t>
  </si>
  <si>
    <t>102047</t>
  </si>
  <si>
    <t>102046</t>
  </si>
  <si>
    <t>102045</t>
  </si>
  <si>
    <t>102044</t>
  </si>
  <si>
    <t>102043</t>
  </si>
  <si>
    <t>102042</t>
  </si>
  <si>
    <t>102041</t>
  </si>
  <si>
    <t>102040</t>
  </si>
  <si>
    <t>102039</t>
  </si>
  <si>
    <t>102038</t>
  </si>
  <si>
    <t>102037</t>
  </si>
  <si>
    <t>102036</t>
  </si>
  <si>
    <t>102035</t>
  </si>
  <si>
    <t>102034</t>
  </si>
  <si>
    <t>102033</t>
  </si>
  <si>
    <t>102032</t>
  </si>
  <si>
    <t>102031</t>
  </si>
  <si>
    <t>102030</t>
  </si>
  <si>
    <t>102029</t>
  </si>
  <si>
    <t>102028</t>
  </si>
  <si>
    <t>102027</t>
  </si>
  <si>
    <t>102026</t>
  </si>
  <si>
    <t>102025</t>
  </si>
  <si>
    <t>102024</t>
  </si>
  <si>
    <t>102023</t>
  </si>
  <si>
    <t>102022</t>
  </si>
  <si>
    <t>102021</t>
  </si>
  <si>
    <t>102020</t>
  </si>
  <si>
    <t>102019</t>
  </si>
  <si>
    <t>102018</t>
  </si>
  <si>
    <t>102017</t>
  </si>
  <si>
    <t>102016</t>
  </si>
  <si>
    <t>102015</t>
  </si>
  <si>
    <t>102014</t>
  </si>
  <si>
    <t>102013</t>
  </si>
  <si>
    <t>102012</t>
  </si>
  <si>
    <t>102011</t>
  </si>
  <si>
    <t>102010</t>
  </si>
  <si>
    <t>102009</t>
  </si>
  <si>
    <t>102008</t>
  </si>
  <si>
    <t>102007</t>
  </si>
  <si>
    <t>102006</t>
  </si>
  <si>
    <t>102005</t>
  </si>
  <si>
    <t>102004</t>
  </si>
  <si>
    <t>102003</t>
  </si>
  <si>
    <t>102002</t>
  </si>
  <si>
    <t>102001</t>
  </si>
  <si>
    <t>102000</t>
  </si>
  <si>
    <t>101999</t>
  </si>
  <si>
    <t>101998</t>
  </si>
  <si>
    <t>101997</t>
  </si>
  <si>
    <t>101996</t>
  </si>
  <si>
    <t>101995</t>
  </si>
  <si>
    <t>101994</t>
  </si>
  <si>
    <t>101993</t>
  </si>
  <si>
    <t>101992</t>
  </si>
  <si>
    <t>101991</t>
  </si>
  <si>
    <t>101990</t>
  </si>
  <si>
    <t>101989</t>
  </si>
  <si>
    <t>101988</t>
  </si>
  <si>
    <t>101987</t>
  </si>
  <si>
    <t>101986</t>
  </si>
  <si>
    <t>101985</t>
  </si>
  <si>
    <t>101984</t>
  </si>
  <si>
    <t>101983</t>
  </si>
  <si>
    <t>101982</t>
  </si>
  <si>
    <t>101981</t>
  </si>
  <si>
    <t>101980</t>
  </si>
  <si>
    <t>101979</t>
  </si>
  <si>
    <t>101978</t>
  </si>
  <si>
    <t>101977</t>
  </si>
  <si>
    <t>101976</t>
  </si>
  <si>
    <t>101975</t>
  </si>
  <si>
    <t>101974</t>
  </si>
  <si>
    <t>101973</t>
  </si>
  <si>
    <t>101972</t>
  </si>
  <si>
    <t>101971</t>
  </si>
  <si>
    <t>101970</t>
  </si>
  <si>
    <t>101969</t>
  </si>
  <si>
    <t>101968</t>
  </si>
  <si>
    <t>101967</t>
  </si>
  <si>
    <t>101966</t>
  </si>
  <si>
    <t>101965</t>
  </si>
  <si>
    <t>101964</t>
  </si>
  <si>
    <t>101963</t>
  </si>
  <si>
    <t>101962</t>
  </si>
  <si>
    <t>101961</t>
  </si>
  <si>
    <t>101960</t>
  </si>
  <si>
    <t>101959</t>
  </si>
  <si>
    <t>101958</t>
  </si>
  <si>
    <t>101957</t>
  </si>
  <si>
    <t>101956</t>
  </si>
  <si>
    <t>101955</t>
  </si>
  <si>
    <t>101954</t>
  </si>
  <si>
    <t>101953</t>
  </si>
  <si>
    <t>101952</t>
  </si>
  <si>
    <t>101951</t>
  </si>
  <si>
    <t>101950</t>
  </si>
  <si>
    <t>101949</t>
  </si>
  <si>
    <t>101948</t>
  </si>
  <si>
    <t>101947</t>
  </si>
  <si>
    <t>101946</t>
  </si>
  <si>
    <t>101945</t>
  </si>
  <si>
    <t>101944</t>
  </si>
  <si>
    <t>101943</t>
  </si>
  <si>
    <t>101942</t>
  </si>
  <si>
    <t>101941</t>
  </si>
  <si>
    <t>101940</t>
  </si>
  <si>
    <t>101939</t>
  </si>
  <si>
    <t>101938</t>
  </si>
  <si>
    <t>101937</t>
  </si>
  <si>
    <t>101936</t>
  </si>
  <si>
    <t>101935</t>
  </si>
  <si>
    <t>101934</t>
  </si>
  <si>
    <t>101933</t>
  </si>
  <si>
    <t>101932</t>
  </si>
  <si>
    <t>101931</t>
  </si>
  <si>
    <t>101930</t>
  </si>
  <si>
    <t>101929</t>
  </si>
  <si>
    <t>101928</t>
  </si>
  <si>
    <t>101927</t>
  </si>
  <si>
    <t>101926</t>
  </si>
  <si>
    <t>101925</t>
  </si>
  <si>
    <t>101924</t>
  </si>
  <si>
    <t>101923</t>
  </si>
  <si>
    <t>101922</t>
  </si>
  <si>
    <t>101921</t>
  </si>
  <si>
    <t>101920</t>
  </si>
  <si>
    <t>101919</t>
  </si>
  <si>
    <t>101918</t>
  </si>
  <si>
    <t>101917</t>
  </si>
  <si>
    <t>101916</t>
  </si>
  <si>
    <t>101915</t>
  </si>
  <si>
    <t>101914</t>
  </si>
  <si>
    <t>101913</t>
  </si>
  <si>
    <t>101912</t>
  </si>
  <si>
    <t>101911</t>
  </si>
  <si>
    <t>101910</t>
  </si>
  <si>
    <t>101909</t>
  </si>
  <si>
    <t>101908</t>
  </si>
  <si>
    <t>101907</t>
  </si>
  <si>
    <t>101906</t>
  </si>
  <si>
    <t>101905</t>
  </si>
  <si>
    <t>101904</t>
  </si>
  <si>
    <t>101903</t>
  </si>
  <si>
    <t>101902</t>
  </si>
  <si>
    <t>101901</t>
  </si>
  <si>
    <t>101900</t>
  </si>
  <si>
    <t>101899</t>
  </si>
  <si>
    <t>101898</t>
  </si>
  <si>
    <t>101897</t>
  </si>
  <si>
    <t>101896</t>
  </si>
  <si>
    <t>101895</t>
  </si>
  <si>
    <t>101894</t>
  </si>
  <si>
    <t>101893</t>
  </si>
  <si>
    <t>101892</t>
  </si>
  <si>
    <t>101891</t>
  </si>
  <si>
    <t>101890</t>
  </si>
  <si>
    <t>101889</t>
  </si>
  <si>
    <t>101888</t>
  </si>
  <si>
    <t>101887</t>
  </si>
  <si>
    <t>101886</t>
  </si>
  <si>
    <t>101885</t>
  </si>
  <si>
    <t>101884</t>
  </si>
  <si>
    <t>101883</t>
  </si>
  <si>
    <t>101882</t>
  </si>
  <si>
    <t>101881</t>
  </si>
  <si>
    <t>101880</t>
  </si>
  <si>
    <t>101879</t>
  </si>
  <si>
    <t>101878</t>
  </si>
  <si>
    <t>101877</t>
  </si>
  <si>
    <t>101876</t>
  </si>
  <si>
    <t>101875</t>
  </si>
  <si>
    <t>101874</t>
  </si>
  <si>
    <t>101873</t>
  </si>
  <si>
    <t>101872</t>
  </si>
  <si>
    <t>101871</t>
  </si>
  <si>
    <t>101870</t>
  </si>
  <si>
    <t>101869</t>
  </si>
  <si>
    <t>101868</t>
  </si>
  <si>
    <t>101867</t>
  </si>
  <si>
    <t>101866</t>
  </si>
  <si>
    <t>Portland</t>
  </si>
  <si>
    <t>101865</t>
  </si>
  <si>
    <t>101864</t>
  </si>
  <si>
    <t>101863</t>
  </si>
  <si>
    <t>101862</t>
  </si>
  <si>
    <t>101861</t>
  </si>
  <si>
    <t>101860</t>
  </si>
  <si>
    <t>101859</t>
  </si>
  <si>
    <t>101858</t>
  </si>
  <si>
    <t>101857</t>
  </si>
  <si>
    <t>101856</t>
  </si>
  <si>
    <t>101855</t>
  </si>
  <si>
    <t>101854</t>
  </si>
  <si>
    <t>101853</t>
  </si>
  <si>
    <t>101852</t>
  </si>
  <si>
    <t>101851</t>
  </si>
  <si>
    <t>101850</t>
  </si>
  <si>
    <t>101849</t>
  </si>
  <si>
    <t>101848</t>
  </si>
  <si>
    <t>101847</t>
  </si>
  <si>
    <t>101846</t>
  </si>
  <si>
    <t>101845</t>
  </si>
  <si>
    <t>101844</t>
  </si>
  <si>
    <t>101843</t>
  </si>
  <si>
    <t>101842</t>
  </si>
  <si>
    <t>101841</t>
  </si>
  <si>
    <t>101840</t>
  </si>
  <si>
    <t>101839</t>
  </si>
  <si>
    <t>101838</t>
  </si>
  <si>
    <t>101837</t>
  </si>
  <si>
    <t>101836</t>
  </si>
  <si>
    <t>101835</t>
  </si>
  <si>
    <t>101834</t>
  </si>
  <si>
    <t>101833</t>
  </si>
  <si>
    <t>101832</t>
  </si>
  <si>
    <t>101831</t>
  </si>
  <si>
    <t>101830</t>
  </si>
  <si>
    <t>101829</t>
  </si>
  <si>
    <t>101828</t>
  </si>
  <si>
    <t>101827</t>
  </si>
  <si>
    <t>101826</t>
  </si>
  <si>
    <t>101825</t>
  </si>
  <si>
    <t>101824</t>
  </si>
  <si>
    <t>101823</t>
  </si>
  <si>
    <t>101822</t>
  </si>
  <si>
    <t>101821</t>
  </si>
  <si>
    <t>101820</t>
  </si>
  <si>
    <t>101819</t>
  </si>
  <si>
    <t>101818</t>
  </si>
  <si>
    <t>101817</t>
  </si>
  <si>
    <t>101816</t>
  </si>
  <si>
    <t>101815</t>
  </si>
  <si>
    <t>101814</t>
  </si>
  <si>
    <t>101813</t>
  </si>
  <si>
    <t>101812</t>
  </si>
  <si>
    <t>101811</t>
  </si>
  <si>
    <t>101810</t>
  </si>
  <si>
    <t>101809</t>
  </si>
  <si>
    <t>101808</t>
  </si>
  <si>
    <t>101807</t>
  </si>
  <si>
    <t>101806</t>
  </si>
  <si>
    <t>101805</t>
  </si>
  <si>
    <t>101804</t>
  </si>
  <si>
    <t>101803</t>
  </si>
  <si>
    <t>101802</t>
  </si>
  <si>
    <t>101801</t>
  </si>
  <si>
    <t>101800</t>
  </si>
  <si>
    <t>101799</t>
  </si>
  <si>
    <t>101798</t>
  </si>
  <si>
    <t>101797</t>
  </si>
  <si>
    <t>101796</t>
  </si>
  <si>
    <t>101795</t>
  </si>
  <si>
    <t>101794</t>
  </si>
  <si>
    <t>101793</t>
  </si>
  <si>
    <t>101792</t>
  </si>
  <si>
    <t>101791</t>
  </si>
  <si>
    <t>101790</t>
  </si>
  <si>
    <t>101789</t>
  </si>
  <si>
    <t>101788</t>
  </si>
  <si>
    <t>101787</t>
  </si>
  <si>
    <t>101786</t>
  </si>
  <si>
    <t>101785</t>
  </si>
  <si>
    <t>101784</t>
  </si>
  <si>
    <t>101783</t>
  </si>
  <si>
    <t>101782</t>
  </si>
  <si>
    <t>101781</t>
  </si>
  <si>
    <t>101780</t>
  </si>
  <si>
    <t>101779</t>
  </si>
  <si>
    <t>101778</t>
  </si>
  <si>
    <t>101777</t>
  </si>
  <si>
    <t>101776</t>
  </si>
  <si>
    <t>101775</t>
  </si>
  <si>
    <t>101774</t>
  </si>
  <si>
    <t>101773</t>
  </si>
  <si>
    <t>101772</t>
  </si>
  <si>
    <t>101771</t>
  </si>
  <si>
    <t>101770</t>
  </si>
  <si>
    <t>101769</t>
  </si>
  <si>
    <t>101768</t>
  </si>
  <si>
    <t>101767</t>
  </si>
  <si>
    <t>101766</t>
  </si>
  <si>
    <t>101765</t>
  </si>
  <si>
    <t>101764</t>
  </si>
  <si>
    <t>101763</t>
  </si>
  <si>
    <t>101762</t>
  </si>
  <si>
    <t>101761</t>
  </si>
  <si>
    <t>101760</t>
  </si>
  <si>
    <t>101759</t>
  </si>
  <si>
    <t>101758</t>
  </si>
  <si>
    <t>101757</t>
  </si>
  <si>
    <t>101756</t>
  </si>
  <si>
    <t>101755</t>
  </si>
  <si>
    <t>101754</t>
  </si>
  <si>
    <t>101753</t>
  </si>
  <si>
    <t>101752</t>
  </si>
  <si>
    <t>101751</t>
  </si>
  <si>
    <t>101750</t>
  </si>
  <si>
    <t>101749</t>
  </si>
  <si>
    <t>101748</t>
  </si>
  <si>
    <t>101747</t>
  </si>
  <si>
    <t>101746</t>
  </si>
  <si>
    <t>101745</t>
  </si>
  <si>
    <t>101744</t>
  </si>
  <si>
    <t>101743</t>
  </si>
  <si>
    <t>101742</t>
  </si>
  <si>
    <t>101741</t>
  </si>
  <si>
    <t>101740</t>
  </si>
  <si>
    <t>101739</t>
  </si>
  <si>
    <t>101738</t>
  </si>
  <si>
    <t>101737</t>
  </si>
  <si>
    <t>101736</t>
  </si>
  <si>
    <t>101735</t>
  </si>
  <si>
    <t>101734</t>
  </si>
  <si>
    <t>101733</t>
  </si>
  <si>
    <t>101732</t>
  </si>
  <si>
    <t>101731</t>
  </si>
  <si>
    <t>101730</t>
  </si>
  <si>
    <t>101729</t>
  </si>
  <si>
    <t>101728</t>
  </si>
  <si>
    <t>101727</t>
  </si>
  <si>
    <t>101726</t>
  </si>
  <si>
    <t>101725</t>
  </si>
  <si>
    <t>101724</t>
  </si>
  <si>
    <t>101723</t>
  </si>
  <si>
    <t>101722</t>
  </si>
  <si>
    <t>101721</t>
  </si>
  <si>
    <t>101720</t>
  </si>
  <si>
    <t>101719</t>
  </si>
  <si>
    <t>101718</t>
  </si>
  <si>
    <t>101717</t>
  </si>
  <si>
    <t>101716</t>
  </si>
  <si>
    <t>101715</t>
  </si>
  <si>
    <t>101714</t>
  </si>
  <si>
    <t>101713</t>
  </si>
  <si>
    <t>101712</t>
  </si>
  <si>
    <t>101711</t>
  </si>
  <si>
    <t>101710</t>
  </si>
  <si>
    <t>101709</t>
  </si>
  <si>
    <t>101708</t>
  </si>
  <si>
    <t>101707</t>
  </si>
  <si>
    <t>101706</t>
  </si>
  <si>
    <t>101705</t>
  </si>
  <si>
    <t>101704</t>
  </si>
  <si>
    <t>101703</t>
  </si>
  <si>
    <t>101702</t>
  </si>
  <si>
    <t>101701</t>
  </si>
  <si>
    <t>101700</t>
  </si>
  <si>
    <t>101699</t>
  </si>
  <si>
    <t>101698</t>
  </si>
  <si>
    <t>101697</t>
  </si>
  <si>
    <t>101696</t>
  </si>
  <si>
    <t>101695</t>
  </si>
  <si>
    <t>101694</t>
  </si>
  <si>
    <t>101693</t>
  </si>
  <si>
    <t>101692</t>
  </si>
  <si>
    <t>101691</t>
  </si>
  <si>
    <t>101690</t>
  </si>
  <si>
    <t>101689</t>
  </si>
  <si>
    <t>101688</t>
  </si>
  <si>
    <t>101687</t>
  </si>
  <si>
    <t>101686</t>
  </si>
  <si>
    <t>101685</t>
  </si>
  <si>
    <t>101684</t>
  </si>
  <si>
    <t>101683</t>
  </si>
  <si>
    <t>101682</t>
  </si>
  <si>
    <t>101681</t>
  </si>
  <si>
    <t>101680</t>
  </si>
  <si>
    <t>101679</t>
  </si>
  <si>
    <t>101678</t>
  </si>
  <si>
    <t>101677</t>
  </si>
  <si>
    <t>101676</t>
  </si>
  <si>
    <t>101675</t>
  </si>
  <si>
    <t>101674</t>
  </si>
  <si>
    <t>101673</t>
  </si>
  <si>
    <t>101672</t>
  </si>
  <si>
    <t>101671</t>
  </si>
  <si>
    <t>101670</t>
  </si>
  <si>
    <t>101669</t>
  </si>
  <si>
    <t>101668</t>
  </si>
  <si>
    <t>101667</t>
  </si>
  <si>
    <t>101666</t>
  </si>
  <si>
    <t>101665</t>
  </si>
  <si>
    <t>101664</t>
  </si>
  <si>
    <t>101663</t>
  </si>
  <si>
    <t>101662</t>
  </si>
  <si>
    <t>101661</t>
  </si>
  <si>
    <t>101660</t>
  </si>
  <si>
    <t>101659</t>
  </si>
  <si>
    <t>101658</t>
  </si>
  <si>
    <t>101657</t>
  </si>
  <si>
    <t>101656</t>
  </si>
  <si>
    <t>101655</t>
  </si>
  <si>
    <t>101654</t>
  </si>
  <si>
    <t>101653</t>
  </si>
  <si>
    <t>101652</t>
  </si>
  <si>
    <t>101651</t>
  </si>
  <si>
    <t>101650</t>
  </si>
  <si>
    <t>101649</t>
  </si>
  <si>
    <t>101648</t>
  </si>
  <si>
    <t>101647</t>
  </si>
  <si>
    <t>101646</t>
  </si>
  <si>
    <t>101645</t>
  </si>
  <si>
    <t>101644</t>
  </si>
  <si>
    <t>101643</t>
  </si>
  <si>
    <t>101642</t>
  </si>
  <si>
    <t>101641</t>
  </si>
  <si>
    <t>101640</t>
  </si>
  <si>
    <t>101639</t>
  </si>
  <si>
    <t>101638</t>
  </si>
  <si>
    <t>101637</t>
  </si>
  <si>
    <t>101636</t>
  </si>
  <si>
    <t>101635</t>
  </si>
  <si>
    <t>101634</t>
  </si>
  <si>
    <t>101633</t>
  </si>
  <si>
    <t>101632</t>
  </si>
  <si>
    <t>101631</t>
  </si>
  <si>
    <t>101630</t>
  </si>
  <si>
    <t>101629</t>
  </si>
  <si>
    <t>101628</t>
  </si>
  <si>
    <t>101627</t>
  </si>
  <si>
    <t>101626</t>
  </si>
  <si>
    <t>101625</t>
  </si>
  <si>
    <t>101624</t>
  </si>
  <si>
    <t>101623</t>
  </si>
  <si>
    <t>101622</t>
  </si>
  <si>
    <t>101621</t>
  </si>
  <si>
    <t>101620</t>
  </si>
  <si>
    <t>101619</t>
  </si>
  <si>
    <t>101618</t>
  </si>
  <si>
    <t>101617</t>
  </si>
  <si>
    <t>101616</t>
  </si>
  <si>
    <t>101615</t>
  </si>
  <si>
    <t>101614</t>
  </si>
  <si>
    <t>101613</t>
  </si>
  <si>
    <t>101612</t>
  </si>
  <si>
    <t>101611</t>
  </si>
  <si>
    <t>101610</t>
  </si>
  <si>
    <t>101609</t>
  </si>
  <si>
    <t>101608</t>
  </si>
  <si>
    <t>101607</t>
  </si>
  <si>
    <t>101606</t>
  </si>
  <si>
    <t>101605</t>
  </si>
  <si>
    <t>101604</t>
  </si>
  <si>
    <t>101603</t>
  </si>
  <si>
    <t>101602</t>
  </si>
  <si>
    <t>101601</t>
  </si>
  <si>
    <t>101600</t>
  </si>
  <si>
    <t>101599</t>
  </si>
  <si>
    <t>101598</t>
  </si>
  <si>
    <t>101597</t>
  </si>
  <si>
    <t>101596</t>
  </si>
  <si>
    <t>101595</t>
  </si>
  <si>
    <t>101594</t>
  </si>
  <si>
    <t>101593</t>
  </si>
  <si>
    <t>101592</t>
  </si>
  <si>
    <t>101591</t>
  </si>
  <si>
    <t>101590</t>
  </si>
  <si>
    <t>101589</t>
  </si>
  <si>
    <t>101588</t>
  </si>
  <si>
    <t>101587</t>
  </si>
  <si>
    <t>101586</t>
  </si>
  <si>
    <t>101585</t>
  </si>
  <si>
    <t>101584</t>
  </si>
  <si>
    <t>Las Vegas</t>
  </si>
  <si>
    <t>101583</t>
  </si>
  <si>
    <t>101582</t>
  </si>
  <si>
    <t>101581</t>
  </si>
  <si>
    <t>101580</t>
  </si>
  <si>
    <t>101579</t>
  </si>
  <si>
    <t>101578</t>
  </si>
  <si>
    <t>101577</t>
  </si>
  <si>
    <t>Memphis</t>
  </si>
  <si>
    <t>101576</t>
  </si>
  <si>
    <t>101575</t>
  </si>
  <si>
    <t>101574</t>
  </si>
  <si>
    <t>101573</t>
  </si>
  <si>
    <t>101572</t>
  </si>
  <si>
    <t>101571</t>
  </si>
  <si>
    <t>101570</t>
  </si>
  <si>
    <t>101569</t>
  </si>
  <si>
    <t>101568</t>
  </si>
  <si>
    <t>101567</t>
  </si>
  <si>
    <t>101566</t>
  </si>
  <si>
    <t>101565</t>
  </si>
  <si>
    <t>101564</t>
  </si>
  <si>
    <t>101563</t>
  </si>
  <si>
    <t>101562</t>
  </si>
  <si>
    <t>101561</t>
  </si>
  <si>
    <t>101560</t>
  </si>
  <si>
    <t>101559</t>
  </si>
  <si>
    <t>101558</t>
  </si>
  <si>
    <t>101557</t>
  </si>
  <si>
    <t>Louisville</t>
  </si>
  <si>
    <t>101556</t>
  </si>
  <si>
    <t>101555</t>
  </si>
  <si>
    <t>101554</t>
  </si>
  <si>
    <t>101553</t>
  </si>
  <si>
    <t>101552</t>
  </si>
  <si>
    <t>101551</t>
  </si>
  <si>
    <t>101550</t>
  </si>
  <si>
    <t>101549</t>
  </si>
  <si>
    <t>101548</t>
  </si>
  <si>
    <t>101547</t>
  </si>
  <si>
    <t>101546</t>
  </si>
  <si>
    <t>101545</t>
  </si>
  <si>
    <t>101544</t>
  </si>
  <si>
    <t>101543</t>
  </si>
  <si>
    <t>101542</t>
  </si>
  <si>
    <t>101541</t>
  </si>
  <si>
    <t>101540</t>
  </si>
  <si>
    <t>101539</t>
  </si>
  <si>
    <t>101538</t>
  </si>
  <si>
    <t>101537</t>
  </si>
  <si>
    <t>101536</t>
  </si>
  <si>
    <t>101535</t>
  </si>
  <si>
    <t>101534</t>
  </si>
  <si>
    <t>101533</t>
  </si>
  <si>
    <t>101532</t>
  </si>
  <si>
    <t>101531</t>
  </si>
  <si>
    <t>101530</t>
  </si>
  <si>
    <t>101529</t>
  </si>
  <si>
    <t>101528</t>
  </si>
  <si>
    <t>101527</t>
  </si>
  <si>
    <t>101526</t>
  </si>
  <si>
    <t>101525</t>
  </si>
  <si>
    <t>101524</t>
  </si>
  <si>
    <t>101523</t>
  </si>
  <si>
    <t>101522</t>
  </si>
  <si>
    <t>101521</t>
  </si>
  <si>
    <t>101520</t>
  </si>
  <si>
    <t>101519</t>
  </si>
  <si>
    <t>101518</t>
  </si>
  <si>
    <t>101517</t>
  </si>
  <si>
    <t>101516</t>
  </si>
  <si>
    <t>101515</t>
  </si>
  <si>
    <t>101514</t>
  </si>
  <si>
    <t>101513</t>
  </si>
  <si>
    <t>101512</t>
  </si>
  <si>
    <t>101511</t>
  </si>
  <si>
    <t>101510</t>
  </si>
  <si>
    <t>101509</t>
  </si>
  <si>
    <t>101508</t>
  </si>
  <si>
    <t>101507</t>
  </si>
  <si>
    <t>101506</t>
  </si>
  <si>
    <t>101505</t>
  </si>
  <si>
    <t>101504</t>
  </si>
  <si>
    <t>101503</t>
  </si>
  <si>
    <t>101502</t>
  </si>
  <si>
    <t>101501</t>
  </si>
  <si>
    <t>101500</t>
  </si>
  <si>
    <t>101499</t>
  </si>
  <si>
    <t>101498</t>
  </si>
  <si>
    <t>101497</t>
  </si>
  <si>
    <t>101496</t>
  </si>
  <si>
    <t>101495</t>
  </si>
  <si>
    <t>Baltimore</t>
  </si>
  <si>
    <t>101494</t>
  </si>
  <si>
    <t>101493</t>
  </si>
  <si>
    <t>101492</t>
  </si>
  <si>
    <t>101491</t>
  </si>
  <si>
    <t>101490</t>
  </si>
  <si>
    <t>101489</t>
  </si>
  <si>
    <t>101488</t>
  </si>
  <si>
    <t>101487</t>
  </si>
  <si>
    <t>101486</t>
  </si>
  <si>
    <t>101485</t>
  </si>
  <si>
    <t>101484</t>
  </si>
  <si>
    <t>101483</t>
  </si>
  <si>
    <t>101482</t>
  </si>
  <si>
    <t>101481</t>
  </si>
  <si>
    <t>101480</t>
  </si>
  <si>
    <t>101479</t>
  </si>
  <si>
    <t>101478</t>
  </si>
  <si>
    <t>101477</t>
  </si>
  <si>
    <t>101476</t>
  </si>
  <si>
    <t>101475</t>
  </si>
  <si>
    <t>101474</t>
  </si>
  <si>
    <t>101473</t>
  </si>
  <si>
    <t>101472</t>
  </si>
  <si>
    <t>101471</t>
  </si>
  <si>
    <t>101470</t>
  </si>
  <si>
    <t>101469</t>
  </si>
  <si>
    <t>101468</t>
  </si>
  <si>
    <t>101467</t>
  </si>
  <si>
    <t>101466</t>
  </si>
  <si>
    <t>101465</t>
  </si>
  <si>
    <t>101464</t>
  </si>
  <si>
    <t>101463</t>
  </si>
  <si>
    <t>101462</t>
  </si>
  <si>
    <t>101461</t>
  </si>
  <si>
    <t>101460</t>
  </si>
  <si>
    <t>101459</t>
  </si>
  <si>
    <t>101458</t>
  </si>
  <si>
    <t>101457</t>
  </si>
  <si>
    <t>101456</t>
  </si>
  <si>
    <t>101455</t>
  </si>
  <si>
    <t>101454</t>
  </si>
  <si>
    <t>101453</t>
  </si>
  <si>
    <t>101452</t>
  </si>
  <si>
    <t>101451</t>
  </si>
  <si>
    <t>101450</t>
  </si>
  <si>
    <t>101449</t>
  </si>
  <si>
    <t>101448</t>
  </si>
  <si>
    <t>101447</t>
  </si>
  <si>
    <t>101446</t>
  </si>
  <si>
    <t>101445</t>
  </si>
  <si>
    <t>101444</t>
  </si>
  <si>
    <t>101443</t>
  </si>
  <si>
    <t>101442</t>
  </si>
  <si>
    <t>101441</t>
  </si>
  <si>
    <t>101440</t>
  </si>
  <si>
    <t>Milwaukee</t>
  </si>
  <si>
    <t>101439</t>
  </si>
  <si>
    <t>101438</t>
  </si>
  <si>
    <t>101437</t>
  </si>
  <si>
    <t>101436</t>
  </si>
  <si>
    <t>101435</t>
  </si>
  <si>
    <t>101434</t>
  </si>
  <si>
    <t>101433</t>
  </si>
  <si>
    <t>101432</t>
  </si>
  <si>
    <t>101431</t>
  </si>
  <si>
    <t>101430</t>
  </si>
  <si>
    <t>101429</t>
  </si>
  <si>
    <t>101428</t>
  </si>
  <si>
    <t>101427</t>
  </si>
  <si>
    <t>101426</t>
  </si>
  <si>
    <t>101425</t>
  </si>
  <si>
    <t>101424</t>
  </si>
  <si>
    <t>101423</t>
  </si>
  <si>
    <t>101422</t>
  </si>
  <si>
    <t>101421</t>
  </si>
  <si>
    <t>101420</t>
  </si>
  <si>
    <t>101419</t>
  </si>
  <si>
    <t>101418</t>
  </si>
  <si>
    <t>101417</t>
  </si>
  <si>
    <t>101416</t>
  </si>
  <si>
    <t>101415</t>
  </si>
  <si>
    <t>101414</t>
  </si>
  <si>
    <t>101413</t>
  </si>
  <si>
    <t>101412</t>
  </si>
  <si>
    <t>101411</t>
  </si>
  <si>
    <t>101410</t>
  </si>
  <si>
    <t>101409</t>
  </si>
  <si>
    <t>101408</t>
  </si>
  <si>
    <t>101407</t>
  </si>
  <si>
    <t>101406</t>
  </si>
  <si>
    <t>101405</t>
  </si>
  <si>
    <t>101404</t>
  </si>
  <si>
    <t>101403</t>
  </si>
  <si>
    <t>101402</t>
  </si>
  <si>
    <t>101401</t>
  </si>
  <si>
    <t>101400</t>
  </si>
  <si>
    <t>101399</t>
  </si>
  <si>
    <t>101398</t>
  </si>
  <si>
    <t>101397</t>
  </si>
  <si>
    <t>101396</t>
  </si>
  <si>
    <t>Miami</t>
  </si>
  <si>
    <t>101395</t>
  </si>
  <si>
    <t>101394</t>
  </si>
  <si>
    <t>101393</t>
  </si>
  <si>
    <t>101392</t>
  </si>
  <si>
    <t>101391</t>
  </si>
  <si>
    <t>101390</t>
  </si>
  <si>
    <t>101389</t>
  </si>
  <si>
    <t>101388</t>
  </si>
  <si>
    <t>101387</t>
  </si>
  <si>
    <t>101386</t>
  </si>
  <si>
    <t>101385</t>
  </si>
  <si>
    <t>101384</t>
  </si>
  <si>
    <t>101383</t>
  </si>
  <si>
    <t>101382</t>
  </si>
  <si>
    <t>101381</t>
  </si>
  <si>
    <t>101380</t>
  </si>
  <si>
    <t>101379</t>
  </si>
  <si>
    <t>101378</t>
  </si>
  <si>
    <t>101377</t>
  </si>
  <si>
    <t>101376</t>
  </si>
  <si>
    <t>101375</t>
  </si>
  <si>
    <t>101374</t>
  </si>
  <si>
    <t>101373</t>
  </si>
  <si>
    <t>101372</t>
  </si>
  <si>
    <t>101371</t>
  </si>
  <si>
    <t>101370</t>
  </si>
  <si>
    <t>101369</t>
  </si>
  <si>
    <t>101368</t>
  </si>
  <si>
    <t>101367</t>
  </si>
  <si>
    <t>101366</t>
  </si>
  <si>
    <t>101365</t>
  </si>
  <si>
    <t>101364</t>
  </si>
  <si>
    <t>101363</t>
  </si>
  <si>
    <t>101362</t>
  </si>
  <si>
    <t>101361</t>
  </si>
  <si>
    <t>101360</t>
  </si>
  <si>
    <t>Oakland</t>
  </si>
  <si>
    <t>101359</t>
  </si>
  <si>
    <t>101358</t>
  </si>
  <si>
    <t>101357</t>
  </si>
  <si>
    <t>101356</t>
  </si>
  <si>
    <t>101355</t>
  </si>
  <si>
    <t>101354</t>
  </si>
  <si>
    <t>101353</t>
  </si>
  <si>
    <t>101352</t>
  </si>
  <si>
    <t>101351</t>
  </si>
  <si>
    <t>101350</t>
  </si>
  <si>
    <t>101349</t>
  </si>
  <si>
    <t>101348</t>
  </si>
  <si>
    <t>101347</t>
  </si>
  <si>
    <t>Canada</t>
  </si>
  <si>
    <t>Toronto</t>
  </si>
  <si>
    <t>101346</t>
  </si>
  <si>
    <t>101345</t>
  </si>
  <si>
    <t>101344</t>
  </si>
  <si>
    <t>101343</t>
  </si>
  <si>
    <t>101342</t>
  </si>
  <si>
    <t>101341</t>
  </si>
  <si>
    <t>101340</t>
  </si>
  <si>
    <t>101339</t>
  </si>
  <si>
    <t>101338</t>
  </si>
  <si>
    <t>101337</t>
  </si>
  <si>
    <t>101336</t>
  </si>
  <si>
    <t>101335</t>
  </si>
  <si>
    <t>101334</t>
  </si>
  <si>
    <t>101333</t>
  </si>
  <si>
    <t>101332</t>
  </si>
  <si>
    <t>101331</t>
  </si>
  <si>
    <t>101330</t>
  </si>
  <si>
    <t>Montreal</t>
  </si>
  <si>
    <t>101329</t>
  </si>
  <si>
    <t>101328</t>
  </si>
  <si>
    <t>101327</t>
  </si>
  <si>
    <t>101326</t>
  </si>
  <si>
    <t>101325</t>
  </si>
  <si>
    <t>101324</t>
  </si>
  <si>
    <t>101323</t>
  </si>
  <si>
    <t>101322</t>
  </si>
  <si>
    <t>101321</t>
  </si>
  <si>
    <t>101320</t>
  </si>
  <si>
    <t>101319</t>
  </si>
  <si>
    <t>101318</t>
  </si>
  <si>
    <t>101317</t>
  </si>
  <si>
    <t>101316</t>
  </si>
  <si>
    <t>101315</t>
  </si>
  <si>
    <t>101314</t>
  </si>
  <si>
    <t>101313</t>
  </si>
  <si>
    <t>101312</t>
  </si>
  <si>
    <t>101311</t>
  </si>
  <si>
    <t>101310</t>
  </si>
  <si>
    <t>101309</t>
  </si>
  <si>
    <t>101308</t>
  </si>
  <si>
    <t>101307</t>
  </si>
  <si>
    <t>101306</t>
  </si>
  <si>
    <t>101305</t>
  </si>
  <si>
    <t>101304</t>
  </si>
  <si>
    <t>101303</t>
  </si>
  <si>
    <t>101302</t>
  </si>
  <si>
    <t>101301</t>
  </si>
  <si>
    <t>101300</t>
  </si>
  <si>
    <t>101299</t>
  </si>
  <si>
    <t>101298</t>
  </si>
  <si>
    <t>101297</t>
  </si>
  <si>
    <t>101296</t>
  </si>
  <si>
    <t>101295</t>
  </si>
  <si>
    <t>101294</t>
  </si>
  <si>
    <t>101293</t>
  </si>
  <si>
    <t>101292</t>
  </si>
  <si>
    <t>101291</t>
  </si>
  <si>
    <t>101290</t>
  </si>
  <si>
    <t>101289</t>
  </si>
  <si>
    <t>101288</t>
  </si>
  <si>
    <t>101287</t>
  </si>
  <si>
    <t>101286</t>
  </si>
  <si>
    <t>101285</t>
  </si>
  <si>
    <t>101284</t>
  </si>
  <si>
    <t>101283</t>
  </si>
  <si>
    <t>101282</t>
  </si>
  <si>
    <t>101281</t>
  </si>
  <si>
    <t>101280</t>
  </si>
  <si>
    <t>101279</t>
  </si>
  <si>
    <t>101278</t>
  </si>
  <si>
    <t>101277</t>
  </si>
  <si>
    <t>101276</t>
  </si>
  <si>
    <t>101275</t>
  </si>
  <si>
    <t>101274</t>
  </si>
  <si>
    <t>101273</t>
  </si>
  <si>
    <t>101272</t>
  </si>
  <si>
    <t>101271</t>
  </si>
  <si>
    <t>101270</t>
  </si>
  <si>
    <t>101269</t>
  </si>
  <si>
    <t>101268</t>
  </si>
  <si>
    <t>101267</t>
  </si>
  <si>
    <t>101266</t>
  </si>
  <si>
    <t>101265</t>
  </si>
  <si>
    <t>101264</t>
  </si>
  <si>
    <t>101263</t>
  </si>
  <si>
    <t>101262</t>
  </si>
  <si>
    <t>101261</t>
  </si>
  <si>
    <t>101260</t>
  </si>
  <si>
    <t>101259</t>
  </si>
  <si>
    <t>101258</t>
  </si>
  <si>
    <t>101257</t>
  </si>
  <si>
    <t>101256</t>
  </si>
  <si>
    <t>101255</t>
  </si>
  <si>
    <t>101254</t>
  </si>
  <si>
    <t>101253</t>
  </si>
  <si>
    <t>101252</t>
  </si>
  <si>
    <t>101251</t>
  </si>
  <si>
    <t>Vancouver</t>
  </si>
  <si>
    <t>101250</t>
  </si>
  <si>
    <t>101249</t>
  </si>
  <si>
    <t>101248</t>
  </si>
  <si>
    <t>101247</t>
  </si>
  <si>
    <t>D2C</t>
  </si>
  <si>
    <t>Calgary</t>
  </si>
  <si>
    <t>101246</t>
  </si>
  <si>
    <t>101245</t>
  </si>
  <si>
    <t>101244</t>
  </si>
  <si>
    <t>101243</t>
  </si>
  <si>
    <t>101242</t>
  </si>
  <si>
    <t>101241</t>
  </si>
  <si>
    <t>101240</t>
  </si>
  <si>
    <t>101239</t>
  </si>
  <si>
    <t>101238</t>
  </si>
  <si>
    <t>101237</t>
  </si>
  <si>
    <t>101236</t>
  </si>
  <si>
    <t>101235</t>
  </si>
  <si>
    <t>101234</t>
  </si>
  <si>
    <t>101233</t>
  </si>
  <si>
    <t>101232</t>
  </si>
  <si>
    <t>101231</t>
  </si>
  <si>
    <t>101230</t>
  </si>
  <si>
    <t>101229</t>
  </si>
  <si>
    <t>101228</t>
  </si>
  <si>
    <t>101227</t>
  </si>
  <si>
    <t>101226</t>
  </si>
  <si>
    <t>101225</t>
  </si>
  <si>
    <t>101224</t>
  </si>
  <si>
    <t>101223</t>
  </si>
  <si>
    <t>101222</t>
  </si>
  <si>
    <t>101221</t>
  </si>
  <si>
    <t>101220</t>
  </si>
  <si>
    <t>101219</t>
  </si>
  <si>
    <t>101218</t>
  </si>
  <si>
    <t>101217</t>
  </si>
  <si>
    <t>101216</t>
  </si>
  <si>
    <t>101215</t>
  </si>
  <si>
    <t>101214</t>
  </si>
  <si>
    <t>101213</t>
  </si>
  <si>
    <t>101212</t>
  </si>
  <si>
    <t>101211</t>
  </si>
  <si>
    <t>101210</t>
  </si>
  <si>
    <t>101209</t>
  </si>
  <si>
    <t>101208</t>
  </si>
  <si>
    <t>101207</t>
  </si>
  <si>
    <t>101206</t>
  </si>
  <si>
    <t>101205</t>
  </si>
  <si>
    <t>101204</t>
  </si>
  <si>
    <t>101203</t>
  </si>
  <si>
    <t>101202</t>
  </si>
  <si>
    <t>101201</t>
  </si>
  <si>
    <t>101200</t>
  </si>
  <si>
    <t>101199</t>
  </si>
  <si>
    <t>101198</t>
  </si>
  <si>
    <t>101197</t>
  </si>
  <si>
    <t>101196</t>
  </si>
  <si>
    <t>101195</t>
  </si>
  <si>
    <t>101194</t>
  </si>
  <si>
    <t>101193</t>
  </si>
  <si>
    <t>101192</t>
  </si>
  <si>
    <t>101191</t>
  </si>
  <si>
    <t>101190</t>
  </si>
  <si>
    <t>Edmonton</t>
  </si>
  <si>
    <t>101189</t>
  </si>
  <si>
    <t>101188</t>
  </si>
  <si>
    <t>101187</t>
  </si>
  <si>
    <t>101186</t>
  </si>
  <si>
    <t>101185</t>
  </si>
  <si>
    <t>101184</t>
  </si>
  <si>
    <t>101183</t>
  </si>
  <si>
    <t>101182</t>
  </si>
  <si>
    <t>101181</t>
  </si>
  <si>
    <t>101180</t>
  </si>
  <si>
    <t>101179</t>
  </si>
  <si>
    <t>101178</t>
  </si>
  <si>
    <t>101177</t>
  </si>
  <si>
    <t>101176</t>
  </si>
  <si>
    <t>101175</t>
  </si>
  <si>
    <t>101174</t>
  </si>
  <si>
    <t>101173</t>
  </si>
  <si>
    <t>101172</t>
  </si>
  <si>
    <t>101171</t>
  </si>
  <si>
    <t>101170</t>
  </si>
  <si>
    <t>101169</t>
  </si>
  <si>
    <t>101168</t>
  </si>
  <si>
    <t>101167</t>
  </si>
  <si>
    <t>101166</t>
  </si>
  <si>
    <t>101165</t>
  </si>
  <si>
    <t>101164</t>
  </si>
  <si>
    <t>101163</t>
  </si>
  <si>
    <t>101162</t>
  </si>
  <si>
    <t>101161</t>
  </si>
  <si>
    <t>101160</t>
  </si>
  <si>
    <t>101159</t>
  </si>
  <si>
    <t>101158</t>
  </si>
  <si>
    <t>101157</t>
  </si>
  <si>
    <t>101156</t>
  </si>
  <si>
    <t>101155</t>
  </si>
  <si>
    <t>101154</t>
  </si>
  <si>
    <t>101153</t>
  </si>
  <si>
    <t>101152</t>
  </si>
  <si>
    <t>101151</t>
  </si>
  <si>
    <t>101150</t>
  </si>
  <si>
    <t>101149</t>
  </si>
  <si>
    <t>101148</t>
  </si>
  <si>
    <t>101147</t>
  </si>
  <si>
    <t>101146</t>
  </si>
  <si>
    <t>101145</t>
  </si>
  <si>
    <t>101144</t>
  </si>
  <si>
    <t>101143</t>
  </si>
  <si>
    <t>101142</t>
  </si>
  <si>
    <t>101141</t>
  </si>
  <si>
    <t>101140</t>
  </si>
  <si>
    <t>101139</t>
  </si>
  <si>
    <t>101138</t>
  </si>
  <si>
    <t>101137</t>
  </si>
  <si>
    <t>101136</t>
  </si>
  <si>
    <t>101135</t>
  </si>
  <si>
    <t>101134</t>
  </si>
  <si>
    <t>101133</t>
  </si>
  <si>
    <t>101132</t>
  </si>
  <si>
    <t>101131</t>
  </si>
  <si>
    <t>101130</t>
  </si>
  <si>
    <t>101129</t>
  </si>
  <si>
    <t>101128</t>
  </si>
  <si>
    <t>101127</t>
  </si>
  <si>
    <t>101126</t>
  </si>
  <si>
    <t>101125</t>
  </si>
  <si>
    <t>101124</t>
  </si>
  <si>
    <t>101123</t>
  </si>
  <si>
    <t>101122</t>
  </si>
  <si>
    <t>101121</t>
  </si>
  <si>
    <t>101120</t>
  </si>
  <si>
    <t>101119</t>
  </si>
  <si>
    <t>101118</t>
  </si>
  <si>
    <t>101117</t>
  </si>
  <si>
    <t>101116</t>
  </si>
  <si>
    <t>101115</t>
  </si>
  <si>
    <t>101114</t>
  </si>
  <si>
    <t>101113</t>
  </si>
  <si>
    <t>101112</t>
  </si>
  <si>
    <t>101111</t>
  </si>
  <si>
    <t>101110</t>
  </si>
  <si>
    <t>101109</t>
  </si>
  <si>
    <t>101108</t>
  </si>
  <si>
    <t>101107</t>
  </si>
  <si>
    <t>101106</t>
  </si>
  <si>
    <t>101105</t>
  </si>
  <si>
    <t>101104</t>
  </si>
  <si>
    <t>101103</t>
  </si>
  <si>
    <t>101102</t>
  </si>
  <si>
    <t>101101</t>
  </si>
  <si>
    <t>101100</t>
  </si>
  <si>
    <t>101099</t>
  </si>
  <si>
    <t>101098</t>
  </si>
  <si>
    <t>101097</t>
  </si>
  <si>
    <t>101096</t>
  </si>
  <si>
    <t>101095</t>
  </si>
  <si>
    <t>101094</t>
  </si>
  <si>
    <t>101093</t>
  </si>
  <si>
    <t>101092</t>
  </si>
  <si>
    <t>101091</t>
  </si>
  <si>
    <t>101090</t>
  </si>
  <si>
    <t>101089</t>
  </si>
  <si>
    <t>101088</t>
  </si>
  <si>
    <t>101087</t>
  </si>
  <si>
    <t>101086</t>
  </si>
  <si>
    <t>101085</t>
  </si>
  <si>
    <t>101084</t>
  </si>
  <si>
    <t>101083</t>
  </si>
  <si>
    <t>101082</t>
  </si>
  <si>
    <t>101081</t>
  </si>
  <si>
    <t>101080</t>
  </si>
  <si>
    <t>101079</t>
  </si>
  <si>
    <t>101078</t>
  </si>
  <si>
    <t>101077</t>
  </si>
  <si>
    <t>101076</t>
  </si>
  <si>
    <t>101075</t>
  </si>
  <si>
    <t>101074</t>
  </si>
  <si>
    <t>101073</t>
  </si>
  <si>
    <t>101072</t>
  </si>
  <si>
    <t>101071</t>
  </si>
  <si>
    <t>101070</t>
  </si>
  <si>
    <t>101069</t>
  </si>
  <si>
    <t>101068</t>
  </si>
  <si>
    <t>101067</t>
  </si>
  <si>
    <t>101066</t>
  </si>
  <si>
    <t>101065</t>
  </si>
  <si>
    <t>101064</t>
  </si>
  <si>
    <t>101063</t>
  </si>
  <si>
    <t>101062</t>
  </si>
  <si>
    <t>101061</t>
  </si>
  <si>
    <t>101060</t>
  </si>
  <si>
    <t>101059</t>
  </si>
  <si>
    <t>101058</t>
  </si>
  <si>
    <t>101057</t>
  </si>
  <si>
    <t>101056</t>
  </si>
  <si>
    <t>101055</t>
  </si>
  <si>
    <t>101054</t>
  </si>
  <si>
    <t>101053</t>
  </si>
  <si>
    <t>101052</t>
  </si>
  <si>
    <t>101051</t>
  </si>
  <si>
    <t>101050</t>
  </si>
  <si>
    <t>101049</t>
  </si>
  <si>
    <t>101048</t>
  </si>
  <si>
    <t>101047</t>
  </si>
  <si>
    <t>101046</t>
  </si>
  <si>
    <t>101045</t>
  </si>
  <si>
    <t>101044</t>
  </si>
  <si>
    <t>101043</t>
  </si>
  <si>
    <t>101042</t>
  </si>
  <si>
    <t>101041</t>
  </si>
  <si>
    <t>101040</t>
  </si>
  <si>
    <t>101039</t>
  </si>
  <si>
    <t>101038</t>
  </si>
  <si>
    <t>101037</t>
  </si>
  <si>
    <t>101036</t>
  </si>
  <si>
    <t>101035</t>
  </si>
  <si>
    <t>101034</t>
  </si>
  <si>
    <t>101033</t>
  </si>
  <si>
    <t>101032</t>
  </si>
  <si>
    <t>101031</t>
  </si>
  <si>
    <t>101030</t>
  </si>
  <si>
    <t>101029</t>
  </si>
  <si>
    <t>101028</t>
  </si>
  <si>
    <t>101027</t>
  </si>
  <si>
    <t>101026</t>
  </si>
  <si>
    <t>101025</t>
  </si>
  <si>
    <t>101024</t>
  </si>
  <si>
    <t>101023</t>
  </si>
  <si>
    <t>101022</t>
  </si>
  <si>
    <t>101021</t>
  </si>
  <si>
    <t>101020</t>
  </si>
  <si>
    <t>101019</t>
  </si>
  <si>
    <t>101018</t>
  </si>
  <si>
    <t>101017</t>
  </si>
  <si>
    <t>101016</t>
  </si>
  <si>
    <t>101015</t>
  </si>
  <si>
    <t>101014</t>
  </si>
  <si>
    <t>101013</t>
  </si>
  <si>
    <t>101012</t>
  </si>
  <si>
    <t>101011</t>
  </si>
  <si>
    <t>101010</t>
  </si>
  <si>
    <t>101009</t>
  </si>
  <si>
    <t>101008</t>
  </si>
  <si>
    <t>101007</t>
  </si>
  <si>
    <t>101006</t>
  </si>
  <si>
    <t>101005</t>
  </si>
  <si>
    <t>101004</t>
  </si>
  <si>
    <t>101003</t>
  </si>
  <si>
    <t>101002</t>
  </si>
  <si>
    <t>101001</t>
  </si>
  <si>
    <t>101000</t>
  </si>
  <si>
    <t>100999</t>
  </si>
  <si>
    <t>100998</t>
  </si>
  <si>
    <t>100997</t>
  </si>
  <si>
    <t>100996</t>
  </si>
  <si>
    <t>100995</t>
  </si>
  <si>
    <t>100994</t>
  </si>
  <si>
    <t>Mexico</t>
  </si>
  <si>
    <t>Mexico City</t>
  </si>
  <si>
    <t>100993</t>
  </si>
  <si>
    <t>100992</t>
  </si>
  <si>
    <t>100991</t>
  </si>
  <si>
    <t>100990</t>
  </si>
  <si>
    <t>100989</t>
  </si>
  <si>
    <t>100988</t>
  </si>
  <si>
    <t>100987</t>
  </si>
  <si>
    <t>100986</t>
  </si>
  <si>
    <t>100985</t>
  </si>
  <si>
    <t>100984</t>
  </si>
  <si>
    <t>100983</t>
  </si>
  <si>
    <t>100982</t>
  </si>
  <si>
    <t>100981</t>
  </si>
  <si>
    <t>100980</t>
  </si>
  <si>
    <t>100979</t>
  </si>
  <si>
    <t>100978</t>
  </si>
  <si>
    <t>100977</t>
  </si>
  <si>
    <t>100976</t>
  </si>
  <si>
    <t>100975</t>
  </si>
  <si>
    <t>100974</t>
  </si>
  <si>
    <t>100973</t>
  </si>
  <si>
    <t>100972</t>
  </si>
  <si>
    <t>100971</t>
  </si>
  <si>
    <t>100970</t>
  </si>
  <si>
    <t>100969</t>
  </si>
  <si>
    <t>100968</t>
  </si>
  <si>
    <t>100967</t>
  </si>
  <si>
    <t>100966</t>
  </si>
  <si>
    <t>100965</t>
  </si>
  <si>
    <t>100964</t>
  </si>
  <si>
    <t>100963</t>
  </si>
  <si>
    <t>100962</t>
  </si>
  <si>
    <t>100961</t>
  </si>
  <si>
    <t>100960</t>
  </si>
  <si>
    <t>100959</t>
  </si>
  <si>
    <t>100958</t>
  </si>
  <si>
    <t>100957</t>
  </si>
  <si>
    <t>100956</t>
  </si>
  <si>
    <t>100955</t>
  </si>
  <si>
    <t>100954</t>
  </si>
  <si>
    <t>100953</t>
  </si>
  <si>
    <t>100952</t>
  </si>
  <si>
    <t>100951</t>
  </si>
  <si>
    <t>100950</t>
  </si>
  <si>
    <t>100949</t>
  </si>
  <si>
    <t>100948</t>
  </si>
  <si>
    <t>100947</t>
  </si>
  <si>
    <t>100946</t>
  </si>
  <si>
    <t>100945</t>
  </si>
  <si>
    <t>100944</t>
  </si>
  <si>
    <t>100943</t>
  </si>
  <si>
    <t>100942</t>
  </si>
  <si>
    <t>100941</t>
  </si>
  <si>
    <t>100940</t>
  </si>
  <si>
    <t>100939</t>
  </si>
  <si>
    <t>100938</t>
  </si>
  <si>
    <t>100937</t>
  </si>
  <si>
    <t>100936</t>
  </si>
  <si>
    <t>100935</t>
  </si>
  <si>
    <t>100934</t>
  </si>
  <si>
    <t>100933</t>
  </si>
  <si>
    <t>100932</t>
  </si>
  <si>
    <t>100931</t>
  </si>
  <si>
    <t>100930</t>
  </si>
  <si>
    <t>100929</t>
  </si>
  <si>
    <t>100928</t>
  </si>
  <si>
    <t>100927</t>
  </si>
  <si>
    <t>100926</t>
  </si>
  <si>
    <t>100925</t>
  </si>
  <si>
    <t>100924</t>
  </si>
  <si>
    <t>100923</t>
  </si>
  <si>
    <t>100922</t>
  </si>
  <si>
    <t>100921</t>
  </si>
  <si>
    <t>100920</t>
  </si>
  <si>
    <t>100919</t>
  </si>
  <si>
    <t>100918</t>
  </si>
  <si>
    <t>100917</t>
  </si>
  <si>
    <t>100916</t>
  </si>
  <si>
    <t>100915</t>
  </si>
  <si>
    <t>100914</t>
  </si>
  <si>
    <t>100913</t>
  </si>
  <si>
    <t>100912</t>
  </si>
  <si>
    <t>100911</t>
  </si>
  <si>
    <t>100910</t>
  </si>
  <si>
    <t>100909</t>
  </si>
  <si>
    <t>100908</t>
  </si>
  <si>
    <t>100907</t>
  </si>
  <si>
    <t>100906</t>
  </si>
  <si>
    <t>100905</t>
  </si>
  <si>
    <t>100904</t>
  </si>
  <si>
    <t>100903</t>
  </si>
  <si>
    <t>100902</t>
  </si>
  <si>
    <t>100901</t>
  </si>
  <si>
    <t>100900</t>
  </si>
  <si>
    <t>100899</t>
  </si>
  <si>
    <t>100898</t>
  </si>
  <si>
    <t>100897</t>
  </si>
  <si>
    <t>100896</t>
  </si>
  <si>
    <t>100895</t>
  </si>
  <si>
    <t>100894</t>
  </si>
  <si>
    <t>100893</t>
  </si>
  <si>
    <t>100892</t>
  </si>
  <si>
    <t>100891</t>
  </si>
  <si>
    <t>100890</t>
  </si>
  <si>
    <t>100889</t>
  </si>
  <si>
    <t>100888</t>
  </si>
  <si>
    <t>100887</t>
  </si>
  <si>
    <t>100886</t>
  </si>
  <si>
    <t>100885</t>
  </si>
  <si>
    <t>100884</t>
  </si>
  <si>
    <t>100883</t>
  </si>
  <si>
    <t>100882</t>
  </si>
  <si>
    <t>100881</t>
  </si>
  <si>
    <t>100880</t>
  </si>
  <si>
    <t>100879</t>
  </si>
  <si>
    <t>100878</t>
  </si>
  <si>
    <t>100877</t>
  </si>
  <si>
    <t>100876</t>
  </si>
  <si>
    <t>100875</t>
  </si>
  <si>
    <t>100874</t>
  </si>
  <si>
    <t>100873</t>
  </si>
  <si>
    <t>100872</t>
  </si>
  <si>
    <t>100871</t>
  </si>
  <si>
    <t>100870</t>
  </si>
  <si>
    <t>100869</t>
  </si>
  <si>
    <t>100868</t>
  </si>
  <si>
    <t>100867</t>
  </si>
  <si>
    <t>100866</t>
  </si>
  <si>
    <t>100865</t>
  </si>
  <si>
    <t>100864</t>
  </si>
  <si>
    <t>100863</t>
  </si>
  <si>
    <t>100862</t>
  </si>
  <si>
    <t>100861</t>
  </si>
  <si>
    <t>100860</t>
  </si>
  <si>
    <t>100859</t>
  </si>
  <si>
    <t>100858</t>
  </si>
  <si>
    <t>100857</t>
  </si>
  <si>
    <t>100856</t>
  </si>
  <si>
    <t>100855</t>
  </si>
  <si>
    <t>100854</t>
  </si>
  <si>
    <t>100853</t>
  </si>
  <si>
    <t>100852</t>
  </si>
  <si>
    <t>100851</t>
  </si>
  <si>
    <t>100850</t>
  </si>
  <si>
    <t>100849</t>
  </si>
  <si>
    <t>100848</t>
  </si>
  <si>
    <t>100847</t>
  </si>
  <si>
    <t>100846</t>
  </si>
  <si>
    <t>100845</t>
  </si>
  <si>
    <t>100844</t>
  </si>
  <si>
    <t>100843</t>
  </si>
  <si>
    <t>100842</t>
  </si>
  <si>
    <t>100841</t>
  </si>
  <si>
    <t>100840</t>
  </si>
  <si>
    <t>100839</t>
  </si>
  <si>
    <t>100838</t>
  </si>
  <si>
    <t>100837</t>
  </si>
  <si>
    <t>100836</t>
  </si>
  <si>
    <t>100835</t>
  </si>
  <si>
    <t>100834</t>
  </si>
  <si>
    <t>100833</t>
  </si>
  <si>
    <t>100832</t>
  </si>
  <si>
    <t>100831</t>
  </si>
  <si>
    <t>100830</t>
  </si>
  <si>
    <t>Guadalajara</t>
  </si>
  <si>
    <t>100829</t>
  </si>
  <si>
    <t>100828</t>
  </si>
  <si>
    <t>100827</t>
  </si>
  <si>
    <t>100826</t>
  </si>
  <si>
    <t>100825</t>
  </si>
  <si>
    <t>100824</t>
  </si>
  <si>
    <t>100823</t>
  </si>
  <si>
    <t>100822</t>
  </si>
  <si>
    <t>100821</t>
  </si>
  <si>
    <t>100820</t>
  </si>
  <si>
    <t>100819</t>
  </si>
  <si>
    <t>100818</t>
  </si>
  <si>
    <t>100817</t>
  </si>
  <si>
    <t>100816</t>
  </si>
  <si>
    <t>100815</t>
  </si>
  <si>
    <t>100814</t>
  </si>
  <si>
    <t>100813</t>
  </si>
  <si>
    <t>100812</t>
  </si>
  <si>
    <t>100811</t>
  </si>
  <si>
    <t>100810</t>
  </si>
  <si>
    <t>100809</t>
  </si>
  <si>
    <t>100808</t>
  </si>
  <si>
    <t>100807</t>
  </si>
  <si>
    <t>100806</t>
  </si>
  <si>
    <t>100805</t>
  </si>
  <si>
    <t>100804</t>
  </si>
  <si>
    <t>100803</t>
  </si>
  <si>
    <t>100802</t>
  </si>
  <si>
    <t>100801</t>
  </si>
  <si>
    <t>100800</t>
  </si>
  <si>
    <t>100799</t>
  </si>
  <si>
    <t>100798</t>
  </si>
  <si>
    <t>100797</t>
  </si>
  <si>
    <t>100796</t>
  </si>
  <si>
    <t>100795</t>
  </si>
  <si>
    <t>100794</t>
  </si>
  <si>
    <t>100793</t>
  </si>
  <si>
    <t>100792</t>
  </si>
  <si>
    <t>100791</t>
  </si>
  <si>
    <t>100790</t>
  </si>
  <si>
    <t>100789</t>
  </si>
  <si>
    <t>100788</t>
  </si>
  <si>
    <t>100787</t>
  </si>
  <si>
    <t>100786</t>
  </si>
  <si>
    <t>100785</t>
  </si>
  <si>
    <t>100784</t>
  </si>
  <si>
    <t>100783</t>
  </si>
  <si>
    <t>100782</t>
  </si>
  <si>
    <t>100781</t>
  </si>
  <si>
    <t>100780</t>
  </si>
  <si>
    <t>100779</t>
  </si>
  <si>
    <t>100778</t>
  </si>
  <si>
    <t>100777</t>
  </si>
  <si>
    <t>100776</t>
  </si>
  <si>
    <t>100775</t>
  </si>
  <si>
    <t>100774</t>
  </si>
  <si>
    <t>100773</t>
  </si>
  <si>
    <t>100772</t>
  </si>
  <si>
    <t>100771</t>
  </si>
  <si>
    <t>100770</t>
  </si>
  <si>
    <t>100769</t>
  </si>
  <si>
    <t>100768</t>
  </si>
  <si>
    <t>100767</t>
  </si>
  <si>
    <t>100766</t>
  </si>
  <si>
    <t>100765</t>
  </si>
  <si>
    <t>100764</t>
  </si>
  <si>
    <t>100763</t>
  </si>
  <si>
    <t>100762</t>
  </si>
  <si>
    <t>100761</t>
  </si>
  <si>
    <t>100760</t>
  </si>
  <si>
    <t>100759</t>
  </si>
  <si>
    <t>100758</t>
  </si>
  <si>
    <t>100757</t>
  </si>
  <si>
    <t>100756</t>
  </si>
  <si>
    <t>100755</t>
  </si>
  <si>
    <t>100754</t>
  </si>
  <si>
    <t>100753</t>
  </si>
  <si>
    <t>100752</t>
  </si>
  <si>
    <t>100751</t>
  </si>
  <si>
    <t>100750</t>
  </si>
  <si>
    <t>100749</t>
  </si>
  <si>
    <t>100748</t>
  </si>
  <si>
    <t>100747</t>
  </si>
  <si>
    <t>100746</t>
  </si>
  <si>
    <t>100745</t>
  </si>
  <si>
    <t>100744</t>
  </si>
  <si>
    <t>100743</t>
  </si>
  <si>
    <t>100742</t>
  </si>
  <si>
    <t>100741</t>
  </si>
  <si>
    <t>100740</t>
  </si>
  <si>
    <t>100739</t>
  </si>
  <si>
    <t>100738</t>
  </si>
  <si>
    <t>100737</t>
  </si>
  <si>
    <t>100736</t>
  </si>
  <si>
    <t>100735</t>
  </si>
  <si>
    <t>100734</t>
  </si>
  <si>
    <t>100733</t>
  </si>
  <si>
    <t>100732</t>
  </si>
  <si>
    <t>100731</t>
  </si>
  <si>
    <t>100730</t>
  </si>
  <si>
    <t>100729</t>
  </si>
  <si>
    <t>100728</t>
  </si>
  <si>
    <t>100727</t>
  </si>
  <si>
    <t>100726</t>
  </si>
  <si>
    <t>100725</t>
  </si>
  <si>
    <t>100724</t>
  </si>
  <si>
    <t>100723</t>
  </si>
  <si>
    <t>100722</t>
  </si>
  <si>
    <t>100721</t>
  </si>
  <si>
    <t>100720</t>
  </si>
  <si>
    <t>100719</t>
  </si>
  <si>
    <t>100718</t>
  </si>
  <si>
    <t>100717</t>
  </si>
  <si>
    <t>100716</t>
  </si>
  <si>
    <t>100715</t>
  </si>
  <si>
    <t>100714</t>
  </si>
  <si>
    <t>Monterrey</t>
  </si>
  <si>
    <t>100713</t>
  </si>
  <si>
    <t>100712</t>
  </si>
  <si>
    <t>100711</t>
  </si>
  <si>
    <t>100710</t>
  </si>
  <si>
    <t>100709</t>
  </si>
  <si>
    <t>100708</t>
  </si>
  <si>
    <t>100707</t>
  </si>
  <si>
    <t>100706</t>
  </si>
  <si>
    <t>100705</t>
  </si>
  <si>
    <t>100704</t>
  </si>
  <si>
    <t>100703</t>
  </si>
  <si>
    <t>100702</t>
  </si>
  <si>
    <t>100701</t>
  </si>
  <si>
    <t>100700</t>
  </si>
  <si>
    <t>100699</t>
  </si>
  <si>
    <t>100698</t>
  </si>
  <si>
    <t>100697</t>
  </si>
  <si>
    <t>100696</t>
  </si>
  <si>
    <t>100695</t>
  </si>
  <si>
    <t>100694</t>
  </si>
  <si>
    <t>100693</t>
  </si>
  <si>
    <t>100692</t>
  </si>
  <si>
    <t>100691</t>
  </si>
  <si>
    <t>100690</t>
  </si>
  <si>
    <t>100689</t>
  </si>
  <si>
    <t>100688</t>
  </si>
  <si>
    <t>100687</t>
  </si>
  <si>
    <t>100686</t>
  </si>
  <si>
    <t>100685</t>
  </si>
  <si>
    <t>100684</t>
  </si>
  <si>
    <t>100683</t>
  </si>
  <si>
    <t>100682</t>
  </si>
  <si>
    <t>100681</t>
  </si>
  <si>
    <t>100680</t>
  </si>
  <si>
    <t>100679</t>
  </si>
  <si>
    <t>100678</t>
  </si>
  <si>
    <t>100677</t>
  </si>
  <si>
    <t>100676</t>
  </si>
  <si>
    <t>100675</t>
  </si>
  <si>
    <t>100674</t>
  </si>
  <si>
    <t>100673</t>
  </si>
  <si>
    <t>100672</t>
  </si>
  <si>
    <t>100671</t>
  </si>
  <si>
    <t>100670</t>
  </si>
  <si>
    <t>100669</t>
  </si>
  <si>
    <t>100668</t>
  </si>
  <si>
    <t>100667</t>
  </si>
  <si>
    <t>100666</t>
  </si>
  <si>
    <t>100665</t>
  </si>
  <si>
    <t>100664</t>
  </si>
  <si>
    <t>100663</t>
  </si>
  <si>
    <t>100662</t>
  </si>
  <si>
    <t>100661</t>
  </si>
  <si>
    <t>100660</t>
  </si>
  <si>
    <t>100659</t>
  </si>
  <si>
    <t>100658</t>
  </si>
  <si>
    <t>100657</t>
  </si>
  <si>
    <t>100656</t>
  </si>
  <si>
    <t>100655</t>
  </si>
  <si>
    <t>100654</t>
  </si>
  <si>
    <t>100653</t>
  </si>
  <si>
    <t>100652</t>
  </si>
  <si>
    <t>100651</t>
  </si>
  <si>
    <t>100650</t>
  </si>
  <si>
    <t>100649</t>
  </si>
  <si>
    <t>100648</t>
  </si>
  <si>
    <t>100647</t>
  </si>
  <si>
    <t>100646</t>
  </si>
  <si>
    <t>100645</t>
  </si>
  <si>
    <t>100644</t>
  </si>
  <si>
    <t>100643</t>
  </si>
  <si>
    <t>100642</t>
  </si>
  <si>
    <t>100641</t>
  </si>
  <si>
    <t>100640</t>
  </si>
  <si>
    <t>100639</t>
  </si>
  <si>
    <t>100638</t>
  </si>
  <si>
    <t>100637</t>
  </si>
  <si>
    <t>100636</t>
  </si>
  <si>
    <t>100635</t>
  </si>
  <si>
    <t>100634</t>
  </si>
  <si>
    <t>100633</t>
  </si>
  <si>
    <t>100632</t>
  </si>
  <si>
    <t>100631</t>
  </si>
  <si>
    <t>100630</t>
  </si>
  <si>
    <t>100629</t>
  </si>
  <si>
    <t>100628</t>
  </si>
  <si>
    <t>100627</t>
  </si>
  <si>
    <t>100626</t>
  </si>
  <si>
    <t>100625</t>
  </si>
  <si>
    <t>100624</t>
  </si>
  <si>
    <t>100623</t>
  </si>
  <si>
    <t>Puebla</t>
  </si>
  <si>
    <t>100622</t>
  </si>
  <si>
    <t>100621</t>
  </si>
  <si>
    <t>100620</t>
  </si>
  <si>
    <t>100619</t>
  </si>
  <si>
    <t>100618</t>
  </si>
  <si>
    <t>100617</t>
  </si>
  <si>
    <t>100616</t>
  </si>
  <si>
    <t>100615</t>
  </si>
  <si>
    <t>100614</t>
  </si>
  <si>
    <t>100613</t>
  </si>
  <si>
    <t>100612</t>
  </si>
  <si>
    <t>100611</t>
  </si>
  <si>
    <t>100610</t>
  </si>
  <si>
    <t>100609</t>
  </si>
  <si>
    <t>100608</t>
  </si>
  <si>
    <t>100607</t>
  </si>
  <si>
    <t>100606</t>
  </si>
  <si>
    <t>100605</t>
  </si>
  <si>
    <t>100604</t>
  </si>
  <si>
    <t>100603</t>
  </si>
  <si>
    <t>100602</t>
  </si>
  <si>
    <t>100601</t>
  </si>
  <si>
    <t>100600</t>
  </si>
  <si>
    <t>100599</t>
  </si>
  <si>
    <t>100598</t>
  </si>
  <si>
    <t>100597</t>
  </si>
  <si>
    <t>100596</t>
  </si>
  <si>
    <t>100595</t>
  </si>
  <si>
    <t>100594</t>
  </si>
  <si>
    <t>100593</t>
  </si>
  <si>
    <t>100592</t>
  </si>
  <si>
    <t>100591</t>
  </si>
  <si>
    <t>100590</t>
  </si>
  <si>
    <t>100589</t>
  </si>
  <si>
    <t>100588</t>
  </si>
  <si>
    <t>100587</t>
  </si>
  <si>
    <t>100586</t>
  </si>
  <si>
    <t>100585</t>
  </si>
  <si>
    <t>100584</t>
  </si>
  <si>
    <t>100583</t>
  </si>
  <si>
    <t>100582</t>
  </si>
  <si>
    <t>100581</t>
  </si>
  <si>
    <t>100580</t>
  </si>
  <si>
    <t>100579</t>
  </si>
  <si>
    <t>100578</t>
  </si>
  <si>
    <t>100577</t>
  </si>
  <si>
    <t>100576</t>
  </si>
  <si>
    <t>100575</t>
  </si>
  <si>
    <t>100574</t>
  </si>
  <si>
    <t>100573</t>
  </si>
  <si>
    <t>100572</t>
  </si>
  <si>
    <t>100571</t>
  </si>
  <si>
    <t>100570</t>
  </si>
  <si>
    <t>100569</t>
  </si>
  <si>
    <t>100568</t>
  </si>
  <si>
    <t>100567</t>
  </si>
  <si>
    <t>100566</t>
  </si>
  <si>
    <t>100565</t>
  </si>
  <si>
    <t>100564</t>
  </si>
  <si>
    <t>100563</t>
  </si>
  <si>
    <t>100562</t>
  </si>
  <si>
    <t>100561</t>
  </si>
  <si>
    <t>100560</t>
  </si>
  <si>
    <t>100559</t>
  </si>
  <si>
    <t>100558</t>
  </si>
  <si>
    <t>100557</t>
  </si>
  <si>
    <t>100556</t>
  </si>
  <si>
    <t>100555</t>
  </si>
  <si>
    <t>100554</t>
  </si>
  <si>
    <t>100553</t>
  </si>
  <si>
    <t>100552</t>
  </si>
  <si>
    <t>100551</t>
  </si>
  <si>
    <t>100550</t>
  </si>
  <si>
    <t>100549</t>
  </si>
  <si>
    <t>100548</t>
  </si>
  <si>
    <t>100547</t>
  </si>
  <si>
    <t>100546</t>
  </si>
  <si>
    <t>100545</t>
  </si>
  <si>
    <t>100544</t>
  </si>
  <si>
    <t>100543</t>
  </si>
  <si>
    <t>100542</t>
  </si>
  <si>
    <t>100541</t>
  </si>
  <si>
    <t>100540</t>
  </si>
  <si>
    <t>100539</t>
  </si>
  <si>
    <t>100538</t>
  </si>
  <si>
    <t>100537</t>
  </si>
  <si>
    <t>100536</t>
  </si>
  <si>
    <t>100535</t>
  </si>
  <si>
    <t>100534</t>
  </si>
  <si>
    <t>100533</t>
  </si>
  <si>
    <t>100532</t>
  </si>
  <si>
    <t>100531</t>
  </si>
  <si>
    <t>100530</t>
  </si>
  <si>
    <t>100529</t>
  </si>
  <si>
    <t>100528</t>
  </si>
  <si>
    <t>100527</t>
  </si>
  <si>
    <t>100526</t>
  </si>
  <si>
    <t>100525</t>
  </si>
  <si>
    <t>100524</t>
  </si>
  <si>
    <t>100523</t>
  </si>
  <si>
    <t>100522</t>
  </si>
  <si>
    <t>100521</t>
  </si>
  <si>
    <t>100520</t>
  </si>
  <si>
    <t>100519</t>
  </si>
  <si>
    <t>100518</t>
  </si>
  <si>
    <t>100517</t>
  </si>
  <si>
    <t>100516</t>
  </si>
  <si>
    <t>100515</t>
  </si>
  <si>
    <t>100514</t>
  </si>
  <si>
    <t>100513</t>
  </si>
  <si>
    <t>100512</t>
  </si>
  <si>
    <t>100511</t>
  </si>
  <si>
    <t>100510</t>
  </si>
  <si>
    <t>100509</t>
  </si>
  <si>
    <t>100508</t>
  </si>
  <si>
    <t>100507</t>
  </si>
  <si>
    <t>100506</t>
  </si>
  <si>
    <t>100505</t>
  </si>
  <si>
    <t>100504</t>
  </si>
  <si>
    <t>100503</t>
  </si>
  <si>
    <t>100502</t>
  </si>
  <si>
    <t>100501</t>
  </si>
  <si>
    <t>100500</t>
  </si>
  <si>
    <t>100499</t>
  </si>
  <si>
    <t>100498</t>
  </si>
  <si>
    <t>100497</t>
  </si>
  <si>
    <t>100496</t>
  </si>
  <si>
    <t>100495</t>
  </si>
  <si>
    <t>100494</t>
  </si>
  <si>
    <t>100493</t>
  </si>
  <si>
    <t>100492</t>
  </si>
  <si>
    <t>100491</t>
  </si>
  <si>
    <t>100490</t>
  </si>
  <si>
    <t>100489</t>
  </si>
  <si>
    <t>100488</t>
  </si>
  <si>
    <t>100487</t>
  </si>
  <si>
    <t>100486</t>
  </si>
  <si>
    <t>100485</t>
  </si>
  <si>
    <t>100484</t>
  </si>
  <si>
    <t>100483</t>
  </si>
  <si>
    <t>100482</t>
  </si>
  <si>
    <t>100481</t>
  </si>
  <si>
    <t>100480</t>
  </si>
  <si>
    <t>100479</t>
  </si>
  <si>
    <t>100478</t>
  </si>
  <si>
    <t>100477</t>
  </si>
  <si>
    <t>100476</t>
  </si>
  <si>
    <t>100475</t>
  </si>
  <si>
    <t>100474</t>
  </si>
  <si>
    <t>100473</t>
  </si>
  <si>
    <t>100472</t>
  </si>
  <si>
    <t>100471</t>
  </si>
  <si>
    <t>100470</t>
  </si>
  <si>
    <t>100469</t>
  </si>
  <si>
    <t>Tijuana</t>
  </si>
  <si>
    <t>100468</t>
  </si>
  <si>
    <t>100467</t>
  </si>
  <si>
    <t>100466</t>
  </si>
  <si>
    <t>100465</t>
  </si>
  <si>
    <t>100464</t>
  </si>
  <si>
    <t>100463</t>
  </si>
  <si>
    <t>100462</t>
  </si>
  <si>
    <t>100461</t>
  </si>
  <si>
    <t>100460</t>
  </si>
  <si>
    <t>100459</t>
  </si>
  <si>
    <t>100458</t>
  </si>
  <si>
    <t>100457</t>
  </si>
  <si>
    <t>100456</t>
  </si>
  <si>
    <t>100455</t>
  </si>
  <si>
    <t>100454</t>
  </si>
  <si>
    <t>100453</t>
  </si>
  <si>
    <t>100452</t>
  </si>
  <si>
    <t>100451</t>
  </si>
  <si>
    <t>100450</t>
  </si>
  <si>
    <t>100449</t>
  </si>
  <si>
    <t>100448</t>
  </si>
  <si>
    <t>100447</t>
  </si>
  <si>
    <t>100446</t>
  </si>
  <si>
    <t>100445</t>
  </si>
  <si>
    <t>100444</t>
  </si>
  <si>
    <t>100443</t>
  </si>
  <si>
    <t>100442</t>
  </si>
  <si>
    <t>100441</t>
  </si>
  <si>
    <t>100440</t>
  </si>
  <si>
    <t>100439</t>
  </si>
  <si>
    <t>100438</t>
  </si>
  <si>
    <t>100437</t>
  </si>
  <si>
    <t>100436</t>
  </si>
  <si>
    <t>100435</t>
  </si>
  <si>
    <t>100434</t>
  </si>
  <si>
    <t>100433</t>
  </si>
  <si>
    <t>100432</t>
  </si>
  <si>
    <t>100431</t>
  </si>
  <si>
    <t>100430</t>
  </si>
  <si>
    <t>100429</t>
  </si>
  <si>
    <t>100428</t>
  </si>
  <si>
    <t>100427</t>
  </si>
  <si>
    <t>100426</t>
  </si>
  <si>
    <t>100425</t>
  </si>
  <si>
    <t>100424</t>
  </si>
  <si>
    <t>100423</t>
  </si>
  <si>
    <t>100422</t>
  </si>
  <si>
    <t>100421</t>
  </si>
  <si>
    <t>100420</t>
  </si>
  <si>
    <t>100419</t>
  </si>
  <si>
    <t>100418</t>
  </si>
  <si>
    <t>100417</t>
  </si>
  <si>
    <t>100416</t>
  </si>
  <si>
    <t>100415</t>
  </si>
  <si>
    <t>100414</t>
  </si>
  <si>
    <t>100413</t>
  </si>
  <si>
    <t>100412</t>
  </si>
  <si>
    <t>100411</t>
  </si>
  <si>
    <t>100410</t>
  </si>
  <si>
    <t>100409</t>
  </si>
  <si>
    <t>100408</t>
  </si>
  <si>
    <t>100407</t>
  </si>
  <si>
    <t>100406</t>
  </si>
  <si>
    <t>100405</t>
  </si>
  <si>
    <t>100404</t>
  </si>
  <si>
    <t>100403</t>
  </si>
  <si>
    <t>100402</t>
  </si>
  <si>
    <t>100401</t>
  </si>
  <si>
    <t>100400</t>
  </si>
  <si>
    <t>100399</t>
  </si>
  <si>
    <t>100398</t>
  </si>
  <si>
    <t>100397</t>
  </si>
  <si>
    <t>100396</t>
  </si>
  <si>
    <t>100395</t>
  </si>
  <si>
    <t>100394</t>
  </si>
  <si>
    <t>100393</t>
  </si>
  <si>
    <t>100392</t>
  </si>
  <si>
    <t>100391</t>
  </si>
  <si>
    <t>100390</t>
  </si>
  <si>
    <t>100389</t>
  </si>
  <si>
    <t>100388</t>
  </si>
  <si>
    <t>100387</t>
  </si>
  <si>
    <t>100386</t>
  </si>
  <si>
    <t>100385</t>
  </si>
  <si>
    <t>100384</t>
  </si>
  <si>
    <t>100383</t>
  </si>
  <si>
    <t>100382</t>
  </si>
  <si>
    <t>100381</t>
  </si>
  <si>
    <t>100380</t>
  </si>
  <si>
    <t>100379</t>
  </si>
  <si>
    <t>100378</t>
  </si>
  <si>
    <t>100377</t>
  </si>
  <si>
    <t>100376</t>
  </si>
  <si>
    <t>100375</t>
  </si>
  <si>
    <t>100374</t>
  </si>
  <si>
    <t>100373</t>
  </si>
  <si>
    <t>100372</t>
  </si>
  <si>
    <t>100371</t>
  </si>
  <si>
    <t>100370</t>
  </si>
  <si>
    <t>100369</t>
  </si>
  <si>
    <t>100368</t>
  </si>
  <si>
    <t>100367</t>
  </si>
  <si>
    <t>100366</t>
  </si>
  <si>
    <t>100365</t>
  </si>
  <si>
    <t>100364</t>
  </si>
  <si>
    <t>100363</t>
  </si>
  <si>
    <t>100362</t>
  </si>
  <si>
    <t>100361</t>
  </si>
  <si>
    <t>100360</t>
  </si>
  <si>
    <t>100359</t>
  </si>
  <si>
    <t>100358</t>
  </si>
  <si>
    <t>100357</t>
  </si>
  <si>
    <t>100356</t>
  </si>
  <si>
    <t>100355</t>
  </si>
  <si>
    <t>100354</t>
  </si>
  <si>
    <t>100353</t>
  </si>
  <si>
    <t>100352</t>
  </si>
  <si>
    <t>100351</t>
  </si>
  <si>
    <t>100350</t>
  </si>
  <si>
    <t>100349</t>
  </si>
  <si>
    <t>100348</t>
  </si>
  <si>
    <t>100347</t>
  </si>
  <si>
    <t>100346</t>
  </si>
  <si>
    <t>100345</t>
  </si>
  <si>
    <t>100344</t>
  </si>
  <si>
    <t>100343</t>
  </si>
  <si>
    <t>100342</t>
  </si>
  <si>
    <t>100341</t>
  </si>
  <si>
    <t>100340</t>
  </si>
  <si>
    <t>100339</t>
  </si>
  <si>
    <t>100338</t>
  </si>
  <si>
    <t>100337</t>
  </si>
  <si>
    <t>100336</t>
  </si>
  <si>
    <t>100335</t>
  </si>
  <si>
    <t>100334</t>
  </si>
  <si>
    <t>100333</t>
  </si>
  <si>
    <t>100332</t>
  </si>
  <si>
    <t>100331</t>
  </si>
  <si>
    <t>100330</t>
  </si>
  <si>
    <t>100329</t>
  </si>
  <si>
    <t>100328</t>
  </si>
  <si>
    <t>100327</t>
  </si>
  <si>
    <t>100326</t>
  </si>
  <si>
    <t>100325</t>
  </si>
  <si>
    <t>100324</t>
  </si>
  <si>
    <t>100323</t>
  </si>
  <si>
    <t>100322</t>
  </si>
  <si>
    <t>100321</t>
  </si>
  <si>
    <t>100320</t>
  </si>
  <si>
    <t>100319</t>
  </si>
  <si>
    <t>100318</t>
  </si>
  <si>
    <t>100317</t>
  </si>
  <si>
    <t>100316</t>
  </si>
  <si>
    <t>100315</t>
  </si>
  <si>
    <t>100314</t>
  </si>
  <si>
    <t>100313</t>
  </si>
  <si>
    <t>100312</t>
  </si>
  <si>
    <t>100311</t>
  </si>
  <si>
    <t>100310</t>
  </si>
  <si>
    <t>100309</t>
  </si>
  <si>
    <t>100308</t>
  </si>
  <si>
    <t>100307</t>
  </si>
  <si>
    <t>100306</t>
  </si>
  <si>
    <t>100305</t>
  </si>
  <si>
    <t>100304</t>
  </si>
  <si>
    <t>100303</t>
  </si>
  <si>
    <t>100302</t>
  </si>
  <si>
    <t>100301</t>
  </si>
  <si>
    <t>100300</t>
  </si>
  <si>
    <t>100299</t>
  </si>
  <si>
    <t>100298</t>
  </si>
  <si>
    <t>100297</t>
  </si>
  <si>
    <t>100296</t>
  </si>
  <si>
    <t>100295</t>
  </si>
  <si>
    <t>100294</t>
  </si>
  <si>
    <t>100293</t>
  </si>
  <si>
    <t>100292</t>
  </si>
  <si>
    <t>100291</t>
  </si>
  <si>
    <t>100290</t>
  </si>
  <si>
    <t>100289</t>
  </si>
  <si>
    <t>100288</t>
  </si>
  <si>
    <t>100287</t>
  </si>
  <si>
    <t>100286</t>
  </si>
  <si>
    <t>100285</t>
  </si>
  <si>
    <t>100284</t>
  </si>
  <si>
    <t>100283</t>
  </si>
  <si>
    <t>100282</t>
  </si>
  <si>
    <t>100281</t>
  </si>
  <si>
    <t>100280</t>
  </si>
  <si>
    <t>100279</t>
  </si>
  <si>
    <t>100278</t>
  </si>
  <si>
    <t>100277</t>
  </si>
  <si>
    <t>100276</t>
  </si>
  <si>
    <t>100275</t>
  </si>
  <si>
    <t>100274</t>
  </si>
  <si>
    <t>100273</t>
  </si>
  <si>
    <t>100272</t>
  </si>
  <si>
    <t>100271</t>
  </si>
  <si>
    <t>100270</t>
  </si>
  <si>
    <t>100269</t>
  </si>
  <si>
    <t>100268</t>
  </si>
  <si>
    <t>100267</t>
  </si>
  <si>
    <t>100266</t>
  </si>
  <si>
    <t>100265</t>
  </si>
  <si>
    <t>100264</t>
  </si>
  <si>
    <t>100263</t>
  </si>
  <si>
    <t>100262</t>
  </si>
  <si>
    <t>100261</t>
  </si>
  <si>
    <t>100260</t>
  </si>
  <si>
    <t>100259</t>
  </si>
  <si>
    <t>100258</t>
  </si>
  <si>
    <t>100257</t>
  </si>
  <si>
    <t>100256</t>
  </si>
  <si>
    <t>100255</t>
  </si>
  <si>
    <t>100254</t>
  </si>
  <si>
    <t>100253</t>
  </si>
  <si>
    <t>100252</t>
  </si>
  <si>
    <t>100251</t>
  </si>
  <si>
    <t>100250</t>
  </si>
  <si>
    <t>100249</t>
  </si>
  <si>
    <t>100248</t>
  </si>
  <si>
    <t>100247</t>
  </si>
  <si>
    <t>100246</t>
  </si>
  <si>
    <t>100245</t>
  </si>
  <si>
    <t>100244</t>
  </si>
  <si>
    <t>100243</t>
  </si>
  <si>
    <t>100242</t>
  </si>
  <si>
    <t>100241</t>
  </si>
  <si>
    <t>100240</t>
  </si>
  <si>
    <t>100239</t>
  </si>
  <si>
    <t>100238</t>
  </si>
  <si>
    <t>100237</t>
  </si>
  <si>
    <t>100236</t>
  </si>
  <si>
    <t>100235</t>
  </si>
  <si>
    <t>100234</t>
  </si>
  <si>
    <t>100233</t>
  </si>
  <si>
    <t>100232</t>
  </si>
  <si>
    <t>100231</t>
  </si>
  <si>
    <t>100230</t>
  </si>
  <si>
    <t>100229</t>
  </si>
  <si>
    <t>100228</t>
  </si>
  <si>
    <t>100227</t>
  </si>
  <si>
    <t>100226</t>
  </si>
  <si>
    <t>100225</t>
  </si>
  <si>
    <t>100224</t>
  </si>
  <si>
    <t>100223</t>
  </si>
  <si>
    <t>100222</t>
  </si>
  <si>
    <t>100221</t>
  </si>
  <si>
    <t>100220</t>
  </si>
  <si>
    <t>100219</t>
  </si>
  <si>
    <t>100218</t>
  </si>
  <si>
    <t>100217</t>
  </si>
  <si>
    <t>100216</t>
  </si>
  <si>
    <t>100215</t>
  </si>
  <si>
    <t>100214</t>
  </si>
  <si>
    <t>100213</t>
  </si>
  <si>
    <t>100212</t>
  </si>
  <si>
    <t>100211</t>
  </si>
  <si>
    <t>100210</t>
  </si>
  <si>
    <t>100209</t>
  </si>
  <si>
    <t>100208</t>
  </si>
  <si>
    <t>100207</t>
  </si>
  <si>
    <t>100206</t>
  </si>
  <si>
    <t>100205</t>
  </si>
  <si>
    <t>100204</t>
  </si>
  <si>
    <t>100203</t>
  </si>
  <si>
    <t>100202</t>
  </si>
  <si>
    <t>100201</t>
  </si>
  <si>
    <t>100200</t>
  </si>
  <si>
    <t>100199</t>
  </si>
  <si>
    <t>100198</t>
  </si>
  <si>
    <t>100197</t>
  </si>
  <si>
    <t>100196</t>
  </si>
  <si>
    <t>100195</t>
  </si>
  <si>
    <t>100194</t>
  </si>
  <si>
    <t>100193</t>
  </si>
  <si>
    <t>100192</t>
  </si>
  <si>
    <t>100191</t>
  </si>
  <si>
    <t>100190</t>
  </si>
  <si>
    <t>100189</t>
  </si>
  <si>
    <t>100188</t>
  </si>
  <si>
    <t>100187</t>
  </si>
  <si>
    <t>100186</t>
  </si>
  <si>
    <t>100185</t>
  </si>
  <si>
    <t>100184</t>
  </si>
  <si>
    <t>100183</t>
  </si>
  <si>
    <t>100182</t>
  </si>
  <si>
    <t>100181</t>
  </si>
  <si>
    <t>100180</t>
  </si>
  <si>
    <t>100179</t>
  </si>
  <si>
    <t>100178</t>
  </si>
  <si>
    <t>100177</t>
  </si>
  <si>
    <t>100176</t>
  </si>
  <si>
    <t>100175</t>
  </si>
  <si>
    <t>100174</t>
  </si>
  <si>
    <t>100173</t>
  </si>
  <si>
    <t>100172</t>
  </si>
  <si>
    <t>100171</t>
  </si>
  <si>
    <t>100170</t>
  </si>
  <si>
    <t>100169</t>
  </si>
  <si>
    <t>100168</t>
  </si>
  <si>
    <t>100167</t>
  </si>
  <si>
    <t>100166</t>
  </si>
  <si>
    <t>100165</t>
  </si>
  <si>
    <t>100164</t>
  </si>
  <si>
    <t>100163</t>
  </si>
  <si>
    <t>100162</t>
  </si>
  <si>
    <t>100161</t>
  </si>
  <si>
    <t>100160</t>
  </si>
  <si>
    <t>100159</t>
  </si>
  <si>
    <t>100158</t>
  </si>
  <si>
    <t>100157</t>
  </si>
  <si>
    <t>100156</t>
  </si>
  <si>
    <t>100155</t>
  </si>
  <si>
    <t>100154</t>
  </si>
  <si>
    <t>100153</t>
  </si>
  <si>
    <t>100152</t>
  </si>
  <si>
    <t>100151</t>
  </si>
  <si>
    <t>100150</t>
  </si>
  <si>
    <t>100149</t>
  </si>
  <si>
    <t>100148</t>
  </si>
  <si>
    <t>100147</t>
  </si>
  <si>
    <t>100146</t>
  </si>
  <si>
    <t>100145</t>
  </si>
  <si>
    <t>100144</t>
  </si>
  <si>
    <t>100143</t>
  </si>
  <si>
    <t>100142</t>
  </si>
  <si>
    <t>100141</t>
  </si>
  <si>
    <t>100140</t>
  </si>
  <si>
    <t>100139</t>
  </si>
  <si>
    <t>100138</t>
  </si>
  <si>
    <t>100137</t>
  </si>
  <si>
    <t>100136</t>
  </si>
  <si>
    <t>100135</t>
  </si>
  <si>
    <t>100134</t>
  </si>
  <si>
    <t>100133</t>
  </si>
  <si>
    <t>100132</t>
  </si>
  <si>
    <t>100131</t>
  </si>
  <si>
    <t>100130</t>
  </si>
  <si>
    <t>100129</t>
  </si>
  <si>
    <t>100128</t>
  </si>
  <si>
    <t>100127</t>
  </si>
  <si>
    <t>100126</t>
  </si>
  <si>
    <t>100125</t>
  </si>
  <si>
    <t>100124</t>
  </si>
  <si>
    <t>100123</t>
  </si>
  <si>
    <t>100122</t>
  </si>
  <si>
    <t>100121</t>
  </si>
  <si>
    <t>100120</t>
  </si>
  <si>
    <t>100119</t>
  </si>
  <si>
    <t>100118</t>
  </si>
  <si>
    <t>100117</t>
  </si>
  <si>
    <t>100116</t>
  </si>
  <si>
    <t>100115</t>
  </si>
  <si>
    <t>100114</t>
  </si>
  <si>
    <t>100113</t>
  </si>
  <si>
    <t>100112</t>
  </si>
  <si>
    <t>100111</t>
  </si>
  <si>
    <t>100110</t>
  </si>
  <si>
    <t>100109</t>
  </si>
  <si>
    <t>100108</t>
  </si>
  <si>
    <t>100107</t>
  </si>
  <si>
    <t>100106</t>
  </si>
  <si>
    <t>100105</t>
  </si>
  <si>
    <t>100104</t>
  </si>
  <si>
    <t>100103</t>
  </si>
  <si>
    <t>100102</t>
  </si>
  <si>
    <t>100101</t>
  </si>
  <si>
    <t>Category</t>
  </si>
  <si>
    <t>Fresh Packaged</t>
  </si>
  <si>
    <t>Healthy Beverage</t>
  </si>
  <si>
    <t>Healthy</t>
  </si>
  <si>
    <t>Organic Baby</t>
  </si>
  <si>
    <t>Organic Frozen</t>
  </si>
  <si>
    <t>Organic Pet</t>
  </si>
  <si>
    <t>Organic Beauty</t>
  </si>
  <si>
    <t>Original</t>
  </si>
  <si>
    <t>Delayed</t>
  </si>
  <si>
    <t>Keep products and weeks in their existing order; opening stock uses the previous row.</t>
  </si>
  <si>
    <t>PSI rows</t>
  </si>
  <si>
    <t>Use automatic calculation. Extend formula ranges when adding new records.</t>
  </si>
  <si>
    <t>Updates</t>
  </si>
  <si>
    <t>Closing stock divided by average weekly demand over 13 weeks.</t>
  </si>
  <si>
    <t>Stock cover</t>
  </si>
  <si>
    <t>Shortages are shared proportionally across orders for the same SKU and week.</t>
  </si>
  <si>
    <t>Customer impact</t>
  </si>
  <si>
    <t>Unfilled demand is recorded separately and is not carried to the next week.</t>
  </si>
  <si>
    <t>Shortages</t>
  </si>
  <si>
    <t>Opening stock + production - fulfilled orders = closing stock.</t>
  </si>
  <si>
    <t>Weekly stock</t>
  </si>
  <si>
    <t>Controls B6: 1 = normal demand; 1.2 = 20% more demand.</t>
  </si>
  <si>
    <t>Controls B5: 1 = Original, 2 = Delayed.</t>
  </si>
  <si>
    <t>Weeks 39 to 52 of 2023. Demand starts in week 40.</t>
  </si>
  <si>
    <t>Prosacco_Original_Data.xlsx</t>
  </si>
  <si>
    <t>Source</t>
  </si>
  <si>
    <t>Notes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</si>
</sst>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\-mmm\-yy"/>
    <numFmt numFmtId="165" formatCode="#,##0.0"/>
    <numFmt numFmtId="166" formatCode="0.0%"/>
    <numFmt numFmtId="167" formatCode="\$#,##0"/>
    <numFmt numFmtId="168" formatCode="0.0"/>
  </numFmts>
  <fonts count="9">
    <font>
      <sz val="11"/>
      <name val="Carlito"/>
    </font>
    <font>
      <sz val="10"/>
      <name val="Arial"/>
    </font>
    <font>
      <b/>
      <sz val="16"/>
      <color rgb="FF18344D"/>
      <name val="Arial"/>
    </font>
    <font>
      <b/>
      <sz val="10"/>
      <color rgb="FFFFFFFF"/>
      <name val="Arial"/>
    </font>
    <font>
      <sz val="11"/>
      <name val="Arial"/>
      <family val="2"/>
    </font>
    <font>
      <b/>
      <sz val="11"/>
      <color rgb="FFFFFFFF"/>
      <name val="Arial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name val="Carlito"/>
    </font>
  </fonts>
  <fills count="6">
    <fill>
      <patternFill patternType="none"/>
    </fill>
    <fill>
      <patternFill patternType="gray125"/>
    </fill>
    <fill>
      <patternFill patternType="solid">
        <fgColor rgb="FFFFF0C2"/>
      </patternFill>
    </fill>
    <fill>
      <patternFill patternType="solid">
        <fgColor rgb="FF18344D"/>
      </patternFill>
    </fill>
    <fill>
      <patternFill patternType="solid">
        <fgColor theme="2"/>
        <bgColor indexed="64"/>
      </patternFill>
    </fill>
    <fill>
      <patternFill patternType="solid">
        <f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3" fontId="1" fillId="0" borderId="0" xfId="0" applyNumberFormat="1" applyFont="1" applyAlignment="1">
      <alignment vertical="center"/>
    </xf>
    <xf numFmtId="166" fontId="1" fillId="0" borderId="0" xfId="0" applyNumberFormat="1" applyFont="1" applyAlignment="1">
      <alignment vertical="center"/>
    </xf>
    <xf numFmtId="167" fontId="1" fillId="0" borderId="0" xfId="0" applyNumberFormat="1" applyFont="1" applyAlignment="1">
      <alignment vertical="center"/>
    </xf>
    <xf numFmtId="0" fontId="0" fillId="0" borderId="0" xfId="0" applyAlignment="1">
      <alignment vertical="center"/>
    </xf>
    <xf numFmtId="3" fontId="0" fillId="0" borderId="0" xfId="0" applyNumberFormat="1" applyAlignment="1">
      <alignment vertical="center"/>
    </xf>
    <xf numFmtId="0" fontId="1" fillId="2" borderId="0" xfId="0" applyFont="1" applyFill="1" applyAlignment="1">
      <alignment vertical="center"/>
    </xf>
    <xf numFmtId="2" fontId="1" fillId="2" borderId="0" xfId="0" applyNumberFormat="1" applyFont="1" applyFill="1" applyAlignment="1">
      <alignment vertical="center"/>
    </xf>
    <xf numFmtId="165" fontId="1" fillId="0" borderId="0" xfId="0" applyNumberFormat="1" applyFont="1" applyAlignment="1">
      <alignment vertical="center"/>
    </xf>
    <xf numFmtId="165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167" fontId="0" fillId="0" borderId="0" xfId="0" applyNumberFormat="1" applyAlignment="1">
      <alignment vertical="center"/>
    </xf>
    <xf numFmtId="168" fontId="1" fillId="0" borderId="0" xfId="0" applyNumberFormat="1" applyFont="1" applyAlignment="1">
      <alignment vertical="center"/>
    </xf>
    <xf numFmtId="164" fontId="1" fillId="0" borderId="0" xfId="0" applyNumberFormat="1" applyFont="1" applyAlignment="1">
      <alignment vertical="center"/>
    </xf>
    <xf numFmtId="164" fontId="0" fillId="0" borderId="0" xfId="0" applyNumberFormat="1" applyAlignment="1">
      <alignment vertical="center"/>
    </xf>
    <xf numFmtId="0" fontId="3" fillId="3" borderId="0" xfId="0" applyFont="1" applyFill="1" applyAlignment="1">
      <alignment horizontal="center" vertical="center" wrapText="1"/>
    </xf>
    <xf numFmtId="0" fontId="4" fillId="0" borderId="0" xfId="0" applyFont="1" applyAlignment="1">
      <alignment vertical="center"/>
    </xf>
    <xf numFmtId="0" fontId="5" fillId="3" borderId="0" xfId="0" applyFont="1" applyFill="1" applyAlignment="1">
      <alignment horizontal="center" vertical="center" wrapText="1"/>
    </xf>
    <xf numFmtId="3" fontId="4" fillId="0" borderId="0" xfId="0" applyNumberFormat="1" applyFont="1" applyAlignment="1">
      <alignment vertical="center"/>
    </xf>
    <xf numFmtId="166" fontId="4" fillId="0" borderId="0" xfId="0" applyNumberFormat="1" applyFont="1" applyAlignment="1">
      <alignment vertical="center"/>
    </xf>
    <xf numFmtId="167" fontId="4" fillId="0" borderId="0" xfId="0" applyNumberFormat="1" applyFont="1" applyAlignment="1">
      <alignment vertical="center"/>
    </xf>
    <xf numFmtId="0" fontId="0" fillId="0" borderId="0" xfId="0" applyFont="1" applyAlignment="1">
      <alignment vertical="center"/>
    </xf>
    <xf numFmtId="3" fontId="0" fillId="0" borderId="0" xfId="0" applyNumberFormat="1" applyFont="1" applyAlignment="1">
      <alignment vertical="center"/>
    </xf>
    <xf numFmtId="0" fontId="0" fillId="0" borderId="0" xfId="0" applyFont="1"/>
    <xf numFmtId="0" fontId="0" fillId="4" borderId="0" xfId="0" applyFill="1" applyAlignment="1">
      <alignment vertical="center"/>
    </xf>
    <xf numFmtId="166" fontId="0" fillId="4" borderId="0" xfId="0" applyNumberFormat="1" applyFill="1" applyAlignment="1">
      <alignment vertical="center"/>
    </xf>
    <xf numFmtId="0" fontId="6" fillId="5" borderId="0" xfId="0" applyFont="1" applyFill="1" applyAlignment="1">
      <alignment vertical="center" wrapText="1"/>
    </xf>
    <xf numFmtId="0" fontId="7" fillId="5" borderId="0" xfId="0" applyFont="1" applyFill="1" applyAlignment="1">
      <alignment vertical="center"/>
    </xf>
    <xf numFmtId="0" fontId="8" fillId="0" borderId="0" xfId="0" applyFont="1"/>
  </cellXfs>
  <cellStyles count="1">
    <cellStyle name="Normal" xfId="0" builtinId="0"/>
  </cellStyles>
  <dxfs count="5">
    <dxf>
      <font>
        <b/>
        <color rgb="FFB94337"/>
      </font>
      <fill>
        <patternFill patternType="solid">
          <bgColor rgb="FFFCE5DF"/>
        </patternFill>
      </fill>
    </dxf>
    <dxf>
      <font>
        <b/>
        <color rgb="FFB94337"/>
      </font>
      <fill>
        <patternFill patternType="solid">
          <bgColor rgb="FFFCE5DF"/>
        </patternFill>
      </fill>
    </dxf>
    <dxf>
      <font>
        <b/>
        <color rgb="FFB94337"/>
      </font>
      <fill>
        <patternFill patternType="solid">
          <bgColor rgb="FFFCE5DF"/>
        </patternFill>
      </fill>
    </dxf>
    <dxf>
      <font>
        <b/>
        <color rgb="FFB94337"/>
      </font>
      <fill>
        <patternFill patternType="solid">
          <bgColor rgb="FFFCE5DF"/>
        </patternFill>
      </fill>
    </dxf>
    <dxf>
      <font>
        <b/>
        <color rgb="FFB94337"/>
      </font>
      <fill>
        <patternFill patternType="solid">
          <bgColor rgb="FFFCE5D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Weekly demand and planned production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Demand</c:v>
          </c:tx>
          <c:spPr>
            <a:ln w="19050">
              <a:solidFill>
                <a:srgbClr val="2675A6"/>
              </a:solidFill>
              <a:prstDash val="solid"/>
            </a:ln>
          </c:spPr>
          <c:marker>
            <c:symbol val="none"/>
          </c:marker>
          <c:cat>
            <c:strRef>
              <c:f>Dashboard!$B$18:$B$31</c:f>
              <c:strCache>
                <c:ptCount val="14"/>
                <c:pt idx="0">
                  <c:v>W39</c:v>
                </c:pt>
                <c:pt idx="1">
                  <c:v>W40</c:v>
                </c:pt>
                <c:pt idx="2">
                  <c:v>W41</c:v>
                </c:pt>
                <c:pt idx="3">
                  <c:v>W42</c:v>
                </c:pt>
                <c:pt idx="4">
                  <c:v>W43</c:v>
                </c:pt>
                <c:pt idx="5">
                  <c:v>W44</c:v>
                </c:pt>
                <c:pt idx="6">
                  <c:v>W45</c:v>
                </c:pt>
                <c:pt idx="7">
                  <c:v>W46</c:v>
                </c:pt>
                <c:pt idx="8">
                  <c:v>W47</c:v>
                </c:pt>
                <c:pt idx="9">
                  <c:v>W48</c:v>
                </c:pt>
                <c:pt idx="10">
                  <c:v>W49</c:v>
                </c:pt>
                <c:pt idx="11">
                  <c:v>W50</c:v>
                </c:pt>
                <c:pt idx="12">
                  <c:v>W51</c:v>
                </c:pt>
                <c:pt idx="13">
                  <c:v>W52</c:v>
                </c:pt>
              </c:strCache>
            </c:strRef>
          </c:cat>
          <c:val>
            <c:numRef>
              <c:f>Dashboard!$C$18:$C$31</c:f>
              <c:numCache>
                <c:formatCode>#,##0</c:formatCode>
                <c:ptCount val="14"/>
                <c:pt idx="0">
                  <c:v>0</c:v>
                </c:pt>
                <c:pt idx="1">
                  <c:v>7026</c:v>
                </c:pt>
                <c:pt idx="2">
                  <c:v>9848</c:v>
                </c:pt>
                <c:pt idx="3">
                  <c:v>9607</c:v>
                </c:pt>
                <c:pt idx="4">
                  <c:v>6952</c:v>
                </c:pt>
                <c:pt idx="5">
                  <c:v>6910</c:v>
                </c:pt>
                <c:pt idx="6">
                  <c:v>8228</c:v>
                </c:pt>
                <c:pt idx="7">
                  <c:v>11302</c:v>
                </c:pt>
                <c:pt idx="8">
                  <c:v>7086</c:v>
                </c:pt>
                <c:pt idx="9">
                  <c:v>10413</c:v>
                </c:pt>
                <c:pt idx="10">
                  <c:v>7737</c:v>
                </c:pt>
                <c:pt idx="11">
                  <c:v>8685</c:v>
                </c:pt>
                <c:pt idx="12">
                  <c:v>8885</c:v>
                </c:pt>
                <c:pt idx="13">
                  <c:v>7315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7FA-4FEF-A567-9366FEAD0DA8}"/>
            </c:ext>
          </c:extLst>
        </c:ser>
        <c:ser>
          <c:idx val="1"/>
          <c:order val="1"/>
          <c:tx>
            <c:v>Production</c:v>
          </c:tx>
          <c:spPr>
            <a:ln w="19050">
              <a:solidFill>
                <a:srgbClr val="C17D35"/>
              </a:solidFill>
              <a:prstDash val="solid"/>
            </a:ln>
          </c:spPr>
          <c:marker>
            <c:symbol val="none"/>
          </c:marker>
          <c:cat>
            <c:strRef>
              <c:f>Dashboard!$B$18:$B$31</c:f>
              <c:strCache>
                <c:ptCount val="14"/>
                <c:pt idx="0">
                  <c:v>W39</c:v>
                </c:pt>
                <c:pt idx="1">
                  <c:v>W40</c:v>
                </c:pt>
                <c:pt idx="2">
                  <c:v>W41</c:v>
                </c:pt>
                <c:pt idx="3">
                  <c:v>W42</c:v>
                </c:pt>
                <c:pt idx="4">
                  <c:v>W43</c:v>
                </c:pt>
                <c:pt idx="5">
                  <c:v>W44</c:v>
                </c:pt>
                <c:pt idx="6">
                  <c:v>W45</c:v>
                </c:pt>
                <c:pt idx="7">
                  <c:v>W46</c:v>
                </c:pt>
                <c:pt idx="8">
                  <c:v>W47</c:v>
                </c:pt>
                <c:pt idx="9">
                  <c:v>W48</c:v>
                </c:pt>
                <c:pt idx="10">
                  <c:v>W49</c:v>
                </c:pt>
                <c:pt idx="11">
                  <c:v>W50</c:v>
                </c:pt>
                <c:pt idx="12">
                  <c:v>W51</c:v>
                </c:pt>
                <c:pt idx="13">
                  <c:v>W52</c:v>
                </c:pt>
              </c:strCache>
            </c:strRef>
          </c:cat>
          <c:val>
            <c:numRef>
              <c:f>Dashboard!$D$18:$D$31</c:f>
              <c:numCache>
                <c:formatCode>#,##0</c:formatCode>
                <c:ptCount val="14"/>
                <c:pt idx="0">
                  <c:v>2000</c:v>
                </c:pt>
                <c:pt idx="1">
                  <c:v>5000</c:v>
                </c:pt>
                <c:pt idx="2">
                  <c:v>5000</c:v>
                </c:pt>
                <c:pt idx="3">
                  <c:v>7000</c:v>
                </c:pt>
                <c:pt idx="4">
                  <c:v>7000</c:v>
                </c:pt>
                <c:pt idx="5">
                  <c:v>12000</c:v>
                </c:pt>
                <c:pt idx="6">
                  <c:v>10000</c:v>
                </c:pt>
                <c:pt idx="7">
                  <c:v>7000</c:v>
                </c:pt>
                <c:pt idx="8">
                  <c:v>10000</c:v>
                </c:pt>
                <c:pt idx="9">
                  <c:v>7000</c:v>
                </c:pt>
                <c:pt idx="10">
                  <c:v>8000</c:v>
                </c:pt>
                <c:pt idx="11">
                  <c:v>9000</c:v>
                </c:pt>
                <c:pt idx="12">
                  <c:v>8000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7FA-4FEF-A567-9366FEAD0D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#,##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6</xdr:row>
      <xdr:rowOff>0</xdr:rowOff>
    </xdr:from>
    <xdr:to>
      <xdr:col>17</xdr:col>
      <xdr:colOff>0</xdr:colOff>
      <xdr:row>22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PSITable" displayName="PSITable" ref="B5:L173" totalsRowShown="0">
  <tableColumns count="11">
    <tableColumn id="1" xr3:uid="{00000000-0010-0000-0000-000001000000}" name="SKU"/>
    <tableColumn id="2" xr3:uid="{00000000-0010-0000-0000-000002000000}" name="Week"/>
    <tableColumn id="3" xr3:uid="{00000000-0010-0000-0000-000003000000}" name="Opening units"/>
    <tableColumn id="4" xr3:uid="{00000000-0010-0000-0000-000004000000}" name="Production"/>
    <tableColumn id="5" xr3:uid="{00000000-0010-0000-0000-000005000000}" name="Supply"/>
    <tableColumn id="6" xr3:uid="{00000000-0010-0000-0000-000006000000}" name="Demand"/>
    <tableColumn id="7" xr3:uid="{00000000-0010-0000-0000-000007000000}" name="Fulfilled"/>
    <tableColumn id="8" xr3:uid="{00000000-0010-0000-0000-000008000000}" name="Closing units"/>
    <tableColumn id="9" xr3:uid="{00000000-0010-0000-0000-000009000000}" name="Uncovered"/>
    <tableColumn id="10" xr3:uid="{00000000-0010-0000-0000-00000A000000}" name="Fill rate"/>
    <tableColumn id="11" xr3:uid="{00000000-0010-0000-0000-00000B000000}" name="Exposed US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InventoryReview" displayName="InventoryReview" ref="B5:I17" totalsRowShown="0">
  <tableColumns count="8">
    <tableColumn id="1" xr3:uid="{00000000-0010-0000-0100-000001000000}" name="SKU"/>
    <tableColumn id="2" xr3:uid="{00000000-0010-0000-0100-000002000000}" name="Opening units"/>
    <tableColumn id="3" xr3:uid="{00000000-0010-0000-0100-000003000000}" name="Demand"/>
    <tableColumn id="4" xr3:uid="{00000000-0010-0000-0100-000004000000}" name="Fulfilled"/>
    <tableColumn id="5" xr3:uid="{00000000-0010-0000-0100-000005000000}" name="Uncovered"/>
    <tableColumn id="6" xr3:uid="{00000000-0010-0000-0100-000006000000}" name="Week 52 stock"/>
    <tableColumn id="7" xr3:uid="{00000000-0010-0000-0100-000007000000}" name="Weeks of cover"/>
    <tableColumn id="8" xr3:uid="{00000000-0010-0000-0100-000008000000}" name="Act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CustomerImpact" displayName="CustomerImpact" ref="B5:G22" totalsRowShown="0">
  <tableColumns count="6">
    <tableColumn id="1" xr3:uid="{00000000-0010-0000-0200-000001000000}" name="Customer"/>
    <tableColumn id="2" xr3:uid="{00000000-0010-0000-0200-000002000000}" name="Planned units"/>
    <tableColumn id="3" xr3:uid="{00000000-0010-0000-0200-000003000000}" name="Planned USD"/>
    <tableColumn id="4" xr3:uid="{00000000-0010-0000-0200-000004000000}" name="Exposed units"/>
    <tableColumn id="5" xr3:uid="{00000000-0010-0000-0200-000005000000}" name="Exposed USD"/>
    <tableColumn id="6" xr3:uid="{00000000-0010-0000-0200-000006000000}" name="Value exposed %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3000000}" name="OrdersTable" displayName="OrdersTable" ref="A1:P2881" totalsRowShown="0">
  <tableColumns count="16">
    <tableColumn id="1" xr3:uid="{00000000-0010-0000-0300-000001000000}" name="Order ID"/>
    <tableColumn id="2" xr3:uid="{00000000-0010-0000-0300-000002000000}" name="SKU"/>
    <tableColumn id="3" xr3:uid="{00000000-0010-0000-0300-000003000000}" name="Customer"/>
    <tableColumn id="4" xr3:uid="{00000000-0010-0000-0300-000004000000}" name="Channel"/>
    <tableColumn id="5" xr3:uid="{00000000-0010-0000-0300-000005000000}" name="Warehouse"/>
    <tableColumn id="6" xr3:uid="{00000000-0010-0000-0300-000006000000}" name="Order units"/>
    <tableColumn id="7" xr3:uid="{00000000-0010-0000-0300-000007000000}" name="Order value USD"/>
    <tableColumn id="8" xr3:uid="{00000000-0010-0000-0300-000008000000}" name="Expected date"/>
    <tableColumn id="9" xr3:uid="{00000000-0010-0000-0300-000009000000}" name="Week"/>
    <tableColumn id="10" xr3:uid="{00000000-0010-0000-0300-00000A000000}" name="Country"/>
    <tableColumn id="11" xr3:uid="{00000000-0010-0000-0300-00000B000000}" name="City"/>
    <tableColumn id="12" xr3:uid="{00000000-0010-0000-0300-00000C000000}" name="Planned demand"/>
    <tableColumn id="13" xr3:uid="{00000000-0010-0000-0300-00000D000000}" name="Planned value USD"/>
    <tableColumn id="14" xr3:uid="{00000000-0010-0000-0300-00000E000000}" name="Uncovered share"/>
    <tableColumn id="15" xr3:uid="{00000000-0010-0000-0300-00000F000000}" name="Exposed units"/>
    <tableColumn id="16" xr3:uid="{00000000-0010-0000-0300-000010000000}" name="Exposed value US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4000000}" name="ProductsTable" displayName="ProductsTable" ref="A1:D13" totalsRowShown="0">
  <tableColumns count="4">
    <tableColumn id="1" xr3:uid="{00000000-0010-0000-0400-000001000000}" name="Category"/>
    <tableColumn id="2" xr3:uid="{00000000-0010-0000-0400-000002000000}" name="SKU"/>
    <tableColumn id="3" xr3:uid="{00000000-0010-0000-0400-000003000000}" name="Warehouse"/>
    <tableColumn id="4" xr3:uid="{00000000-0010-0000-0400-000004000000}" name="Opening unit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5000000}" name="ProductionTable" displayName="ProductionTable" ref="A1:D337" totalsRowShown="0">
  <tableColumns count="4">
    <tableColumn id="1" xr3:uid="{00000000-0010-0000-0500-000001000000}" name="SKU"/>
    <tableColumn id="2" xr3:uid="{00000000-0010-0000-0500-000002000000}" name="Week"/>
    <tableColumn id="3" xr3:uid="{00000000-0010-0000-0500-000003000000}" name="Scenario"/>
    <tableColumn id="4" xr3:uid="{00000000-0010-0000-0500-000004000000}" name="Planned unit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32"/>
  <sheetViews>
    <sheetView showGridLines="0" zoomScale="85" zoomScaleNormal="85" workbookViewId="0">
      <selection activeCell="D10" sqref="D10"/>
    </sheetView>
  </sheetViews>
  <sheetFormatPr defaultRowHeight="13.8"/>
  <cols>
    <col min="1" max="1" width="3" customWidth="1"/>
    <col min="2" max="2" width="30" customWidth="1"/>
    <col min="3" max="6" width="17" customWidth="1"/>
    <col min="7" max="20" width="15" customWidth="1"/>
  </cols>
  <sheetData>
    <row r="1" spans="1:20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0" ht="21">
      <c r="A2" s="1"/>
      <c r="B2" s="2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spans="1:20">
      <c r="A3" s="1"/>
      <c r="B3" s="18" t="s">
        <v>1</v>
      </c>
      <c r="C3" s="18"/>
      <c r="D3" s="18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</row>
    <row r="4" spans="1:20">
      <c r="A4" s="1"/>
      <c r="B4" s="18"/>
      <c r="C4" s="18"/>
      <c r="D4" s="18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spans="1:20">
      <c r="A5" s="1"/>
      <c r="B5" s="18" t="s">
        <v>2</v>
      </c>
      <c r="C5" s="18"/>
      <c r="D5" s="18" t="str">
        <f>Controls!B7</f>
        <v>Delayed</v>
      </c>
      <c r="E5" s="18"/>
      <c r="F5" s="18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</row>
    <row r="6" spans="1:20">
      <c r="A6" s="1"/>
      <c r="B6" s="18"/>
      <c r="C6" s="18"/>
      <c r="D6" s="18"/>
      <c r="E6" s="18"/>
      <c r="F6" s="18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</row>
    <row r="7" spans="1:20" ht="30" customHeight="1">
      <c r="A7" s="1"/>
      <c r="B7" s="19" t="s">
        <v>3</v>
      </c>
      <c r="C7" s="19" t="s">
        <v>4</v>
      </c>
      <c r="D7" s="18"/>
      <c r="E7" s="18"/>
      <c r="F7" s="18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</row>
    <row r="8" spans="1:20">
      <c r="A8" s="1"/>
      <c r="B8" s="18" t="s">
        <v>5</v>
      </c>
      <c r="C8" s="20">
        <f>SUM('PSI Plan'!G6:G173)</f>
        <v>109994</v>
      </c>
      <c r="D8" s="18"/>
      <c r="E8" s="18"/>
      <c r="F8" s="18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</row>
    <row r="9" spans="1:20">
      <c r="A9" s="1"/>
      <c r="B9" s="18" t="s">
        <v>6</v>
      </c>
      <c r="C9" s="20">
        <f>SUM('PSI Plan'!H6:H173)</f>
        <v>107711</v>
      </c>
      <c r="D9" s="18"/>
      <c r="E9" s="18"/>
      <c r="F9" s="18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</row>
    <row r="10" spans="1:20">
      <c r="A10" s="1"/>
      <c r="B10" s="18" t="s">
        <v>7</v>
      </c>
      <c r="C10" s="20">
        <f>SUM('PSI Plan'!J6:J173)</f>
        <v>2283</v>
      </c>
      <c r="D10" s="18"/>
      <c r="E10" s="18"/>
      <c r="F10" s="18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</row>
    <row r="11" spans="1:20">
      <c r="A11" s="1"/>
      <c r="B11" s="18" t="s">
        <v>8</v>
      </c>
      <c r="C11" s="21">
        <f>IF(C8=0,"n.a.",C9/C8)</f>
        <v>0.97924432241758641</v>
      </c>
      <c r="D11" s="18"/>
      <c r="E11" s="18"/>
      <c r="F11" s="18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20">
      <c r="A12" s="1"/>
      <c r="B12" s="18" t="s">
        <v>9</v>
      </c>
      <c r="C12" s="22">
        <f>SUM('PSI Plan'!L6:L173)</f>
        <v>285375</v>
      </c>
      <c r="D12" s="18"/>
      <c r="E12" s="18"/>
      <c r="F12" s="18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</row>
    <row r="13" spans="1:20">
      <c r="A13" s="1"/>
      <c r="B13" s="18" t="s">
        <v>10</v>
      </c>
      <c r="C13" s="20">
        <f>SUMIFS('PSI Plan'!I6:I173,'PSI Plan'!C6:C173,52)</f>
        <v>7622</v>
      </c>
      <c r="D13" s="18"/>
      <c r="E13" s="18"/>
      <c r="F13" s="18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</row>
    <row r="14" spans="1:20">
      <c r="A14" s="1"/>
      <c r="B14" s="18"/>
      <c r="C14" s="18"/>
      <c r="D14" s="18"/>
      <c r="E14" s="18"/>
      <c r="F14" s="18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</row>
    <row r="15" spans="1:20">
      <c r="A15" s="1"/>
      <c r="B15" s="18"/>
      <c r="C15" s="18"/>
      <c r="D15" s="18"/>
      <c r="E15" s="18"/>
      <c r="F15" s="18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</row>
    <row r="16" spans="1:20">
      <c r="A16" s="1"/>
      <c r="B16" s="18" t="s">
        <v>11</v>
      </c>
      <c r="C16" s="18"/>
      <c r="D16" s="18"/>
      <c r="E16" s="18"/>
      <c r="F16" s="18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</row>
    <row r="17" spans="1:20" ht="30" customHeight="1">
      <c r="A17" s="1"/>
      <c r="B17" s="19" t="s">
        <v>12</v>
      </c>
      <c r="C17" s="19" t="s">
        <v>13</v>
      </c>
      <c r="D17" s="19" t="s">
        <v>14</v>
      </c>
      <c r="E17" s="19" t="s">
        <v>15</v>
      </c>
      <c r="F17" s="19" t="s">
        <v>16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</row>
    <row r="18" spans="1:20">
      <c r="A18" s="1"/>
      <c r="B18" s="18" t="s">
        <v>17</v>
      </c>
      <c r="C18" s="20">
        <f>SUMIFS('PSI Plan'!$G$6:$G$173,'PSI Plan'!$C$6:$C$173,39)</f>
        <v>0</v>
      </c>
      <c r="D18" s="20">
        <f>SUMIFS('PSI Plan'!$E$6:$E$173,'PSI Plan'!$C$6:$C$173,39)</f>
        <v>2000</v>
      </c>
      <c r="E18" s="20">
        <f>SUMIFS('PSI Plan'!$I$6:$I$173,'PSI Plan'!$C$6:$C$173,39)</f>
        <v>20333</v>
      </c>
      <c r="F18" s="20">
        <f>SUMIFS('PSI Plan'!$J$6:$J$173,'PSI Plan'!$C$6:$C$173,39)</f>
        <v>0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</row>
    <row r="19" spans="1:20">
      <c r="A19" s="1"/>
      <c r="B19" s="18" t="s">
        <v>18</v>
      </c>
      <c r="C19" s="20">
        <f>SUMIFS('PSI Plan'!$G$6:$G$173,'PSI Plan'!$C$6:$C$173,40)</f>
        <v>7026</v>
      </c>
      <c r="D19" s="20">
        <f>SUMIFS('PSI Plan'!$E$6:$E$173,'PSI Plan'!$C$6:$C$173,40)</f>
        <v>5000</v>
      </c>
      <c r="E19" s="20">
        <f>SUMIFS('PSI Plan'!$I$6:$I$173,'PSI Plan'!$C$6:$C$173,40)</f>
        <v>18307</v>
      </c>
      <c r="F19" s="20">
        <f>SUMIFS('PSI Plan'!$J$6:$J$173,'PSI Plan'!$C$6:$C$173,40)</f>
        <v>0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</row>
    <row r="20" spans="1:20">
      <c r="A20" s="1"/>
      <c r="B20" s="18" t="s">
        <v>19</v>
      </c>
      <c r="C20" s="20">
        <f>SUMIFS('PSI Plan'!$G$6:$G$173,'PSI Plan'!$C$6:$C$173,41)</f>
        <v>9848</v>
      </c>
      <c r="D20" s="20">
        <f>SUMIFS('PSI Plan'!$E$6:$E$173,'PSI Plan'!$C$6:$C$173,41)</f>
        <v>5000</v>
      </c>
      <c r="E20" s="20">
        <f>SUMIFS('PSI Plan'!$I$6:$I$173,'PSI Plan'!$C$6:$C$173,41)</f>
        <v>14254</v>
      </c>
      <c r="F20" s="20">
        <f>SUMIFS('PSI Plan'!$J$6:$J$173,'PSI Plan'!$C$6:$C$173,41)</f>
        <v>795</v>
      </c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</row>
    <row r="21" spans="1:20">
      <c r="A21" s="6"/>
      <c r="B21" s="23" t="s">
        <v>20</v>
      </c>
      <c r="C21" s="24">
        <f>SUMIFS('PSI Plan'!$G$6:$G$173,'PSI Plan'!$C$6:$C$173,42)</f>
        <v>9607</v>
      </c>
      <c r="D21" s="24">
        <f>SUMIFS('PSI Plan'!$E$6:$E$173,'PSI Plan'!$C$6:$C$173,42)</f>
        <v>7000</v>
      </c>
      <c r="E21" s="24">
        <f>SUMIFS('PSI Plan'!$I$6:$I$173,'PSI Plan'!$C$6:$C$173,42)</f>
        <v>13135</v>
      </c>
      <c r="F21" s="24">
        <f>SUMIFS('PSI Plan'!$J$6:$J$173,'PSI Plan'!$C$6:$C$173,42)</f>
        <v>1488</v>
      </c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</row>
    <row r="22" spans="1:20">
      <c r="A22" s="6"/>
      <c r="B22" s="23" t="s">
        <v>21</v>
      </c>
      <c r="C22" s="24">
        <f>SUMIFS('PSI Plan'!$G$6:$G$173,'PSI Plan'!$C$6:$C$173,43)</f>
        <v>6952</v>
      </c>
      <c r="D22" s="24">
        <f>SUMIFS('PSI Plan'!$E$6:$E$173,'PSI Plan'!$C$6:$C$173,43)</f>
        <v>7000</v>
      </c>
      <c r="E22" s="24">
        <f>SUMIFS('PSI Plan'!$I$6:$I$173,'PSI Plan'!$C$6:$C$173,43)</f>
        <v>13183</v>
      </c>
      <c r="F22" s="24">
        <f>SUMIFS('PSI Plan'!$J$6:$J$173,'PSI Plan'!$C$6:$C$173,43)</f>
        <v>0</v>
      </c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</row>
    <row r="23" spans="1:20">
      <c r="A23" s="6"/>
      <c r="B23" s="23" t="s">
        <v>22</v>
      </c>
      <c r="C23" s="24">
        <f>SUMIFS('PSI Plan'!$G$6:$G$173,'PSI Plan'!$C$6:$C$173,44)</f>
        <v>6910</v>
      </c>
      <c r="D23" s="24">
        <f>SUMIFS('PSI Plan'!$E$6:$E$173,'PSI Plan'!$C$6:$C$173,44)</f>
        <v>12000</v>
      </c>
      <c r="E23" s="24">
        <f>SUMIFS('PSI Plan'!$I$6:$I$173,'PSI Plan'!$C$6:$C$173,44)</f>
        <v>18273</v>
      </c>
      <c r="F23" s="24">
        <f>SUMIFS('PSI Plan'!$J$6:$J$173,'PSI Plan'!$C$6:$C$173,44)</f>
        <v>0</v>
      </c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</row>
    <row r="24" spans="1:20">
      <c r="A24" s="6"/>
      <c r="B24" s="23" t="s">
        <v>23</v>
      </c>
      <c r="C24" s="24">
        <f>SUMIFS('PSI Plan'!$G$6:$G$173,'PSI Plan'!$C$6:$C$173,45)</f>
        <v>8228</v>
      </c>
      <c r="D24" s="24">
        <f>SUMIFS('PSI Plan'!$E$6:$E$173,'PSI Plan'!$C$6:$C$173,45)</f>
        <v>10000</v>
      </c>
      <c r="E24" s="24">
        <f>SUMIFS('PSI Plan'!$I$6:$I$173,'PSI Plan'!$C$6:$C$173,45)</f>
        <v>20045</v>
      </c>
      <c r="F24" s="24">
        <f>SUMIFS('PSI Plan'!$J$6:$J$173,'PSI Plan'!$C$6:$C$173,45)</f>
        <v>0</v>
      </c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</row>
    <row r="25" spans="1:20">
      <c r="A25" s="6"/>
      <c r="B25" s="23" t="s">
        <v>24</v>
      </c>
      <c r="C25" s="24">
        <f>SUMIFS('PSI Plan'!$G$6:$G$173,'PSI Plan'!$C$6:$C$173,46)</f>
        <v>11302</v>
      </c>
      <c r="D25" s="24">
        <f>SUMIFS('PSI Plan'!$E$6:$E$173,'PSI Plan'!$C$6:$C$173,46)</f>
        <v>7000</v>
      </c>
      <c r="E25" s="24">
        <f>SUMIFS('PSI Plan'!$I$6:$I$173,'PSI Plan'!$C$6:$C$173,46)</f>
        <v>15743</v>
      </c>
      <c r="F25" s="24">
        <f>SUMIFS('PSI Plan'!$J$6:$J$173,'PSI Plan'!$C$6:$C$173,46)</f>
        <v>0</v>
      </c>
      <c r="G25" s="6"/>
      <c r="H25" s="23" t="s">
        <v>25</v>
      </c>
      <c r="I25" s="23"/>
      <c r="J25" s="23"/>
      <c r="K25" s="23"/>
      <c r="L25" s="6"/>
      <c r="M25" s="6"/>
      <c r="N25" s="6"/>
      <c r="O25" s="6"/>
      <c r="P25" s="6"/>
      <c r="Q25" s="6"/>
      <c r="R25" s="6"/>
      <c r="S25" s="6"/>
      <c r="T25" s="6"/>
    </row>
    <row r="26" spans="1:20">
      <c r="A26" s="6"/>
      <c r="B26" s="23" t="s">
        <v>26</v>
      </c>
      <c r="C26" s="24">
        <f>SUMIFS('PSI Plan'!$G$6:$G$173,'PSI Plan'!$C$6:$C$173,47)</f>
        <v>7086</v>
      </c>
      <c r="D26" s="24">
        <f>SUMIFS('PSI Plan'!$E$6:$E$173,'PSI Plan'!$C$6:$C$173,47)</f>
        <v>10000</v>
      </c>
      <c r="E26" s="24">
        <f>SUMIFS('PSI Plan'!$I$6:$I$173,'PSI Plan'!$C$6:$C$173,47)</f>
        <v>18657</v>
      </c>
      <c r="F26" s="24">
        <f>SUMIFS('PSI Plan'!$J$6:$J$173,'PSI Plan'!$C$6:$C$173,47)</f>
        <v>0</v>
      </c>
      <c r="G26" s="6"/>
      <c r="H26" s="23"/>
      <c r="I26" s="23"/>
      <c r="J26" s="23"/>
      <c r="K26" s="23"/>
      <c r="L26" s="6"/>
      <c r="M26" s="6"/>
      <c r="N26" s="6"/>
      <c r="O26" s="6"/>
      <c r="P26" s="6"/>
      <c r="Q26" s="6"/>
      <c r="R26" s="6"/>
      <c r="S26" s="6"/>
      <c r="T26" s="6"/>
    </row>
    <row r="27" spans="1:20">
      <c r="A27" s="6"/>
      <c r="B27" s="23" t="s">
        <v>27</v>
      </c>
      <c r="C27" s="24">
        <f>SUMIFS('PSI Plan'!$G$6:$G$173,'PSI Plan'!$C$6:$C$173,48)</f>
        <v>10413</v>
      </c>
      <c r="D27" s="24">
        <f>SUMIFS('PSI Plan'!$E$6:$E$173,'PSI Plan'!$C$6:$C$173,48)</f>
        <v>7000</v>
      </c>
      <c r="E27" s="24">
        <f>SUMIFS('PSI Plan'!$I$6:$I$173,'PSI Plan'!$C$6:$C$173,48)</f>
        <v>15244</v>
      </c>
      <c r="F27" s="24">
        <f>SUMIFS('PSI Plan'!$J$6:$J$173,'PSI Plan'!$C$6:$C$173,48)</f>
        <v>0</v>
      </c>
      <c r="G27" s="6"/>
      <c r="H27" s="23" t="s">
        <v>28</v>
      </c>
      <c r="I27" s="23"/>
      <c r="J27" s="23"/>
      <c r="K27" s="23"/>
      <c r="L27" s="6"/>
      <c r="M27" s="6"/>
      <c r="N27" s="6"/>
      <c r="O27" s="6"/>
      <c r="P27" s="6"/>
      <c r="Q27" s="6"/>
      <c r="R27" s="6"/>
      <c r="S27" s="6"/>
      <c r="T27" s="6"/>
    </row>
    <row r="28" spans="1:20">
      <c r="A28" s="6"/>
      <c r="B28" s="23" t="s">
        <v>29</v>
      </c>
      <c r="C28" s="24">
        <f>SUMIFS('PSI Plan'!$G$6:$G$173,'PSI Plan'!$C$6:$C$173,49)</f>
        <v>7737</v>
      </c>
      <c r="D28" s="24">
        <f>SUMIFS('PSI Plan'!$E$6:$E$173,'PSI Plan'!$C$6:$C$173,49)</f>
        <v>8000</v>
      </c>
      <c r="E28" s="24">
        <f>SUMIFS('PSI Plan'!$I$6:$I$173,'PSI Plan'!$C$6:$C$173,49)</f>
        <v>15507</v>
      </c>
      <c r="F28" s="24">
        <f>SUMIFS('PSI Plan'!$J$6:$J$173,'PSI Plan'!$C$6:$C$173,49)</f>
        <v>0</v>
      </c>
      <c r="G28" s="6"/>
      <c r="H28" s="23" t="s">
        <v>30</v>
      </c>
      <c r="I28" s="23"/>
      <c r="J28" s="23"/>
      <c r="K28" s="23"/>
      <c r="L28" s="6"/>
      <c r="M28" s="6"/>
      <c r="N28" s="6"/>
      <c r="O28" s="6"/>
      <c r="P28" s="6"/>
      <c r="Q28" s="6"/>
      <c r="R28" s="6"/>
      <c r="S28" s="6"/>
      <c r="T28" s="6"/>
    </row>
    <row r="29" spans="1:20">
      <c r="A29" s="6"/>
      <c r="B29" s="23" t="s">
        <v>31</v>
      </c>
      <c r="C29" s="24">
        <f>SUMIFS('PSI Plan'!$G$6:$G$173,'PSI Plan'!$C$6:$C$173,50)</f>
        <v>8685</v>
      </c>
      <c r="D29" s="24">
        <f>SUMIFS('PSI Plan'!$E$6:$E$173,'PSI Plan'!$C$6:$C$173,50)</f>
        <v>9000</v>
      </c>
      <c r="E29" s="24">
        <f>SUMIFS('PSI Plan'!$I$6:$I$173,'PSI Plan'!$C$6:$C$173,50)</f>
        <v>15822</v>
      </c>
      <c r="F29" s="24">
        <f>SUMIFS('PSI Plan'!$J$6:$J$173,'PSI Plan'!$C$6:$C$173,50)</f>
        <v>0</v>
      </c>
      <c r="G29" s="6"/>
      <c r="H29" s="23" t="s">
        <v>32</v>
      </c>
      <c r="I29" s="23"/>
      <c r="J29" s="23"/>
      <c r="K29" s="23"/>
      <c r="L29" s="6"/>
      <c r="M29" s="6"/>
      <c r="N29" s="6"/>
      <c r="O29" s="6"/>
      <c r="P29" s="6"/>
      <c r="Q29" s="6"/>
      <c r="R29" s="6"/>
      <c r="S29" s="6"/>
      <c r="T29" s="6"/>
    </row>
    <row r="30" spans="1:20">
      <c r="A30" s="6"/>
      <c r="B30" s="23" t="s">
        <v>33</v>
      </c>
      <c r="C30" s="24">
        <f>SUMIFS('PSI Plan'!$G$6:$G$173,'PSI Plan'!$C$6:$C$173,51)</f>
        <v>8885</v>
      </c>
      <c r="D30" s="24">
        <f>SUMIFS('PSI Plan'!$E$6:$E$173,'PSI Plan'!$C$6:$C$173,51)</f>
        <v>8000</v>
      </c>
      <c r="E30" s="24">
        <f>SUMIFS('PSI Plan'!$I$6:$I$173,'PSI Plan'!$C$6:$C$173,51)</f>
        <v>14937</v>
      </c>
      <c r="F30" s="24">
        <f>SUMIFS('PSI Plan'!$J$6:$J$173,'PSI Plan'!$C$6:$C$173,51)</f>
        <v>0</v>
      </c>
      <c r="G30" s="6"/>
      <c r="H30" s="23"/>
      <c r="I30" s="23"/>
      <c r="J30" s="23"/>
      <c r="K30" s="23"/>
      <c r="L30" s="6"/>
      <c r="M30" s="6"/>
      <c r="N30" s="6"/>
      <c r="O30" s="6"/>
      <c r="P30" s="6"/>
      <c r="Q30" s="6"/>
      <c r="R30" s="6"/>
      <c r="S30" s="6"/>
      <c r="T30" s="6"/>
    </row>
    <row r="31" spans="1:20">
      <c r="A31" s="6"/>
      <c r="B31" s="23" t="s">
        <v>34</v>
      </c>
      <c r="C31" s="24">
        <f>SUMIFS('PSI Plan'!$G$6:$G$173,'PSI Plan'!$C$6:$C$173,52)</f>
        <v>7315</v>
      </c>
      <c r="D31" s="24">
        <f>SUMIFS('PSI Plan'!$E$6:$E$173,'PSI Plan'!$C$6:$C$173,52)</f>
        <v>0</v>
      </c>
      <c r="E31" s="24">
        <f>SUMIFS('PSI Plan'!$I$6:$I$173,'PSI Plan'!$C$6:$C$173,52)</f>
        <v>7622</v>
      </c>
      <c r="F31" s="24">
        <f>SUMIFS('PSI Plan'!$J$6:$J$173,'PSI Plan'!$C$6:$C$173,52)</f>
        <v>0</v>
      </c>
      <c r="G31" s="6"/>
      <c r="H31" s="23" t="s">
        <v>35</v>
      </c>
      <c r="I31" s="23"/>
      <c r="J31" s="23"/>
      <c r="K31" s="23"/>
      <c r="L31" s="6"/>
      <c r="M31" s="6"/>
      <c r="N31" s="6"/>
      <c r="O31" s="6"/>
      <c r="P31" s="6"/>
      <c r="Q31" s="6"/>
      <c r="R31" s="6"/>
      <c r="S31" s="6"/>
      <c r="T31" s="6"/>
    </row>
    <row r="32" spans="1:20">
      <c r="H32" s="25"/>
      <c r="I32" s="25"/>
      <c r="J32" s="25"/>
      <c r="K32" s="25"/>
    </row>
  </sheetData>
  <conditionalFormatting sqref="C10">
    <cfRule type="cellIs" dxfId="4" priority="1" operator="greaterThan">
      <formula>0</formula>
    </cfRule>
  </conditionalFormatting>
  <conditionalFormatting sqref="F18:F31">
    <cfRule type="cellIs" dxfId="3" priority="2" operator="greaterThan">
      <formula>0</formula>
    </cfRule>
  </conditionalFormatting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17D35"/>
  </sheetPr>
  <dimension ref="A1:T20"/>
  <sheetViews>
    <sheetView showGridLines="0" workbookViewId="0">
      <selection activeCell="B6" sqref="B6"/>
    </sheetView>
  </sheetViews>
  <sheetFormatPr defaultRowHeight="13.8"/>
  <cols>
    <col min="1" max="1" width="24" customWidth="1"/>
    <col min="2" max="2" width="45" customWidth="1"/>
    <col min="3" max="3" width="48" customWidth="1"/>
    <col min="4" max="20" width="15" customWidth="1"/>
  </cols>
  <sheetData>
    <row r="1" spans="1:20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0" ht="21">
      <c r="A2" s="1"/>
      <c r="B2" s="2" t="s">
        <v>36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spans="1:20">
      <c r="A3" s="1"/>
      <c r="B3" s="1" t="s">
        <v>37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</row>
    <row r="4" spans="1:20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spans="1:20">
      <c r="A5" s="1" t="s">
        <v>38</v>
      </c>
      <c r="B5" s="8">
        <v>2</v>
      </c>
      <c r="C5" s="1" t="s">
        <v>39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</row>
    <row r="6" spans="1:20">
      <c r="A6" s="1" t="s">
        <v>40</v>
      </c>
      <c r="B6" s="9">
        <v>1</v>
      </c>
      <c r="C6" s="1" t="s">
        <v>41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</row>
    <row r="7" spans="1:20">
      <c r="A7" s="1" t="s">
        <v>42</v>
      </c>
      <c r="B7" s="1" t="str">
        <f>CHOOSE(B5,"Original","Delayed")</f>
        <v>Delayed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</row>
    <row r="8" spans="1:20">
      <c r="A8" s="1" t="s">
        <v>43</v>
      </c>
      <c r="B8" s="1" t="s">
        <v>44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</row>
    <row r="9" spans="1:20">
      <c r="A9" s="1" t="s">
        <v>45</v>
      </c>
      <c r="B9" s="1" t="s">
        <v>46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</row>
    <row r="10" spans="1:20">
      <c r="A10" s="1" t="s">
        <v>47</v>
      </c>
      <c r="B10" s="1" t="s">
        <v>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</row>
    <row r="11" spans="1:20">
      <c r="A11" s="1" t="s">
        <v>49</v>
      </c>
      <c r="B11" s="1" t="s">
        <v>50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20">
      <c r="A12" s="1" t="s">
        <v>51</v>
      </c>
      <c r="B12" s="1" t="s">
        <v>52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</row>
    <row r="13" spans="1:20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</row>
    <row r="14" spans="1:20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</row>
    <row r="15" spans="1:20">
      <c r="A15" s="1" t="s">
        <v>53</v>
      </c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</row>
    <row r="16" spans="1:20">
      <c r="A16" s="1" t="s">
        <v>54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</row>
    <row r="17" spans="1:20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</row>
    <row r="18" spans="1:20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</row>
    <row r="19" spans="1:20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</row>
    <row r="20" spans="1: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</row>
  </sheetData>
  <dataValidations count="2">
    <dataValidation type="list" sqref="B5" xr:uid="{00000000-0002-0000-0100-000000000000}">
      <formula1>"1,2"</formula1>
    </dataValidation>
    <dataValidation type="decimal" sqref="B6" xr:uid="{00000000-0002-0000-0100-000001000000}">
      <formula1>0</formula1>
      <formula2>3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173"/>
  <sheetViews>
    <sheetView topLeftCell="C1" workbookViewId="0">
      <pane ySplit="5" topLeftCell="A6" activePane="bottomLeft" state="frozen"/>
      <selection pane="bottomLeft" activeCell="K184" sqref="K184"/>
    </sheetView>
  </sheetViews>
  <sheetFormatPr defaultRowHeight="13.8"/>
  <cols>
    <col min="1" max="1" width="3" customWidth="1"/>
    <col min="2" max="20" width="15" customWidth="1"/>
  </cols>
  <sheetData>
    <row r="1" spans="1:20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0" ht="21">
      <c r="A2" s="1"/>
      <c r="B2" s="2" t="s">
        <v>55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spans="1:20">
      <c r="A3" s="1"/>
      <c r="B3" s="1" t="s">
        <v>56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</row>
    <row r="4" spans="1:20">
      <c r="A4" s="1"/>
      <c r="B4" s="1" t="s">
        <v>2</v>
      </c>
      <c r="C4" s="1"/>
      <c r="D4" s="1" t="str">
        <f>Controls!B7</f>
        <v>Delayed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spans="1:20" ht="30" customHeight="1">
      <c r="A5" s="1"/>
      <c r="B5" s="17" t="s">
        <v>57</v>
      </c>
      <c r="C5" s="17" t="s">
        <v>12</v>
      </c>
      <c r="D5" s="17" t="s">
        <v>58</v>
      </c>
      <c r="E5" s="17" t="s">
        <v>14</v>
      </c>
      <c r="F5" s="17" t="s">
        <v>59</v>
      </c>
      <c r="G5" s="17" t="s">
        <v>13</v>
      </c>
      <c r="H5" s="17" t="s">
        <v>60</v>
      </c>
      <c r="I5" s="17" t="s">
        <v>61</v>
      </c>
      <c r="J5" s="17" t="s">
        <v>16</v>
      </c>
      <c r="K5" s="17" t="s">
        <v>62</v>
      </c>
      <c r="L5" s="17" t="s">
        <v>63</v>
      </c>
      <c r="M5" s="17" t="s">
        <v>64</v>
      </c>
      <c r="N5" s="17" t="s">
        <v>65</v>
      </c>
      <c r="O5" s="1"/>
      <c r="P5" s="1"/>
      <c r="Q5" s="1"/>
      <c r="R5" s="1"/>
      <c r="S5" s="1"/>
      <c r="T5" s="1"/>
    </row>
    <row r="6" spans="1:20">
      <c r="A6" s="1"/>
      <c r="B6" s="1" t="s">
        <v>66</v>
      </c>
      <c r="C6" s="1">
        <v>39</v>
      </c>
      <c r="D6" s="10">
        <f>SUMIFS(Products!$D$2:$D$13,Products!$B$2:$B$13,B6)</f>
        <v>4063</v>
      </c>
      <c r="E6" s="10">
        <f>SUMIFS(Production!$D$2:$D$337,Production!$A$2:$A$337,B6,Production!$B$2:$B$337,C6,Production!$C$2:$C$337,Controls!$B$7)</f>
        <v>0</v>
      </c>
      <c r="F6" s="10">
        <f t="shared" ref="F6:F37" si="0">D6+E6</f>
        <v>4063</v>
      </c>
      <c r="G6" s="10">
        <f>SUMIFS(Orders!$F$2:$F$2881,Orders!$B$2:$B$2881,B6,Orders!$I$2:$I$2881,C6)*Controls!$B$6</f>
        <v>0</v>
      </c>
      <c r="H6" s="10">
        <f t="shared" ref="H6:H37" si="1">MIN(F6,G6)</f>
        <v>0</v>
      </c>
      <c r="I6" s="10">
        <f t="shared" ref="I6:I37" si="2">F6-H6</f>
        <v>4063</v>
      </c>
      <c r="J6" s="10">
        <f t="shared" ref="J6:J37" si="3">G6-H6</f>
        <v>0</v>
      </c>
      <c r="K6" s="4" t="str">
        <f t="shared" ref="K6:K37" si="4">IF(G6=0,"n.a.",H6/G6)</f>
        <v>n.a.</v>
      </c>
      <c r="L6" s="5">
        <f>IF(G6=0,0,J6/G6*SUMIFS(Orders!$G$2:$G$2881,Orders!$B$2:$B$2881,B6,Orders!$I$2:$I$2881,C6))*Controls!$B$6</f>
        <v>0</v>
      </c>
      <c r="M6" s="1" t="str">
        <f t="shared" ref="M6:M37" si="5">B6&amp;"|"&amp;C6</f>
        <v>FP2020|39</v>
      </c>
      <c r="N6" s="4">
        <f t="shared" ref="N6:N37" si="6">IF(G6=0,0,J6/G6)</f>
        <v>0</v>
      </c>
      <c r="O6" s="1"/>
      <c r="P6" s="1"/>
      <c r="Q6" s="1"/>
      <c r="R6" s="1"/>
      <c r="S6" s="1"/>
      <c r="T6" s="1"/>
    </row>
    <row r="7" spans="1:20">
      <c r="A7" s="1"/>
      <c r="B7" s="1" t="s">
        <v>66</v>
      </c>
      <c r="C7" s="1">
        <v>40</v>
      </c>
      <c r="D7" s="10">
        <f t="shared" ref="D7:D19" si="7">I6</f>
        <v>4063</v>
      </c>
      <c r="E7" s="10">
        <f>SUMIFS(Production!$D$2:$D$337,Production!$A$2:$A$337,B7,Production!$B$2:$B$337,C7,Production!$C$2:$C$337,Controls!$B$7)</f>
        <v>0</v>
      </c>
      <c r="F7" s="10">
        <f t="shared" si="0"/>
        <v>4063</v>
      </c>
      <c r="G7" s="10">
        <f>SUMIFS(Orders!$F$2:$F$2881,Orders!$B$2:$B$2881,B7,Orders!$I$2:$I$2881,C7)*Controls!$B$6</f>
        <v>1386</v>
      </c>
      <c r="H7" s="10">
        <f t="shared" si="1"/>
        <v>1386</v>
      </c>
      <c r="I7" s="10">
        <f t="shared" si="2"/>
        <v>2677</v>
      </c>
      <c r="J7" s="10">
        <f t="shared" si="3"/>
        <v>0</v>
      </c>
      <c r="K7" s="4">
        <f t="shared" si="4"/>
        <v>1</v>
      </c>
      <c r="L7" s="5">
        <f>IF(G7=0,0,J7/G7*SUMIFS(Orders!$G$2:$G$2881,Orders!$B$2:$B$2881,B7,Orders!$I$2:$I$2881,C7))*Controls!$B$6</f>
        <v>0</v>
      </c>
      <c r="M7" s="1" t="str">
        <f t="shared" si="5"/>
        <v>FP2020|40</v>
      </c>
      <c r="N7" s="4">
        <f t="shared" si="6"/>
        <v>0</v>
      </c>
      <c r="O7" s="1"/>
      <c r="P7" s="1"/>
      <c r="Q7" s="1"/>
      <c r="R7" s="1"/>
      <c r="S7" s="1"/>
      <c r="T7" s="1"/>
    </row>
    <row r="8" spans="1:20">
      <c r="A8" s="1"/>
      <c r="B8" s="1" t="s">
        <v>66</v>
      </c>
      <c r="C8" s="1">
        <v>41</v>
      </c>
      <c r="D8" s="10">
        <f t="shared" si="7"/>
        <v>2677</v>
      </c>
      <c r="E8" s="10">
        <f>SUMIFS(Production!$D$2:$D$337,Production!$A$2:$A$337,B8,Production!$B$2:$B$337,C8,Production!$C$2:$C$337,Controls!$B$7)</f>
        <v>0</v>
      </c>
      <c r="F8" s="10">
        <f t="shared" si="0"/>
        <v>2677</v>
      </c>
      <c r="G8" s="10">
        <f>SUMIFS(Orders!$F$2:$F$2881,Orders!$B$2:$B$2881,B8,Orders!$I$2:$I$2881,C8)*Controls!$B$6</f>
        <v>3472</v>
      </c>
      <c r="H8" s="10">
        <f t="shared" si="1"/>
        <v>2677</v>
      </c>
      <c r="I8" s="10">
        <f t="shared" si="2"/>
        <v>0</v>
      </c>
      <c r="J8" s="10">
        <f t="shared" si="3"/>
        <v>795</v>
      </c>
      <c r="K8" s="4">
        <f t="shared" si="4"/>
        <v>0.77102534562211977</v>
      </c>
      <c r="L8" s="5">
        <f>IF(G8=0,0,J8/G8*SUMIFS(Orders!$G$2:$G$2881,Orders!$B$2:$B$2881,B8,Orders!$I$2:$I$2881,C8))*Controls!$B$6</f>
        <v>99375</v>
      </c>
      <c r="M8" s="1" t="str">
        <f t="shared" si="5"/>
        <v>FP2020|41</v>
      </c>
      <c r="N8" s="4">
        <f t="shared" si="6"/>
        <v>0.22897465437788017</v>
      </c>
      <c r="O8" s="1"/>
      <c r="P8" s="1"/>
      <c r="Q8" s="1"/>
      <c r="R8" s="1"/>
      <c r="S8" s="1"/>
      <c r="T8" s="1"/>
    </row>
    <row r="9" spans="1:20">
      <c r="A9" s="1"/>
      <c r="B9" s="1" t="s">
        <v>66</v>
      </c>
      <c r="C9" s="1">
        <v>42</v>
      </c>
      <c r="D9" s="10">
        <f t="shared" si="7"/>
        <v>0</v>
      </c>
      <c r="E9" s="10">
        <f>SUMIFS(Production!$D$2:$D$337,Production!$A$2:$A$337,B9,Production!$B$2:$B$337,C9,Production!$C$2:$C$337,Controls!$B$7)</f>
        <v>1000</v>
      </c>
      <c r="F9" s="10">
        <f t="shared" si="0"/>
        <v>1000</v>
      </c>
      <c r="G9" s="10">
        <f>SUMIFS(Orders!$F$2:$F$2881,Orders!$B$2:$B$2881,B9,Orders!$I$2:$I$2881,C9)*Controls!$B$6</f>
        <v>2488</v>
      </c>
      <c r="H9" s="10">
        <f t="shared" si="1"/>
        <v>1000</v>
      </c>
      <c r="I9" s="10">
        <f t="shared" si="2"/>
        <v>0</v>
      </c>
      <c r="J9" s="10">
        <f t="shared" si="3"/>
        <v>1488</v>
      </c>
      <c r="K9" s="4">
        <f t="shared" si="4"/>
        <v>0.40192926045016075</v>
      </c>
      <c r="L9" s="5">
        <f>IF(G9=0,0,J9/G9*SUMIFS(Orders!$G$2:$G$2881,Orders!$B$2:$B$2881,B9,Orders!$I$2:$I$2881,C9))*Controls!$B$6</f>
        <v>186000</v>
      </c>
      <c r="M9" s="1" t="str">
        <f t="shared" si="5"/>
        <v>FP2020|42</v>
      </c>
      <c r="N9" s="4">
        <f t="shared" si="6"/>
        <v>0.59807073954983925</v>
      </c>
      <c r="O9" s="1"/>
      <c r="P9" s="1"/>
      <c r="Q9" s="1"/>
      <c r="R9" s="1"/>
      <c r="S9" s="1"/>
      <c r="T9" s="1"/>
    </row>
    <row r="10" spans="1:20">
      <c r="A10" s="1"/>
      <c r="B10" s="1" t="s">
        <v>66</v>
      </c>
      <c r="C10" s="1">
        <v>43</v>
      </c>
      <c r="D10" s="10">
        <f t="shared" si="7"/>
        <v>0</v>
      </c>
      <c r="E10" s="10">
        <f>SUMIFS(Production!$D$2:$D$337,Production!$A$2:$A$337,B10,Production!$B$2:$B$337,C10,Production!$C$2:$C$337,Controls!$B$7)</f>
        <v>3000</v>
      </c>
      <c r="F10" s="10">
        <f t="shared" si="0"/>
        <v>3000</v>
      </c>
      <c r="G10" s="10">
        <f>SUMIFS(Orders!$F$2:$F$2881,Orders!$B$2:$B$2881,B10,Orders!$I$2:$I$2881,C10)*Controls!$B$6</f>
        <v>2041</v>
      </c>
      <c r="H10" s="10">
        <f t="shared" si="1"/>
        <v>2041</v>
      </c>
      <c r="I10" s="10">
        <f t="shared" si="2"/>
        <v>959</v>
      </c>
      <c r="J10" s="10">
        <f t="shared" si="3"/>
        <v>0</v>
      </c>
      <c r="K10" s="4">
        <f t="shared" si="4"/>
        <v>1</v>
      </c>
      <c r="L10" s="5">
        <f>IF(G10=0,0,J10/G10*SUMIFS(Orders!$G$2:$G$2881,Orders!$B$2:$B$2881,B10,Orders!$I$2:$I$2881,C10))*Controls!$B$6</f>
        <v>0</v>
      </c>
      <c r="M10" s="1" t="str">
        <f t="shared" si="5"/>
        <v>FP2020|43</v>
      </c>
      <c r="N10" s="4">
        <f t="shared" si="6"/>
        <v>0</v>
      </c>
      <c r="O10" s="1"/>
      <c r="P10" s="1"/>
      <c r="Q10" s="1"/>
      <c r="R10" s="1"/>
      <c r="S10" s="1"/>
      <c r="T10" s="1"/>
    </row>
    <row r="11" spans="1:20">
      <c r="A11" s="1"/>
      <c r="B11" s="1" t="s">
        <v>66</v>
      </c>
      <c r="C11" s="1">
        <v>44</v>
      </c>
      <c r="D11" s="10">
        <f t="shared" si="7"/>
        <v>959</v>
      </c>
      <c r="E11" s="10">
        <f>SUMIFS(Production!$D$2:$D$337,Production!$A$2:$A$337,B11,Production!$B$2:$B$337,C11,Production!$C$2:$C$337,Controls!$B$7)</f>
        <v>5000</v>
      </c>
      <c r="F11" s="10">
        <f t="shared" si="0"/>
        <v>5959</v>
      </c>
      <c r="G11" s="10">
        <f>SUMIFS(Orders!$F$2:$F$2881,Orders!$B$2:$B$2881,B11,Orders!$I$2:$I$2881,C11)*Controls!$B$6</f>
        <v>1832</v>
      </c>
      <c r="H11" s="10">
        <f t="shared" si="1"/>
        <v>1832</v>
      </c>
      <c r="I11" s="10">
        <f t="shared" si="2"/>
        <v>4127</v>
      </c>
      <c r="J11" s="10">
        <f t="shared" si="3"/>
        <v>0</v>
      </c>
      <c r="K11" s="4">
        <f t="shared" si="4"/>
        <v>1</v>
      </c>
      <c r="L11" s="5">
        <f>IF(G11=0,0,J11/G11*SUMIFS(Orders!$G$2:$G$2881,Orders!$B$2:$B$2881,B11,Orders!$I$2:$I$2881,C11))*Controls!$B$6</f>
        <v>0</v>
      </c>
      <c r="M11" s="1" t="str">
        <f t="shared" si="5"/>
        <v>FP2020|44</v>
      </c>
      <c r="N11" s="4">
        <f t="shared" si="6"/>
        <v>0</v>
      </c>
      <c r="O11" s="1"/>
      <c r="P11" s="1"/>
      <c r="Q11" s="1"/>
      <c r="R11" s="1"/>
      <c r="S11" s="1"/>
      <c r="T11" s="1"/>
    </row>
    <row r="12" spans="1:20">
      <c r="A12" s="1"/>
      <c r="B12" s="1" t="s">
        <v>66</v>
      </c>
      <c r="C12" s="1">
        <v>45</v>
      </c>
      <c r="D12" s="10">
        <f t="shared" si="7"/>
        <v>4127</v>
      </c>
      <c r="E12" s="10">
        <f>SUMIFS(Production!$D$2:$D$337,Production!$A$2:$A$337,B12,Production!$B$2:$B$337,C12,Production!$C$2:$C$337,Controls!$B$7)</f>
        <v>2000</v>
      </c>
      <c r="F12" s="10">
        <f t="shared" si="0"/>
        <v>6127</v>
      </c>
      <c r="G12" s="10">
        <f>SUMIFS(Orders!$F$2:$F$2881,Orders!$B$2:$B$2881,B12,Orders!$I$2:$I$2881,C12)*Controls!$B$6</f>
        <v>1591</v>
      </c>
      <c r="H12" s="10">
        <f t="shared" si="1"/>
        <v>1591</v>
      </c>
      <c r="I12" s="10">
        <f t="shared" si="2"/>
        <v>4536</v>
      </c>
      <c r="J12" s="10">
        <f t="shared" si="3"/>
        <v>0</v>
      </c>
      <c r="K12" s="4">
        <f t="shared" si="4"/>
        <v>1</v>
      </c>
      <c r="L12" s="5">
        <f>IF(G12=0,0,J12/G12*SUMIFS(Orders!$G$2:$G$2881,Orders!$B$2:$B$2881,B12,Orders!$I$2:$I$2881,C12))*Controls!$B$6</f>
        <v>0</v>
      </c>
      <c r="M12" s="1" t="str">
        <f t="shared" si="5"/>
        <v>FP2020|45</v>
      </c>
      <c r="N12" s="4">
        <f t="shared" si="6"/>
        <v>0</v>
      </c>
      <c r="O12" s="1"/>
      <c r="P12" s="1"/>
      <c r="Q12" s="1"/>
      <c r="R12" s="1"/>
      <c r="S12" s="1"/>
      <c r="T12" s="1"/>
    </row>
    <row r="13" spans="1:20">
      <c r="A13" s="1"/>
      <c r="B13" s="1" t="s">
        <v>66</v>
      </c>
      <c r="C13" s="1">
        <v>46</v>
      </c>
      <c r="D13" s="10">
        <f t="shared" si="7"/>
        <v>4536</v>
      </c>
      <c r="E13" s="10">
        <f>SUMIFS(Production!$D$2:$D$337,Production!$A$2:$A$337,B13,Production!$B$2:$B$337,C13,Production!$C$2:$C$337,Controls!$B$7)</f>
        <v>1000</v>
      </c>
      <c r="F13" s="10">
        <f t="shared" si="0"/>
        <v>5536</v>
      </c>
      <c r="G13" s="10">
        <f>SUMIFS(Orders!$F$2:$F$2881,Orders!$B$2:$B$2881,B13,Orders!$I$2:$I$2881,C13)*Controls!$B$6</f>
        <v>2258</v>
      </c>
      <c r="H13" s="10">
        <f t="shared" si="1"/>
        <v>2258</v>
      </c>
      <c r="I13" s="10">
        <f t="shared" si="2"/>
        <v>3278</v>
      </c>
      <c r="J13" s="10">
        <f t="shared" si="3"/>
        <v>0</v>
      </c>
      <c r="K13" s="4">
        <f t="shared" si="4"/>
        <v>1</v>
      </c>
      <c r="L13" s="5">
        <f>IF(G13=0,0,J13/G13*SUMIFS(Orders!$G$2:$G$2881,Orders!$B$2:$B$2881,B13,Orders!$I$2:$I$2881,C13))*Controls!$B$6</f>
        <v>0</v>
      </c>
      <c r="M13" s="1" t="str">
        <f t="shared" si="5"/>
        <v>FP2020|46</v>
      </c>
      <c r="N13" s="4">
        <f t="shared" si="6"/>
        <v>0</v>
      </c>
      <c r="O13" s="1"/>
      <c r="P13" s="1"/>
      <c r="Q13" s="1"/>
      <c r="R13" s="1"/>
      <c r="S13" s="1"/>
      <c r="T13" s="1"/>
    </row>
    <row r="14" spans="1:20">
      <c r="A14" s="1"/>
      <c r="B14" s="1" t="s">
        <v>66</v>
      </c>
      <c r="C14" s="1">
        <v>47</v>
      </c>
      <c r="D14" s="10">
        <f t="shared" si="7"/>
        <v>3278</v>
      </c>
      <c r="E14" s="10">
        <f>SUMIFS(Production!$D$2:$D$337,Production!$A$2:$A$337,B14,Production!$B$2:$B$337,C14,Production!$C$2:$C$337,Controls!$B$7)</f>
        <v>3000</v>
      </c>
      <c r="F14" s="10">
        <f t="shared" si="0"/>
        <v>6278</v>
      </c>
      <c r="G14" s="10">
        <f>SUMIFS(Orders!$F$2:$F$2881,Orders!$B$2:$B$2881,B14,Orders!$I$2:$I$2881,C14)*Controls!$B$6</f>
        <v>1440</v>
      </c>
      <c r="H14" s="10">
        <f t="shared" si="1"/>
        <v>1440</v>
      </c>
      <c r="I14" s="10">
        <f t="shared" si="2"/>
        <v>4838</v>
      </c>
      <c r="J14" s="10">
        <f t="shared" si="3"/>
        <v>0</v>
      </c>
      <c r="K14" s="4">
        <f t="shared" si="4"/>
        <v>1</v>
      </c>
      <c r="L14" s="5">
        <f>IF(G14=0,0,J14/G14*SUMIFS(Orders!$G$2:$G$2881,Orders!$B$2:$B$2881,B14,Orders!$I$2:$I$2881,C14))*Controls!$B$6</f>
        <v>0</v>
      </c>
      <c r="M14" s="1" t="str">
        <f t="shared" si="5"/>
        <v>FP2020|47</v>
      </c>
      <c r="N14" s="4">
        <f t="shared" si="6"/>
        <v>0</v>
      </c>
      <c r="O14" s="1"/>
      <c r="P14" s="1"/>
      <c r="Q14" s="1"/>
      <c r="R14" s="1"/>
      <c r="S14" s="1"/>
      <c r="T14" s="1"/>
    </row>
    <row r="15" spans="1:20">
      <c r="A15" s="1"/>
      <c r="B15" s="1" t="s">
        <v>66</v>
      </c>
      <c r="C15" s="1">
        <v>48</v>
      </c>
      <c r="D15" s="10">
        <f t="shared" si="7"/>
        <v>4838</v>
      </c>
      <c r="E15" s="10">
        <f>SUMIFS(Production!$D$2:$D$337,Production!$A$2:$A$337,B15,Production!$B$2:$B$337,C15,Production!$C$2:$C$337,Controls!$B$7)</f>
        <v>1000</v>
      </c>
      <c r="F15" s="10">
        <f t="shared" si="0"/>
        <v>5838</v>
      </c>
      <c r="G15" s="10">
        <f>SUMIFS(Orders!$F$2:$F$2881,Orders!$B$2:$B$2881,B15,Orders!$I$2:$I$2881,C15)*Controls!$B$6</f>
        <v>1488</v>
      </c>
      <c r="H15" s="10">
        <f t="shared" si="1"/>
        <v>1488</v>
      </c>
      <c r="I15" s="10">
        <f t="shared" si="2"/>
        <v>4350</v>
      </c>
      <c r="J15" s="10">
        <f t="shared" si="3"/>
        <v>0</v>
      </c>
      <c r="K15" s="4">
        <f t="shared" si="4"/>
        <v>1</v>
      </c>
      <c r="L15" s="5">
        <f>IF(G15=0,0,J15/G15*SUMIFS(Orders!$G$2:$G$2881,Orders!$B$2:$B$2881,B15,Orders!$I$2:$I$2881,C15))*Controls!$B$6</f>
        <v>0</v>
      </c>
      <c r="M15" s="1" t="str">
        <f t="shared" si="5"/>
        <v>FP2020|48</v>
      </c>
      <c r="N15" s="4">
        <f t="shared" si="6"/>
        <v>0</v>
      </c>
      <c r="O15" s="1"/>
      <c r="P15" s="1"/>
      <c r="Q15" s="1"/>
      <c r="R15" s="1"/>
      <c r="S15" s="1"/>
      <c r="T15" s="1"/>
    </row>
    <row r="16" spans="1:20">
      <c r="A16" s="1"/>
      <c r="B16" s="1" t="s">
        <v>66</v>
      </c>
      <c r="C16" s="1">
        <v>49</v>
      </c>
      <c r="D16" s="10">
        <f t="shared" si="7"/>
        <v>4350</v>
      </c>
      <c r="E16" s="10">
        <f>SUMIFS(Production!$D$2:$D$337,Production!$A$2:$A$337,B16,Production!$B$2:$B$337,C16,Production!$C$2:$C$337,Controls!$B$7)</f>
        <v>1000</v>
      </c>
      <c r="F16" s="10">
        <f t="shared" si="0"/>
        <v>5350</v>
      </c>
      <c r="G16" s="10">
        <f>SUMIFS(Orders!$F$2:$F$2881,Orders!$B$2:$B$2881,B16,Orders!$I$2:$I$2881,C16)*Controls!$B$6</f>
        <v>1648</v>
      </c>
      <c r="H16" s="10">
        <f t="shared" si="1"/>
        <v>1648</v>
      </c>
      <c r="I16" s="10">
        <f t="shared" si="2"/>
        <v>3702</v>
      </c>
      <c r="J16" s="10">
        <f t="shared" si="3"/>
        <v>0</v>
      </c>
      <c r="K16" s="4">
        <f t="shared" si="4"/>
        <v>1</v>
      </c>
      <c r="L16" s="5">
        <f>IF(G16=0,0,J16/G16*SUMIFS(Orders!$G$2:$G$2881,Orders!$B$2:$B$2881,B16,Orders!$I$2:$I$2881,C16))*Controls!$B$6</f>
        <v>0</v>
      </c>
      <c r="M16" s="1" t="str">
        <f t="shared" si="5"/>
        <v>FP2020|49</v>
      </c>
      <c r="N16" s="4">
        <f t="shared" si="6"/>
        <v>0</v>
      </c>
      <c r="O16" s="1"/>
      <c r="P16" s="1"/>
      <c r="Q16" s="1"/>
      <c r="R16" s="1"/>
      <c r="S16" s="1"/>
      <c r="T16" s="1"/>
    </row>
    <row r="17" spans="1:20">
      <c r="A17" s="1"/>
      <c r="B17" s="1" t="s">
        <v>66</v>
      </c>
      <c r="C17" s="1">
        <v>50</v>
      </c>
      <c r="D17" s="10">
        <f t="shared" si="7"/>
        <v>3702</v>
      </c>
      <c r="E17" s="10">
        <f>SUMIFS(Production!$D$2:$D$337,Production!$A$2:$A$337,B17,Production!$B$2:$B$337,C17,Production!$C$2:$C$337,Controls!$B$7)</f>
        <v>2000</v>
      </c>
      <c r="F17" s="10">
        <f t="shared" si="0"/>
        <v>5702</v>
      </c>
      <c r="G17" s="10">
        <f>SUMIFS(Orders!$F$2:$F$2881,Orders!$B$2:$B$2881,B17,Orders!$I$2:$I$2881,C17)*Controls!$B$6</f>
        <v>1653</v>
      </c>
      <c r="H17" s="10">
        <f t="shared" si="1"/>
        <v>1653</v>
      </c>
      <c r="I17" s="10">
        <f t="shared" si="2"/>
        <v>4049</v>
      </c>
      <c r="J17" s="10">
        <f t="shared" si="3"/>
        <v>0</v>
      </c>
      <c r="K17" s="4">
        <f t="shared" si="4"/>
        <v>1</v>
      </c>
      <c r="L17" s="5">
        <f>IF(G17=0,0,J17/G17*SUMIFS(Orders!$G$2:$G$2881,Orders!$B$2:$B$2881,B17,Orders!$I$2:$I$2881,C17))*Controls!$B$6</f>
        <v>0</v>
      </c>
      <c r="M17" s="1" t="str">
        <f t="shared" si="5"/>
        <v>FP2020|50</v>
      </c>
      <c r="N17" s="4">
        <f t="shared" si="6"/>
        <v>0</v>
      </c>
      <c r="O17" s="1"/>
      <c r="P17" s="1"/>
      <c r="Q17" s="1"/>
      <c r="R17" s="1"/>
      <c r="S17" s="1"/>
      <c r="T17" s="1"/>
    </row>
    <row r="18" spans="1:20">
      <c r="A18" s="1"/>
      <c r="B18" s="1" t="s">
        <v>66</v>
      </c>
      <c r="C18" s="1">
        <v>51</v>
      </c>
      <c r="D18" s="10">
        <f t="shared" si="7"/>
        <v>4049</v>
      </c>
      <c r="E18" s="10">
        <f>SUMIFS(Production!$D$2:$D$337,Production!$A$2:$A$337,B18,Production!$B$2:$B$337,C18,Production!$C$2:$C$337,Controls!$B$7)</f>
        <v>2000</v>
      </c>
      <c r="F18" s="10">
        <f t="shared" si="0"/>
        <v>6049</v>
      </c>
      <c r="G18" s="10">
        <f>SUMIFS(Orders!$F$2:$F$2881,Orders!$B$2:$B$2881,B18,Orders!$I$2:$I$2881,C18)*Controls!$B$6</f>
        <v>1702</v>
      </c>
      <c r="H18" s="10">
        <f t="shared" si="1"/>
        <v>1702</v>
      </c>
      <c r="I18" s="10">
        <f t="shared" si="2"/>
        <v>4347</v>
      </c>
      <c r="J18" s="10">
        <f t="shared" si="3"/>
        <v>0</v>
      </c>
      <c r="K18" s="4">
        <f t="shared" si="4"/>
        <v>1</v>
      </c>
      <c r="L18" s="5">
        <f>IF(G18=0,0,J18/G18*SUMIFS(Orders!$G$2:$G$2881,Orders!$B$2:$B$2881,B18,Orders!$I$2:$I$2881,C18))*Controls!$B$6</f>
        <v>0</v>
      </c>
      <c r="M18" s="1" t="str">
        <f t="shared" si="5"/>
        <v>FP2020|51</v>
      </c>
      <c r="N18" s="4">
        <f t="shared" si="6"/>
        <v>0</v>
      </c>
      <c r="O18" s="1"/>
      <c r="P18" s="1"/>
      <c r="Q18" s="1"/>
      <c r="R18" s="1"/>
      <c r="S18" s="1"/>
      <c r="T18" s="1"/>
    </row>
    <row r="19" spans="1:20">
      <c r="A19" s="1"/>
      <c r="B19" s="1" t="s">
        <v>66</v>
      </c>
      <c r="C19" s="1">
        <v>52</v>
      </c>
      <c r="D19" s="10">
        <f t="shared" si="7"/>
        <v>4347</v>
      </c>
      <c r="E19" s="10">
        <f>SUMIFS(Production!$D$2:$D$337,Production!$A$2:$A$337,B19,Production!$B$2:$B$337,C19,Production!$C$2:$C$337,Controls!$B$7)</f>
        <v>0</v>
      </c>
      <c r="F19" s="10">
        <f t="shared" si="0"/>
        <v>4347</v>
      </c>
      <c r="G19" s="10">
        <f>SUMIFS(Orders!$F$2:$F$2881,Orders!$B$2:$B$2881,B19,Orders!$I$2:$I$2881,C19)*Controls!$B$6</f>
        <v>1380</v>
      </c>
      <c r="H19" s="10">
        <f t="shared" si="1"/>
        <v>1380</v>
      </c>
      <c r="I19" s="10">
        <f t="shared" si="2"/>
        <v>2967</v>
      </c>
      <c r="J19" s="10">
        <f t="shared" si="3"/>
        <v>0</v>
      </c>
      <c r="K19" s="4">
        <f t="shared" si="4"/>
        <v>1</v>
      </c>
      <c r="L19" s="5">
        <f>IF(G19=0,0,J19/G19*SUMIFS(Orders!$G$2:$G$2881,Orders!$B$2:$B$2881,B19,Orders!$I$2:$I$2881,C19))*Controls!$B$6</f>
        <v>0</v>
      </c>
      <c r="M19" s="1" t="str">
        <f t="shared" si="5"/>
        <v>FP2020|52</v>
      </c>
      <c r="N19" s="4">
        <f t="shared" si="6"/>
        <v>0</v>
      </c>
      <c r="O19" s="1"/>
      <c r="P19" s="1"/>
      <c r="Q19" s="1"/>
      <c r="R19" s="1"/>
      <c r="S19" s="1"/>
      <c r="T19" s="1"/>
    </row>
    <row r="20" spans="1:20">
      <c r="A20" s="1"/>
      <c r="B20" s="1" t="s">
        <v>67</v>
      </c>
      <c r="C20" s="1">
        <v>39</v>
      </c>
      <c r="D20" s="10">
        <f>SUMIFS(Products!$D$2:$D$13,Products!$B$2:$B$13,B20)</f>
        <v>2032</v>
      </c>
      <c r="E20" s="10">
        <f>SUMIFS(Production!$D$2:$D$337,Production!$A$2:$A$337,B20,Production!$B$2:$B$337,C20,Production!$C$2:$C$337,Controls!$B$7)</f>
        <v>0</v>
      </c>
      <c r="F20" s="10">
        <f t="shared" si="0"/>
        <v>2032</v>
      </c>
      <c r="G20" s="10">
        <f>SUMIFS(Orders!$F$2:$F$2881,Orders!$B$2:$B$2881,B20,Orders!$I$2:$I$2881,C20)*Controls!$B$6</f>
        <v>0</v>
      </c>
      <c r="H20" s="10">
        <f t="shared" si="1"/>
        <v>0</v>
      </c>
      <c r="I20" s="10">
        <f t="shared" si="2"/>
        <v>2032</v>
      </c>
      <c r="J20" s="10">
        <f t="shared" si="3"/>
        <v>0</v>
      </c>
      <c r="K20" s="4" t="str">
        <f t="shared" si="4"/>
        <v>n.a.</v>
      </c>
      <c r="L20" s="5">
        <f>IF(G20=0,0,J20/G20*SUMIFS(Orders!$G$2:$G$2881,Orders!$B$2:$B$2881,B20,Orders!$I$2:$I$2881,C20))*Controls!$B$6</f>
        <v>0</v>
      </c>
      <c r="M20" s="1" t="str">
        <f t="shared" si="5"/>
        <v>FP3055|39</v>
      </c>
      <c r="N20" s="4">
        <f t="shared" si="6"/>
        <v>0</v>
      </c>
      <c r="O20" s="1"/>
      <c r="P20" s="1"/>
      <c r="Q20" s="1"/>
      <c r="R20" s="1"/>
      <c r="S20" s="1"/>
      <c r="T20" s="1"/>
    </row>
    <row r="21" spans="1:20">
      <c r="A21" s="6"/>
      <c r="B21" s="6" t="s">
        <v>67</v>
      </c>
      <c r="C21" s="6">
        <v>40</v>
      </c>
      <c r="D21" s="11">
        <f t="shared" ref="D21:D33" si="8">I20</f>
        <v>2032</v>
      </c>
      <c r="E21" s="11">
        <f>SUMIFS(Production!$D$2:$D$337,Production!$A$2:$A$337,B21,Production!$B$2:$B$337,C21,Production!$C$2:$C$337,Controls!$B$7)</f>
        <v>1000</v>
      </c>
      <c r="F21" s="11">
        <f t="shared" si="0"/>
        <v>3032</v>
      </c>
      <c r="G21" s="11">
        <f>SUMIFS(Orders!$F$2:$F$2881,Orders!$B$2:$B$2881,B21,Orders!$I$2:$I$2881,C21)*Controls!$B$6</f>
        <v>1281</v>
      </c>
      <c r="H21" s="11">
        <f t="shared" si="1"/>
        <v>1281</v>
      </c>
      <c r="I21" s="11">
        <f t="shared" si="2"/>
        <v>1751</v>
      </c>
      <c r="J21" s="11">
        <f t="shared" si="3"/>
        <v>0</v>
      </c>
      <c r="K21" s="12">
        <f t="shared" si="4"/>
        <v>1</v>
      </c>
      <c r="L21" s="13">
        <f>IF(G21=0,0,J21/G21*SUMIFS(Orders!$G$2:$G$2881,Orders!$B$2:$B$2881,B21,Orders!$I$2:$I$2881,C21))*Controls!$B$6</f>
        <v>0</v>
      </c>
      <c r="M21" s="6" t="str">
        <f t="shared" si="5"/>
        <v>FP3055|40</v>
      </c>
      <c r="N21" s="12">
        <f t="shared" si="6"/>
        <v>0</v>
      </c>
      <c r="O21" s="6"/>
      <c r="P21" s="6"/>
      <c r="Q21" s="6"/>
      <c r="R21" s="6"/>
      <c r="S21" s="6"/>
      <c r="T21" s="6"/>
    </row>
    <row r="22" spans="1:20">
      <c r="A22" s="6"/>
      <c r="B22" s="6" t="s">
        <v>67</v>
      </c>
      <c r="C22" s="6">
        <v>41</v>
      </c>
      <c r="D22" s="11">
        <f t="shared" si="8"/>
        <v>1751</v>
      </c>
      <c r="E22" s="11">
        <f>SUMIFS(Production!$D$2:$D$337,Production!$A$2:$A$337,B22,Production!$B$2:$B$337,C22,Production!$C$2:$C$337,Controls!$B$7)</f>
        <v>0</v>
      </c>
      <c r="F22" s="11">
        <f t="shared" si="0"/>
        <v>1751</v>
      </c>
      <c r="G22" s="11">
        <f>SUMIFS(Orders!$F$2:$F$2881,Orders!$B$2:$B$2881,B22,Orders!$I$2:$I$2881,C22)*Controls!$B$6</f>
        <v>807</v>
      </c>
      <c r="H22" s="11">
        <f t="shared" si="1"/>
        <v>807</v>
      </c>
      <c r="I22" s="11">
        <f t="shared" si="2"/>
        <v>944</v>
      </c>
      <c r="J22" s="11">
        <f t="shared" si="3"/>
        <v>0</v>
      </c>
      <c r="K22" s="12">
        <f t="shared" si="4"/>
        <v>1</v>
      </c>
      <c r="L22" s="13">
        <f>IF(G22=0,0,J22/G22*SUMIFS(Orders!$G$2:$G$2881,Orders!$B$2:$B$2881,B22,Orders!$I$2:$I$2881,C22))*Controls!$B$6</f>
        <v>0</v>
      </c>
      <c r="M22" s="6" t="str">
        <f t="shared" si="5"/>
        <v>FP3055|41</v>
      </c>
      <c r="N22" s="12">
        <f t="shared" si="6"/>
        <v>0</v>
      </c>
      <c r="O22" s="6"/>
      <c r="P22" s="6"/>
      <c r="Q22" s="6"/>
      <c r="R22" s="6"/>
      <c r="S22" s="6"/>
      <c r="T22" s="6"/>
    </row>
    <row r="23" spans="1:20">
      <c r="A23" s="6"/>
      <c r="B23" s="6" t="s">
        <v>67</v>
      </c>
      <c r="C23" s="6">
        <v>42</v>
      </c>
      <c r="D23" s="11">
        <f t="shared" si="8"/>
        <v>944</v>
      </c>
      <c r="E23" s="11">
        <f>SUMIFS(Production!$D$2:$D$337,Production!$A$2:$A$337,B23,Production!$B$2:$B$337,C23,Production!$C$2:$C$337,Controls!$B$7)</f>
        <v>1000</v>
      </c>
      <c r="F23" s="11">
        <f t="shared" si="0"/>
        <v>1944</v>
      </c>
      <c r="G23" s="11">
        <f>SUMIFS(Orders!$F$2:$F$2881,Orders!$B$2:$B$2881,B23,Orders!$I$2:$I$2881,C23)*Controls!$B$6</f>
        <v>731</v>
      </c>
      <c r="H23" s="11">
        <f t="shared" si="1"/>
        <v>731</v>
      </c>
      <c r="I23" s="11">
        <f t="shared" si="2"/>
        <v>1213</v>
      </c>
      <c r="J23" s="11">
        <f t="shared" si="3"/>
        <v>0</v>
      </c>
      <c r="K23" s="12">
        <f t="shared" si="4"/>
        <v>1</v>
      </c>
      <c r="L23" s="13">
        <f>IF(G23=0,0,J23/G23*SUMIFS(Orders!$G$2:$G$2881,Orders!$B$2:$B$2881,B23,Orders!$I$2:$I$2881,C23))*Controls!$B$6</f>
        <v>0</v>
      </c>
      <c r="M23" s="6" t="str">
        <f t="shared" si="5"/>
        <v>FP3055|42</v>
      </c>
      <c r="N23" s="12">
        <f t="shared" si="6"/>
        <v>0</v>
      </c>
      <c r="O23" s="6"/>
      <c r="P23" s="6"/>
      <c r="Q23" s="6"/>
      <c r="R23" s="6"/>
      <c r="S23" s="6"/>
      <c r="T23" s="6"/>
    </row>
    <row r="24" spans="1:20">
      <c r="A24" s="6"/>
      <c r="B24" s="6" t="s">
        <v>67</v>
      </c>
      <c r="C24" s="6">
        <v>43</v>
      </c>
      <c r="D24" s="11">
        <f t="shared" si="8"/>
        <v>1213</v>
      </c>
      <c r="E24" s="11">
        <f>SUMIFS(Production!$D$2:$D$337,Production!$A$2:$A$337,B24,Production!$B$2:$B$337,C24,Production!$C$2:$C$337,Controls!$B$7)</f>
        <v>0</v>
      </c>
      <c r="F24" s="11">
        <f t="shared" si="0"/>
        <v>1213</v>
      </c>
      <c r="G24" s="11">
        <f>SUMIFS(Orders!$F$2:$F$2881,Orders!$B$2:$B$2881,B24,Orders!$I$2:$I$2881,C24)*Controls!$B$6</f>
        <v>794</v>
      </c>
      <c r="H24" s="11">
        <f t="shared" si="1"/>
        <v>794</v>
      </c>
      <c r="I24" s="11">
        <f t="shared" si="2"/>
        <v>419</v>
      </c>
      <c r="J24" s="11">
        <f t="shared" si="3"/>
        <v>0</v>
      </c>
      <c r="K24" s="12">
        <f t="shared" si="4"/>
        <v>1</v>
      </c>
      <c r="L24" s="13">
        <f>IF(G24=0,0,J24/G24*SUMIFS(Orders!$G$2:$G$2881,Orders!$B$2:$B$2881,B24,Orders!$I$2:$I$2881,C24))*Controls!$B$6</f>
        <v>0</v>
      </c>
      <c r="M24" s="6" t="str">
        <f t="shared" si="5"/>
        <v>FP3055|43</v>
      </c>
      <c r="N24" s="12">
        <f t="shared" si="6"/>
        <v>0</v>
      </c>
      <c r="O24" s="6"/>
      <c r="P24" s="6"/>
      <c r="Q24" s="6"/>
      <c r="R24" s="6"/>
      <c r="S24" s="6"/>
      <c r="T24" s="6"/>
    </row>
    <row r="25" spans="1:20">
      <c r="A25" s="6"/>
      <c r="B25" s="6" t="s">
        <v>67</v>
      </c>
      <c r="C25" s="6">
        <v>44</v>
      </c>
      <c r="D25" s="11">
        <f t="shared" si="8"/>
        <v>419</v>
      </c>
      <c r="E25" s="11">
        <f>SUMIFS(Production!$D$2:$D$337,Production!$A$2:$A$337,B25,Production!$B$2:$B$337,C25,Production!$C$2:$C$337,Controls!$B$7)</f>
        <v>2000</v>
      </c>
      <c r="F25" s="11">
        <f t="shared" si="0"/>
        <v>2419</v>
      </c>
      <c r="G25" s="11">
        <f>SUMIFS(Orders!$F$2:$F$2881,Orders!$B$2:$B$2881,B25,Orders!$I$2:$I$2881,C25)*Controls!$B$6</f>
        <v>343</v>
      </c>
      <c r="H25" s="11">
        <f t="shared" si="1"/>
        <v>343</v>
      </c>
      <c r="I25" s="11">
        <f t="shared" si="2"/>
        <v>2076</v>
      </c>
      <c r="J25" s="11">
        <f t="shared" si="3"/>
        <v>0</v>
      </c>
      <c r="K25" s="12">
        <f t="shared" si="4"/>
        <v>1</v>
      </c>
      <c r="L25" s="13">
        <f>IF(G25=0,0,J25/G25*SUMIFS(Orders!$G$2:$G$2881,Orders!$B$2:$B$2881,B25,Orders!$I$2:$I$2881,C25))*Controls!$B$6</f>
        <v>0</v>
      </c>
      <c r="M25" s="6" t="str">
        <f t="shared" si="5"/>
        <v>FP3055|44</v>
      </c>
      <c r="N25" s="12">
        <f t="shared" si="6"/>
        <v>0</v>
      </c>
      <c r="O25" s="6"/>
      <c r="P25" s="6"/>
      <c r="Q25" s="6"/>
      <c r="R25" s="6"/>
      <c r="S25" s="6"/>
      <c r="T25" s="6"/>
    </row>
    <row r="26" spans="1:20">
      <c r="A26" s="6"/>
      <c r="B26" s="6" t="s">
        <v>67</v>
      </c>
      <c r="C26" s="6">
        <v>45</v>
      </c>
      <c r="D26" s="11">
        <f t="shared" si="8"/>
        <v>2076</v>
      </c>
      <c r="E26" s="11">
        <f>SUMIFS(Production!$D$2:$D$337,Production!$A$2:$A$337,B26,Production!$B$2:$B$337,C26,Production!$C$2:$C$337,Controls!$B$7)</f>
        <v>1000</v>
      </c>
      <c r="F26" s="11">
        <f t="shared" si="0"/>
        <v>3076</v>
      </c>
      <c r="G26" s="11">
        <f>SUMIFS(Orders!$F$2:$F$2881,Orders!$B$2:$B$2881,B26,Orders!$I$2:$I$2881,C26)*Controls!$B$6</f>
        <v>1595</v>
      </c>
      <c r="H26" s="11">
        <f t="shared" si="1"/>
        <v>1595</v>
      </c>
      <c r="I26" s="11">
        <f t="shared" si="2"/>
        <v>1481</v>
      </c>
      <c r="J26" s="11">
        <f t="shared" si="3"/>
        <v>0</v>
      </c>
      <c r="K26" s="12">
        <f t="shared" si="4"/>
        <v>1</v>
      </c>
      <c r="L26" s="13">
        <f>IF(G26=0,0,J26/G26*SUMIFS(Orders!$G$2:$G$2881,Orders!$B$2:$B$2881,B26,Orders!$I$2:$I$2881,C26))*Controls!$B$6</f>
        <v>0</v>
      </c>
      <c r="M26" s="6" t="str">
        <f t="shared" si="5"/>
        <v>FP3055|45</v>
      </c>
      <c r="N26" s="12">
        <f t="shared" si="6"/>
        <v>0</v>
      </c>
      <c r="O26" s="6"/>
      <c r="P26" s="6"/>
      <c r="Q26" s="6"/>
      <c r="R26" s="6"/>
      <c r="S26" s="6"/>
      <c r="T26" s="6"/>
    </row>
    <row r="27" spans="1:20">
      <c r="A27" s="6"/>
      <c r="B27" s="6" t="s">
        <v>67</v>
      </c>
      <c r="C27" s="6">
        <v>46</v>
      </c>
      <c r="D27" s="11">
        <f t="shared" si="8"/>
        <v>1481</v>
      </c>
      <c r="E27" s="11">
        <f>SUMIFS(Production!$D$2:$D$337,Production!$A$2:$A$337,B27,Production!$B$2:$B$337,C27,Production!$C$2:$C$337,Controls!$B$7)</f>
        <v>1000</v>
      </c>
      <c r="F27" s="11">
        <f t="shared" si="0"/>
        <v>2481</v>
      </c>
      <c r="G27" s="11">
        <f>SUMIFS(Orders!$F$2:$F$2881,Orders!$B$2:$B$2881,B27,Orders!$I$2:$I$2881,C27)*Controls!$B$6</f>
        <v>1253</v>
      </c>
      <c r="H27" s="11">
        <f t="shared" si="1"/>
        <v>1253</v>
      </c>
      <c r="I27" s="11">
        <f t="shared" si="2"/>
        <v>1228</v>
      </c>
      <c r="J27" s="11">
        <f t="shared" si="3"/>
        <v>0</v>
      </c>
      <c r="K27" s="12">
        <f t="shared" si="4"/>
        <v>1</v>
      </c>
      <c r="L27" s="13">
        <f>IF(G27=0,0,J27/G27*SUMIFS(Orders!$G$2:$G$2881,Orders!$B$2:$B$2881,B27,Orders!$I$2:$I$2881,C27))*Controls!$B$6</f>
        <v>0</v>
      </c>
      <c r="M27" s="6" t="str">
        <f t="shared" si="5"/>
        <v>FP3055|46</v>
      </c>
      <c r="N27" s="12">
        <f t="shared" si="6"/>
        <v>0</v>
      </c>
      <c r="O27" s="6"/>
      <c r="P27" s="6"/>
      <c r="Q27" s="6"/>
      <c r="R27" s="6"/>
      <c r="S27" s="6"/>
      <c r="T27" s="6"/>
    </row>
    <row r="28" spans="1:20">
      <c r="A28" s="6"/>
      <c r="B28" s="6" t="s">
        <v>67</v>
      </c>
      <c r="C28" s="6">
        <v>47</v>
      </c>
      <c r="D28" s="11">
        <f t="shared" si="8"/>
        <v>1228</v>
      </c>
      <c r="E28" s="11">
        <f>SUMIFS(Production!$D$2:$D$337,Production!$A$2:$A$337,B28,Production!$B$2:$B$337,C28,Production!$C$2:$C$337,Controls!$B$7)</f>
        <v>1000</v>
      </c>
      <c r="F28" s="11">
        <f t="shared" si="0"/>
        <v>2228</v>
      </c>
      <c r="G28" s="11">
        <f>SUMIFS(Orders!$F$2:$F$2881,Orders!$B$2:$B$2881,B28,Orders!$I$2:$I$2881,C28)*Controls!$B$6</f>
        <v>757</v>
      </c>
      <c r="H28" s="11">
        <f t="shared" si="1"/>
        <v>757</v>
      </c>
      <c r="I28" s="11">
        <f t="shared" si="2"/>
        <v>1471</v>
      </c>
      <c r="J28" s="11">
        <f t="shared" si="3"/>
        <v>0</v>
      </c>
      <c r="K28" s="12">
        <f t="shared" si="4"/>
        <v>1</v>
      </c>
      <c r="L28" s="13">
        <f>IF(G28=0,0,J28/G28*SUMIFS(Orders!$G$2:$G$2881,Orders!$B$2:$B$2881,B28,Orders!$I$2:$I$2881,C28))*Controls!$B$6</f>
        <v>0</v>
      </c>
      <c r="M28" s="6" t="str">
        <f t="shared" si="5"/>
        <v>FP3055|47</v>
      </c>
      <c r="N28" s="12">
        <f t="shared" si="6"/>
        <v>0</v>
      </c>
      <c r="O28" s="6"/>
      <c r="P28" s="6"/>
      <c r="Q28" s="6"/>
      <c r="R28" s="6"/>
      <c r="S28" s="6"/>
      <c r="T28" s="6"/>
    </row>
    <row r="29" spans="1:20">
      <c r="A29" s="6"/>
      <c r="B29" s="6" t="s">
        <v>67</v>
      </c>
      <c r="C29" s="6">
        <v>48</v>
      </c>
      <c r="D29" s="11">
        <f t="shared" si="8"/>
        <v>1471</v>
      </c>
      <c r="E29" s="11">
        <f>SUMIFS(Production!$D$2:$D$337,Production!$A$2:$A$337,B29,Production!$B$2:$B$337,C29,Production!$C$2:$C$337,Controls!$B$7)</f>
        <v>0</v>
      </c>
      <c r="F29" s="11">
        <f t="shared" si="0"/>
        <v>1471</v>
      </c>
      <c r="G29" s="11">
        <f>SUMIFS(Orders!$F$2:$F$2881,Orders!$B$2:$B$2881,B29,Orders!$I$2:$I$2881,C29)*Controls!$B$6</f>
        <v>1033</v>
      </c>
      <c r="H29" s="11">
        <f t="shared" si="1"/>
        <v>1033</v>
      </c>
      <c r="I29" s="11">
        <f t="shared" si="2"/>
        <v>438</v>
      </c>
      <c r="J29" s="11">
        <f t="shared" si="3"/>
        <v>0</v>
      </c>
      <c r="K29" s="12">
        <f t="shared" si="4"/>
        <v>1</v>
      </c>
      <c r="L29" s="13">
        <f>IF(G29=0,0,J29/G29*SUMIFS(Orders!$G$2:$G$2881,Orders!$B$2:$B$2881,B29,Orders!$I$2:$I$2881,C29))*Controls!$B$6</f>
        <v>0</v>
      </c>
      <c r="M29" s="6" t="str">
        <f t="shared" si="5"/>
        <v>FP3055|48</v>
      </c>
      <c r="N29" s="12">
        <f t="shared" si="6"/>
        <v>0</v>
      </c>
      <c r="O29" s="6"/>
      <c r="P29" s="6"/>
      <c r="Q29" s="6"/>
      <c r="R29" s="6"/>
      <c r="S29" s="6"/>
      <c r="T29" s="6"/>
    </row>
    <row r="30" spans="1:20">
      <c r="A30" s="6"/>
      <c r="B30" s="6" t="s">
        <v>67</v>
      </c>
      <c r="C30" s="6">
        <v>49</v>
      </c>
      <c r="D30" s="11">
        <f t="shared" si="8"/>
        <v>438</v>
      </c>
      <c r="E30" s="11">
        <f>SUMIFS(Production!$D$2:$D$337,Production!$A$2:$A$337,B30,Production!$B$2:$B$337,C30,Production!$C$2:$C$337,Controls!$B$7)</f>
        <v>1000</v>
      </c>
      <c r="F30" s="11">
        <f t="shared" si="0"/>
        <v>1438</v>
      </c>
      <c r="G30" s="11">
        <f>SUMIFS(Orders!$F$2:$F$2881,Orders!$B$2:$B$2881,B30,Orders!$I$2:$I$2881,C30)*Controls!$B$6</f>
        <v>425</v>
      </c>
      <c r="H30" s="11">
        <f t="shared" si="1"/>
        <v>425</v>
      </c>
      <c r="I30" s="11">
        <f t="shared" si="2"/>
        <v>1013</v>
      </c>
      <c r="J30" s="11">
        <f t="shared" si="3"/>
        <v>0</v>
      </c>
      <c r="K30" s="12">
        <f t="shared" si="4"/>
        <v>1</v>
      </c>
      <c r="L30" s="13">
        <f>IF(G30=0,0,J30/G30*SUMIFS(Orders!$G$2:$G$2881,Orders!$B$2:$B$2881,B30,Orders!$I$2:$I$2881,C30))*Controls!$B$6</f>
        <v>0</v>
      </c>
      <c r="M30" s="6" t="str">
        <f t="shared" si="5"/>
        <v>FP3055|49</v>
      </c>
      <c r="N30" s="12">
        <f t="shared" si="6"/>
        <v>0</v>
      </c>
      <c r="O30" s="6"/>
      <c r="P30" s="6"/>
      <c r="Q30" s="6"/>
      <c r="R30" s="6"/>
      <c r="S30" s="6"/>
      <c r="T30" s="6"/>
    </row>
    <row r="31" spans="1:20">
      <c r="A31" s="6"/>
      <c r="B31" s="6" t="s">
        <v>67</v>
      </c>
      <c r="C31" s="6">
        <v>50</v>
      </c>
      <c r="D31" s="11">
        <f t="shared" si="8"/>
        <v>1013</v>
      </c>
      <c r="E31" s="11">
        <f>SUMIFS(Production!$D$2:$D$337,Production!$A$2:$A$337,B31,Production!$B$2:$B$337,C31,Production!$C$2:$C$337,Controls!$B$7)</f>
        <v>2000</v>
      </c>
      <c r="F31" s="11">
        <f t="shared" si="0"/>
        <v>3013</v>
      </c>
      <c r="G31" s="11">
        <f>SUMIFS(Orders!$F$2:$F$2881,Orders!$B$2:$B$2881,B31,Orders!$I$2:$I$2881,C31)*Controls!$B$6</f>
        <v>754</v>
      </c>
      <c r="H31" s="11">
        <f t="shared" si="1"/>
        <v>754</v>
      </c>
      <c r="I31" s="11">
        <f t="shared" si="2"/>
        <v>2259</v>
      </c>
      <c r="J31" s="11">
        <f t="shared" si="3"/>
        <v>0</v>
      </c>
      <c r="K31" s="12">
        <f t="shared" si="4"/>
        <v>1</v>
      </c>
      <c r="L31" s="13">
        <f>IF(G31=0,0,J31/G31*SUMIFS(Orders!$G$2:$G$2881,Orders!$B$2:$B$2881,B31,Orders!$I$2:$I$2881,C31))*Controls!$B$6</f>
        <v>0</v>
      </c>
      <c r="M31" s="6" t="str">
        <f t="shared" si="5"/>
        <v>FP3055|50</v>
      </c>
      <c r="N31" s="12">
        <f t="shared" si="6"/>
        <v>0</v>
      </c>
      <c r="O31" s="6"/>
      <c r="P31" s="6"/>
      <c r="Q31" s="6"/>
      <c r="R31" s="6"/>
      <c r="S31" s="6"/>
      <c r="T31" s="6"/>
    </row>
    <row r="32" spans="1:20">
      <c r="A32" s="6"/>
      <c r="B32" s="6" t="s">
        <v>67</v>
      </c>
      <c r="C32" s="6">
        <v>51</v>
      </c>
      <c r="D32" s="11">
        <f t="shared" si="8"/>
        <v>2259</v>
      </c>
      <c r="E32" s="11">
        <f>SUMIFS(Production!$D$2:$D$337,Production!$A$2:$A$337,B32,Production!$B$2:$B$337,C32,Production!$C$2:$C$337,Controls!$B$7)</f>
        <v>1000</v>
      </c>
      <c r="F32" s="11">
        <f t="shared" si="0"/>
        <v>3259</v>
      </c>
      <c r="G32" s="11">
        <f>SUMIFS(Orders!$F$2:$F$2881,Orders!$B$2:$B$2881,B32,Orders!$I$2:$I$2881,C32)*Controls!$B$6</f>
        <v>1602</v>
      </c>
      <c r="H32" s="11">
        <f t="shared" si="1"/>
        <v>1602</v>
      </c>
      <c r="I32" s="11">
        <f t="shared" si="2"/>
        <v>1657</v>
      </c>
      <c r="J32" s="11">
        <f t="shared" si="3"/>
        <v>0</v>
      </c>
      <c r="K32" s="12">
        <f t="shared" si="4"/>
        <v>1</v>
      </c>
      <c r="L32" s="13">
        <f>IF(G32=0,0,J32/G32*SUMIFS(Orders!$G$2:$G$2881,Orders!$B$2:$B$2881,B32,Orders!$I$2:$I$2881,C32))*Controls!$B$6</f>
        <v>0</v>
      </c>
      <c r="M32" s="6" t="str">
        <f t="shared" si="5"/>
        <v>FP3055|51</v>
      </c>
      <c r="N32" s="12">
        <f t="shared" si="6"/>
        <v>0</v>
      </c>
      <c r="O32" s="6"/>
      <c r="P32" s="6"/>
      <c r="Q32" s="6"/>
      <c r="R32" s="6"/>
      <c r="S32" s="6"/>
      <c r="T32" s="6"/>
    </row>
    <row r="33" spans="1:20">
      <c r="A33" s="6"/>
      <c r="B33" s="6" t="s">
        <v>67</v>
      </c>
      <c r="C33" s="6">
        <v>52</v>
      </c>
      <c r="D33" s="11">
        <f t="shared" si="8"/>
        <v>1657</v>
      </c>
      <c r="E33" s="11">
        <f>SUMIFS(Production!$D$2:$D$337,Production!$A$2:$A$337,B33,Production!$B$2:$B$337,C33,Production!$C$2:$C$337,Controls!$B$7)</f>
        <v>0</v>
      </c>
      <c r="F33" s="11">
        <f t="shared" si="0"/>
        <v>1657</v>
      </c>
      <c r="G33" s="11">
        <f>SUMIFS(Orders!$F$2:$F$2881,Orders!$B$2:$B$2881,B33,Orders!$I$2:$I$2881,C33)*Controls!$B$6</f>
        <v>815</v>
      </c>
      <c r="H33" s="11">
        <f t="shared" si="1"/>
        <v>815</v>
      </c>
      <c r="I33" s="11">
        <f t="shared" si="2"/>
        <v>842</v>
      </c>
      <c r="J33" s="11">
        <f t="shared" si="3"/>
        <v>0</v>
      </c>
      <c r="K33" s="12">
        <f t="shared" si="4"/>
        <v>1</v>
      </c>
      <c r="L33" s="13">
        <f>IF(G33=0,0,J33/G33*SUMIFS(Orders!$G$2:$G$2881,Orders!$B$2:$B$2881,B33,Orders!$I$2:$I$2881,C33))*Controls!$B$6</f>
        <v>0</v>
      </c>
      <c r="M33" s="6" t="str">
        <f t="shared" si="5"/>
        <v>FP3055|52</v>
      </c>
      <c r="N33" s="12">
        <f t="shared" si="6"/>
        <v>0</v>
      </c>
      <c r="O33" s="6"/>
      <c r="P33" s="6"/>
      <c r="Q33" s="6"/>
      <c r="R33" s="6"/>
      <c r="S33" s="6"/>
      <c r="T33" s="6"/>
    </row>
    <row r="34" spans="1:20">
      <c r="A34" s="6"/>
      <c r="B34" s="6" t="s">
        <v>68</v>
      </c>
      <c r="C34" s="6">
        <v>39</v>
      </c>
      <c r="D34" s="11">
        <f>SUMIFS(Products!$D$2:$D$13,Products!$B$2:$B$13,B34)</f>
        <v>148</v>
      </c>
      <c r="E34" s="11">
        <f>SUMIFS(Production!$D$2:$D$337,Production!$A$2:$A$337,B34,Production!$B$2:$B$337,C34,Production!$C$2:$C$337,Controls!$B$7)</f>
        <v>0</v>
      </c>
      <c r="F34" s="11">
        <f t="shared" si="0"/>
        <v>148</v>
      </c>
      <c r="G34" s="11">
        <f>SUMIFS(Orders!$F$2:$F$2881,Orders!$B$2:$B$2881,B34,Orders!$I$2:$I$2881,C34)*Controls!$B$6</f>
        <v>0</v>
      </c>
      <c r="H34" s="11">
        <f t="shared" si="1"/>
        <v>0</v>
      </c>
      <c r="I34" s="11">
        <f t="shared" si="2"/>
        <v>148</v>
      </c>
      <c r="J34" s="11">
        <f t="shared" si="3"/>
        <v>0</v>
      </c>
      <c r="K34" s="12" t="str">
        <f t="shared" si="4"/>
        <v>n.a.</v>
      </c>
      <c r="L34" s="13">
        <f>IF(G34=0,0,J34/G34*SUMIFS(Orders!$G$2:$G$2881,Orders!$B$2:$B$2881,B34,Orders!$I$2:$I$2881,C34))*Controls!$B$6</f>
        <v>0</v>
      </c>
      <c r="M34" s="6" t="str">
        <f t="shared" si="5"/>
        <v>HB0156|39</v>
      </c>
      <c r="N34" s="12">
        <f t="shared" si="6"/>
        <v>0</v>
      </c>
      <c r="O34" s="6"/>
      <c r="P34" s="6"/>
      <c r="Q34" s="6"/>
      <c r="R34" s="6"/>
      <c r="S34" s="6"/>
      <c r="T34" s="6"/>
    </row>
    <row r="35" spans="1:20">
      <c r="A35" s="6"/>
      <c r="B35" s="6" t="s">
        <v>68</v>
      </c>
      <c r="C35" s="6">
        <v>40</v>
      </c>
      <c r="D35" s="11">
        <f t="shared" ref="D35:D47" si="9">I34</f>
        <v>148</v>
      </c>
      <c r="E35" s="11">
        <f>SUMIFS(Production!$D$2:$D$337,Production!$A$2:$A$337,B35,Production!$B$2:$B$337,C35,Production!$C$2:$C$337,Controls!$B$7)</f>
        <v>1000</v>
      </c>
      <c r="F35" s="11">
        <f t="shared" si="0"/>
        <v>1148</v>
      </c>
      <c r="G35" s="11">
        <f>SUMIFS(Orders!$F$2:$F$2881,Orders!$B$2:$B$2881,B35,Orders!$I$2:$I$2881,C35)*Controls!$B$6</f>
        <v>94</v>
      </c>
      <c r="H35" s="11">
        <f t="shared" si="1"/>
        <v>94</v>
      </c>
      <c r="I35" s="11">
        <f t="shared" si="2"/>
        <v>1054</v>
      </c>
      <c r="J35" s="11">
        <f t="shared" si="3"/>
        <v>0</v>
      </c>
      <c r="K35" s="12">
        <f t="shared" si="4"/>
        <v>1</v>
      </c>
      <c r="L35" s="13">
        <f>IF(G35=0,0,J35/G35*SUMIFS(Orders!$G$2:$G$2881,Orders!$B$2:$B$2881,B35,Orders!$I$2:$I$2881,C35))*Controls!$B$6</f>
        <v>0</v>
      </c>
      <c r="M35" s="6" t="str">
        <f t="shared" si="5"/>
        <v>HB0156|40</v>
      </c>
      <c r="N35" s="12">
        <f t="shared" si="6"/>
        <v>0</v>
      </c>
      <c r="O35" s="6"/>
      <c r="P35" s="6"/>
      <c r="Q35" s="6"/>
      <c r="R35" s="6"/>
      <c r="S35" s="6"/>
      <c r="T35" s="6"/>
    </row>
    <row r="36" spans="1:20">
      <c r="A36" s="6"/>
      <c r="B36" s="6" t="s">
        <v>68</v>
      </c>
      <c r="C36" s="6">
        <v>41</v>
      </c>
      <c r="D36" s="11">
        <f t="shared" si="9"/>
        <v>1054</v>
      </c>
      <c r="E36" s="11">
        <f>SUMIFS(Production!$D$2:$D$337,Production!$A$2:$A$337,B36,Production!$B$2:$B$337,C36,Production!$C$2:$C$337,Controls!$B$7)</f>
        <v>0</v>
      </c>
      <c r="F36" s="11">
        <f t="shared" si="0"/>
        <v>1054</v>
      </c>
      <c r="G36" s="11">
        <f>SUMIFS(Orders!$F$2:$F$2881,Orders!$B$2:$B$2881,B36,Orders!$I$2:$I$2881,C36)*Controls!$B$6</f>
        <v>81</v>
      </c>
      <c r="H36" s="11">
        <f t="shared" si="1"/>
        <v>81</v>
      </c>
      <c r="I36" s="11">
        <f t="shared" si="2"/>
        <v>973</v>
      </c>
      <c r="J36" s="11">
        <f t="shared" si="3"/>
        <v>0</v>
      </c>
      <c r="K36" s="12">
        <f t="shared" si="4"/>
        <v>1</v>
      </c>
      <c r="L36" s="13">
        <f>IF(G36=0,0,J36/G36*SUMIFS(Orders!$G$2:$G$2881,Orders!$B$2:$B$2881,B36,Orders!$I$2:$I$2881,C36))*Controls!$B$6</f>
        <v>0</v>
      </c>
      <c r="M36" s="6" t="str">
        <f t="shared" si="5"/>
        <v>HB0156|41</v>
      </c>
      <c r="N36" s="12">
        <f t="shared" si="6"/>
        <v>0</v>
      </c>
      <c r="O36" s="6"/>
      <c r="P36" s="6"/>
      <c r="Q36" s="6"/>
      <c r="R36" s="6"/>
      <c r="S36" s="6"/>
      <c r="T36" s="6"/>
    </row>
    <row r="37" spans="1:20">
      <c r="A37" s="6"/>
      <c r="B37" s="6" t="s">
        <v>68</v>
      </c>
      <c r="C37" s="6">
        <v>42</v>
      </c>
      <c r="D37" s="11">
        <f t="shared" si="9"/>
        <v>973</v>
      </c>
      <c r="E37" s="11">
        <f>SUMIFS(Production!$D$2:$D$337,Production!$A$2:$A$337,B37,Production!$B$2:$B$337,C37,Production!$C$2:$C$337,Controls!$B$7)</f>
        <v>0</v>
      </c>
      <c r="F37" s="11">
        <f t="shared" si="0"/>
        <v>973</v>
      </c>
      <c r="G37" s="11">
        <f>SUMIFS(Orders!$F$2:$F$2881,Orders!$B$2:$B$2881,B37,Orders!$I$2:$I$2881,C37)*Controls!$B$6</f>
        <v>45</v>
      </c>
      <c r="H37" s="11">
        <f t="shared" si="1"/>
        <v>45</v>
      </c>
      <c r="I37" s="11">
        <f t="shared" si="2"/>
        <v>928</v>
      </c>
      <c r="J37" s="11">
        <f t="shared" si="3"/>
        <v>0</v>
      </c>
      <c r="K37" s="12">
        <f t="shared" si="4"/>
        <v>1</v>
      </c>
      <c r="L37" s="13">
        <f>IF(G37=0,0,J37/G37*SUMIFS(Orders!$G$2:$G$2881,Orders!$B$2:$B$2881,B37,Orders!$I$2:$I$2881,C37))*Controls!$B$6</f>
        <v>0</v>
      </c>
      <c r="M37" s="6" t="str">
        <f t="shared" si="5"/>
        <v>HB0156|42</v>
      </c>
      <c r="N37" s="12">
        <f t="shared" si="6"/>
        <v>0</v>
      </c>
      <c r="O37" s="6"/>
      <c r="P37" s="6"/>
      <c r="Q37" s="6"/>
      <c r="R37" s="6"/>
      <c r="S37" s="6"/>
      <c r="T37" s="6"/>
    </row>
    <row r="38" spans="1:20">
      <c r="A38" s="6"/>
      <c r="B38" s="6" t="s">
        <v>68</v>
      </c>
      <c r="C38" s="6">
        <v>43</v>
      </c>
      <c r="D38" s="11">
        <f t="shared" si="9"/>
        <v>928</v>
      </c>
      <c r="E38" s="11">
        <f>SUMIFS(Production!$D$2:$D$337,Production!$A$2:$A$337,B38,Production!$B$2:$B$337,C38,Production!$C$2:$C$337,Controls!$B$7)</f>
        <v>0</v>
      </c>
      <c r="F38" s="11">
        <f t="shared" ref="F38:F69" si="10">D38+E38</f>
        <v>928</v>
      </c>
      <c r="G38" s="11">
        <f>SUMIFS(Orders!$F$2:$F$2881,Orders!$B$2:$B$2881,B38,Orders!$I$2:$I$2881,C38)*Controls!$B$6</f>
        <v>115</v>
      </c>
      <c r="H38" s="11">
        <f t="shared" ref="H38:H69" si="11">MIN(F38,G38)</f>
        <v>115</v>
      </c>
      <c r="I38" s="11">
        <f t="shared" ref="I38:I69" si="12">F38-H38</f>
        <v>813</v>
      </c>
      <c r="J38" s="11">
        <f t="shared" ref="J38:J69" si="13">G38-H38</f>
        <v>0</v>
      </c>
      <c r="K38" s="12">
        <f t="shared" ref="K38:K69" si="14">IF(G38=0,"n.a.",H38/G38)</f>
        <v>1</v>
      </c>
      <c r="L38" s="13">
        <f>IF(G38=0,0,J38/G38*SUMIFS(Orders!$G$2:$G$2881,Orders!$B$2:$B$2881,B38,Orders!$I$2:$I$2881,C38))*Controls!$B$6</f>
        <v>0</v>
      </c>
      <c r="M38" s="6" t="str">
        <f t="shared" ref="M38:M69" si="15">B38&amp;"|"&amp;C38</f>
        <v>HB0156|43</v>
      </c>
      <c r="N38" s="12">
        <f t="shared" ref="N38:N69" si="16">IF(G38=0,0,J38/G38)</f>
        <v>0</v>
      </c>
      <c r="O38" s="6"/>
      <c r="P38" s="6"/>
      <c r="Q38" s="6"/>
      <c r="R38" s="6"/>
      <c r="S38" s="6"/>
      <c r="T38" s="6"/>
    </row>
    <row r="39" spans="1:20">
      <c r="A39" s="6"/>
      <c r="B39" s="6" t="s">
        <v>68</v>
      </c>
      <c r="C39" s="6">
        <v>44</v>
      </c>
      <c r="D39" s="11">
        <f t="shared" si="9"/>
        <v>813</v>
      </c>
      <c r="E39" s="11">
        <f>SUMIFS(Production!$D$2:$D$337,Production!$A$2:$A$337,B39,Production!$B$2:$B$337,C39,Production!$C$2:$C$337,Controls!$B$7)</f>
        <v>0</v>
      </c>
      <c r="F39" s="11">
        <f t="shared" si="10"/>
        <v>813</v>
      </c>
      <c r="G39" s="11">
        <f>SUMIFS(Orders!$F$2:$F$2881,Orders!$B$2:$B$2881,B39,Orders!$I$2:$I$2881,C39)*Controls!$B$6</f>
        <v>13</v>
      </c>
      <c r="H39" s="11">
        <f t="shared" si="11"/>
        <v>13</v>
      </c>
      <c r="I39" s="11">
        <f t="shared" si="12"/>
        <v>800</v>
      </c>
      <c r="J39" s="11">
        <f t="shared" si="13"/>
        <v>0</v>
      </c>
      <c r="K39" s="12">
        <f t="shared" si="14"/>
        <v>1</v>
      </c>
      <c r="L39" s="13">
        <f>IF(G39=0,0,J39/G39*SUMIFS(Orders!$G$2:$G$2881,Orders!$B$2:$B$2881,B39,Orders!$I$2:$I$2881,C39))*Controls!$B$6</f>
        <v>0</v>
      </c>
      <c r="M39" s="6" t="str">
        <f t="shared" si="15"/>
        <v>HB0156|44</v>
      </c>
      <c r="N39" s="12">
        <f t="shared" si="16"/>
        <v>0</v>
      </c>
      <c r="O39" s="6"/>
      <c r="P39" s="6"/>
      <c r="Q39" s="6"/>
      <c r="R39" s="6"/>
      <c r="S39" s="6"/>
      <c r="T39" s="6"/>
    </row>
    <row r="40" spans="1:20">
      <c r="A40" s="6"/>
      <c r="B40" s="6" t="s">
        <v>68</v>
      </c>
      <c r="C40" s="6">
        <v>45</v>
      </c>
      <c r="D40" s="11">
        <f t="shared" si="9"/>
        <v>800</v>
      </c>
      <c r="E40" s="11">
        <f>SUMIFS(Production!$D$2:$D$337,Production!$A$2:$A$337,B40,Production!$B$2:$B$337,C40,Production!$C$2:$C$337,Controls!$B$7)</f>
        <v>0</v>
      </c>
      <c r="F40" s="11">
        <f t="shared" si="10"/>
        <v>800</v>
      </c>
      <c r="G40" s="11">
        <f>SUMIFS(Orders!$F$2:$F$2881,Orders!$B$2:$B$2881,B40,Orders!$I$2:$I$2881,C40)*Controls!$B$6</f>
        <v>76</v>
      </c>
      <c r="H40" s="11">
        <f t="shared" si="11"/>
        <v>76</v>
      </c>
      <c r="I40" s="11">
        <f t="shared" si="12"/>
        <v>724</v>
      </c>
      <c r="J40" s="11">
        <f t="shared" si="13"/>
        <v>0</v>
      </c>
      <c r="K40" s="12">
        <f t="shared" si="14"/>
        <v>1</v>
      </c>
      <c r="L40" s="13">
        <f>IF(G40=0,0,J40/G40*SUMIFS(Orders!$G$2:$G$2881,Orders!$B$2:$B$2881,B40,Orders!$I$2:$I$2881,C40))*Controls!$B$6</f>
        <v>0</v>
      </c>
      <c r="M40" s="6" t="str">
        <f t="shared" si="15"/>
        <v>HB0156|45</v>
      </c>
      <c r="N40" s="12">
        <f t="shared" si="16"/>
        <v>0</v>
      </c>
      <c r="O40" s="6"/>
      <c r="P40" s="6"/>
      <c r="Q40" s="6"/>
      <c r="R40" s="6"/>
      <c r="S40" s="6"/>
      <c r="T40" s="6"/>
    </row>
    <row r="41" spans="1:20">
      <c r="A41" s="6"/>
      <c r="B41" s="6" t="s">
        <v>68</v>
      </c>
      <c r="C41" s="6">
        <v>46</v>
      </c>
      <c r="D41" s="11">
        <f t="shared" si="9"/>
        <v>724</v>
      </c>
      <c r="E41" s="11">
        <f>SUMIFS(Production!$D$2:$D$337,Production!$A$2:$A$337,B41,Production!$B$2:$B$337,C41,Production!$C$2:$C$337,Controls!$B$7)</f>
        <v>0</v>
      </c>
      <c r="F41" s="11">
        <f t="shared" si="10"/>
        <v>724</v>
      </c>
      <c r="G41" s="11">
        <f>SUMIFS(Orders!$F$2:$F$2881,Orders!$B$2:$B$2881,B41,Orders!$I$2:$I$2881,C41)*Controls!$B$6</f>
        <v>116</v>
      </c>
      <c r="H41" s="11">
        <f t="shared" si="11"/>
        <v>116</v>
      </c>
      <c r="I41" s="11">
        <f t="shared" si="12"/>
        <v>608</v>
      </c>
      <c r="J41" s="11">
        <f t="shared" si="13"/>
        <v>0</v>
      </c>
      <c r="K41" s="12">
        <f t="shared" si="14"/>
        <v>1</v>
      </c>
      <c r="L41" s="13">
        <f>IF(G41=0,0,J41/G41*SUMIFS(Orders!$G$2:$G$2881,Orders!$B$2:$B$2881,B41,Orders!$I$2:$I$2881,C41))*Controls!$B$6</f>
        <v>0</v>
      </c>
      <c r="M41" s="6" t="str">
        <f t="shared" si="15"/>
        <v>HB0156|46</v>
      </c>
      <c r="N41" s="12">
        <f t="shared" si="16"/>
        <v>0</v>
      </c>
      <c r="O41" s="6"/>
      <c r="P41" s="6"/>
      <c r="Q41" s="6"/>
      <c r="R41" s="6"/>
      <c r="S41" s="6"/>
      <c r="T41" s="6"/>
    </row>
    <row r="42" spans="1:20">
      <c r="A42" s="6"/>
      <c r="B42" s="6" t="s">
        <v>68</v>
      </c>
      <c r="C42" s="6">
        <v>47</v>
      </c>
      <c r="D42" s="11">
        <f t="shared" si="9"/>
        <v>608</v>
      </c>
      <c r="E42" s="11">
        <f>SUMIFS(Production!$D$2:$D$337,Production!$A$2:$A$337,B42,Production!$B$2:$B$337,C42,Production!$C$2:$C$337,Controls!$B$7)</f>
        <v>0</v>
      </c>
      <c r="F42" s="11">
        <f t="shared" si="10"/>
        <v>608</v>
      </c>
      <c r="G42" s="11">
        <f>SUMIFS(Orders!$F$2:$F$2881,Orders!$B$2:$B$2881,B42,Orders!$I$2:$I$2881,C42)*Controls!$B$6</f>
        <v>37</v>
      </c>
      <c r="H42" s="11">
        <f t="shared" si="11"/>
        <v>37</v>
      </c>
      <c r="I42" s="11">
        <f t="shared" si="12"/>
        <v>571</v>
      </c>
      <c r="J42" s="11">
        <f t="shared" si="13"/>
        <v>0</v>
      </c>
      <c r="K42" s="12">
        <f t="shared" si="14"/>
        <v>1</v>
      </c>
      <c r="L42" s="13">
        <f>IF(G42=0,0,J42/G42*SUMIFS(Orders!$G$2:$G$2881,Orders!$B$2:$B$2881,B42,Orders!$I$2:$I$2881,C42))*Controls!$B$6</f>
        <v>0</v>
      </c>
      <c r="M42" s="6" t="str">
        <f t="shared" si="15"/>
        <v>HB0156|47</v>
      </c>
      <c r="N42" s="12">
        <f t="shared" si="16"/>
        <v>0</v>
      </c>
      <c r="O42" s="6"/>
      <c r="P42" s="6"/>
      <c r="Q42" s="6"/>
      <c r="R42" s="6"/>
      <c r="S42" s="6"/>
      <c r="T42" s="6"/>
    </row>
    <row r="43" spans="1:20">
      <c r="A43" s="6"/>
      <c r="B43" s="6" t="s">
        <v>68</v>
      </c>
      <c r="C43" s="6">
        <v>48</v>
      </c>
      <c r="D43" s="11">
        <f t="shared" si="9"/>
        <v>571</v>
      </c>
      <c r="E43" s="11">
        <f>SUMIFS(Production!$D$2:$D$337,Production!$A$2:$A$337,B43,Production!$B$2:$B$337,C43,Production!$C$2:$C$337,Controls!$B$7)</f>
        <v>0</v>
      </c>
      <c r="F43" s="11">
        <f t="shared" si="10"/>
        <v>571</v>
      </c>
      <c r="G43" s="11">
        <f>SUMIFS(Orders!$F$2:$F$2881,Orders!$B$2:$B$2881,B43,Orders!$I$2:$I$2881,C43)*Controls!$B$6</f>
        <v>41</v>
      </c>
      <c r="H43" s="11">
        <f t="shared" si="11"/>
        <v>41</v>
      </c>
      <c r="I43" s="11">
        <f t="shared" si="12"/>
        <v>530</v>
      </c>
      <c r="J43" s="11">
        <f t="shared" si="13"/>
        <v>0</v>
      </c>
      <c r="K43" s="12">
        <f t="shared" si="14"/>
        <v>1</v>
      </c>
      <c r="L43" s="13">
        <f>IF(G43=0,0,J43/G43*SUMIFS(Orders!$G$2:$G$2881,Orders!$B$2:$B$2881,B43,Orders!$I$2:$I$2881,C43))*Controls!$B$6</f>
        <v>0</v>
      </c>
      <c r="M43" s="6" t="str">
        <f t="shared" si="15"/>
        <v>HB0156|48</v>
      </c>
      <c r="N43" s="12">
        <f t="shared" si="16"/>
        <v>0</v>
      </c>
      <c r="O43" s="6"/>
      <c r="P43" s="6"/>
      <c r="Q43" s="6"/>
      <c r="R43" s="6"/>
      <c r="S43" s="6"/>
      <c r="T43" s="6"/>
    </row>
    <row r="44" spans="1:20">
      <c r="A44" s="6"/>
      <c r="B44" s="6" t="s">
        <v>68</v>
      </c>
      <c r="C44" s="6">
        <v>49</v>
      </c>
      <c r="D44" s="11">
        <f t="shared" si="9"/>
        <v>530</v>
      </c>
      <c r="E44" s="11">
        <f>SUMIFS(Production!$D$2:$D$337,Production!$A$2:$A$337,B44,Production!$B$2:$B$337,C44,Production!$C$2:$C$337,Controls!$B$7)</f>
        <v>0</v>
      </c>
      <c r="F44" s="11">
        <f t="shared" si="10"/>
        <v>530</v>
      </c>
      <c r="G44" s="11">
        <f>SUMIFS(Orders!$F$2:$F$2881,Orders!$B$2:$B$2881,B44,Orders!$I$2:$I$2881,C44)*Controls!$B$6</f>
        <v>6</v>
      </c>
      <c r="H44" s="11">
        <f t="shared" si="11"/>
        <v>6</v>
      </c>
      <c r="I44" s="11">
        <f t="shared" si="12"/>
        <v>524</v>
      </c>
      <c r="J44" s="11">
        <f t="shared" si="13"/>
        <v>0</v>
      </c>
      <c r="K44" s="12">
        <f t="shared" si="14"/>
        <v>1</v>
      </c>
      <c r="L44" s="13">
        <f>IF(G44=0,0,J44/G44*SUMIFS(Orders!$G$2:$G$2881,Orders!$B$2:$B$2881,B44,Orders!$I$2:$I$2881,C44))*Controls!$B$6</f>
        <v>0</v>
      </c>
      <c r="M44" s="6" t="str">
        <f t="shared" si="15"/>
        <v>HB0156|49</v>
      </c>
      <c r="N44" s="12">
        <f t="shared" si="16"/>
        <v>0</v>
      </c>
      <c r="O44" s="6"/>
      <c r="P44" s="6"/>
      <c r="Q44" s="6"/>
      <c r="R44" s="6"/>
      <c r="S44" s="6"/>
      <c r="T44" s="6"/>
    </row>
    <row r="45" spans="1:20">
      <c r="A45" s="6"/>
      <c r="B45" s="6" t="s">
        <v>68</v>
      </c>
      <c r="C45" s="6">
        <v>50</v>
      </c>
      <c r="D45" s="11">
        <f t="shared" si="9"/>
        <v>524</v>
      </c>
      <c r="E45" s="11">
        <f>SUMIFS(Production!$D$2:$D$337,Production!$A$2:$A$337,B45,Production!$B$2:$B$337,C45,Production!$C$2:$C$337,Controls!$B$7)</f>
        <v>0</v>
      </c>
      <c r="F45" s="11">
        <f t="shared" si="10"/>
        <v>524</v>
      </c>
      <c r="G45" s="11">
        <f>SUMIFS(Orders!$F$2:$F$2881,Orders!$B$2:$B$2881,B45,Orders!$I$2:$I$2881,C45)*Controls!$B$6</f>
        <v>73</v>
      </c>
      <c r="H45" s="11">
        <f t="shared" si="11"/>
        <v>73</v>
      </c>
      <c r="I45" s="11">
        <f t="shared" si="12"/>
        <v>451</v>
      </c>
      <c r="J45" s="11">
        <f t="shared" si="13"/>
        <v>0</v>
      </c>
      <c r="K45" s="12">
        <f t="shared" si="14"/>
        <v>1</v>
      </c>
      <c r="L45" s="13">
        <f>IF(G45=0,0,J45/G45*SUMIFS(Orders!$G$2:$G$2881,Orders!$B$2:$B$2881,B45,Orders!$I$2:$I$2881,C45))*Controls!$B$6</f>
        <v>0</v>
      </c>
      <c r="M45" s="6" t="str">
        <f t="shared" si="15"/>
        <v>HB0156|50</v>
      </c>
      <c r="N45" s="12">
        <f t="shared" si="16"/>
        <v>0</v>
      </c>
      <c r="O45" s="6"/>
      <c r="P45" s="6"/>
      <c r="Q45" s="6"/>
      <c r="R45" s="6"/>
      <c r="S45" s="6"/>
      <c r="T45" s="6"/>
    </row>
    <row r="46" spans="1:20">
      <c r="A46" s="6"/>
      <c r="B46" s="6" t="s">
        <v>68</v>
      </c>
      <c r="C46" s="6">
        <v>51</v>
      </c>
      <c r="D46" s="11">
        <f t="shared" si="9"/>
        <v>451</v>
      </c>
      <c r="E46" s="11">
        <f>SUMIFS(Production!$D$2:$D$337,Production!$A$2:$A$337,B46,Production!$B$2:$B$337,C46,Production!$C$2:$C$337,Controls!$B$7)</f>
        <v>0</v>
      </c>
      <c r="F46" s="11">
        <f t="shared" si="10"/>
        <v>451</v>
      </c>
      <c r="G46" s="11">
        <f>SUMIFS(Orders!$F$2:$F$2881,Orders!$B$2:$B$2881,B46,Orders!$I$2:$I$2881,C46)*Controls!$B$6</f>
        <v>126</v>
      </c>
      <c r="H46" s="11">
        <f t="shared" si="11"/>
        <v>126</v>
      </c>
      <c r="I46" s="11">
        <f t="shared" si="12"/>
        <v>325</v>
      </c>
      <c r="J46" s="11">
        <f t="shared" si="13"/>
        <v>0</v>
      </c>
      <c r="K46" s="12">
        <f t="shared" si="14"/>
        <v>1</v>
      </c>
      <c r="L46" s="13">
        <f>IF(G46=0,0,J46/G46*SUMIFS(Orders!$G$2:$G$2881,Orders!$B$2:$B$2881,B46,Orders!$I$2:$I$2881,C46))*Controls!$B$6</f>
        <v>0</v>
      </c>
      <c r="M46" s="6" t="str">
        <f t="shared" si="15"/>
        <v>HB0156|51</v>
      </c>
      <c r="N46" s="12">
        <f t="shared" si="16"/>
        <v>0</v>
      </c>
      <c r="O46" s="6"/>
      <c r="P46" s="6"/>
      <c r="Q46" s="6"/>
      <c r="R46" s="6"/>
      <c r="S46" s="6"/>
      <c r="T46" s="6"/>
    </row>
    <row r="47" spans="1:20">
      <c r="A47" s="6"/>
      <c r="B47" s="6" t="s">
        <v>68</v>
      </c>
      <c r="C47" s="6">
        <v>52</v>
      </c>
      <c r="D47" s="11">
        <f t="shared" si="9"/>
        <v>325</v>
      </c>
      <c r="E47" s="11">
        <f>SUMIFS(Production!$D$2:$D$337,Production!$A$2:$A$337,B47,Production!$B$2:$B$337,C47,Production!$C$2:$C$337,Controls!$B$7)</f>
        <v>0</v>
      </c>
      <c r="F47" s="11">
        <f t="shared" si="10"/>
        <v>325</v>
      </c>
      <c r="G47" s="11">
        <f>SUMIFS(Orders!$F$2:$F$2881,Orders!$B$2:$B$2881,B47,Orders!$I$2:$I$2881,C47)*Controls!$B$6</f>
        <v>63</v>
      </c>
      <c r="H47" s="11">
        <f t="shared" si="11"/>
        <v>63</v>
      </c>
      <c r="I47" s="11">
        <f t="shared" si="12"/>
        <v>262</v>
      </c>
      <c r="J47" s="11">
        <f t="shared" si="13"/>
        <v>0</v>
      </c>
      <c r="K47" s="12">
        <f t="shared" si="14"/>
        <v>1</v>
      </c>
      <c r="L47" s="13">
        <f>IF(G47=0,0,J47/G47*SUMIFS(Orders!$G$2:$G$2881,Orders!$B$2:$B$2881,B47,Orders!$I$2:$I$2881,C47))*Controls!$B$6</f>
        <v>0</v>
      </c>
      <c r="M47" s="6" t="str">
        <f t="shared" si="15"/>
        <v>HB0156|52</v>
      </c>
      <c r="N47" s="12">
        <f t="shared" si="16"/>
        <v>0</v>
      </c>
      <c r="O47" s="6"/>
      <c r="P47" s="6"/>
      <c r="Q47" s="6"/>
      <c r="R47" s="6"/>
      <c r="S47" s="6"/>
      <c r="T47" s="6"/>
    </row>
    <row r="48" spans="1:20">
      <c r="A48" s="6"/>
      <c r="B48" s="6" t="s">
        <v>69</v>
      </c>
      <c r="C48" s="6">
        <v>39</v>
      </c>
      <c r="D48" s="11">
        <f>SUMIFS(Products!$D$2:$D$13,Products!$B$2:$B$13,B48)</f>
        <v>4974</v>
      </c>
      <c r="E48" s="11">
        <f>SUMIFS(Production!$D$2:$D$337,Production!$A$2:$A$337,B48,Production!$B$2:$B$337,C48,Production!$C$2:$C$337,Controls!$B$7)</f>
        <v>0</v>
      </c>
      <c r="F48" s="11">
        <f t="shared" si="10"/>
        <v>4974</v>
      </c>
      <c r="G48" s="11">
        <f>SUMIFS(Orders!$F$2:$F$2881,Orders!$B$2:$B$2881,B48,Orders!$I$2:$I$2881,C48)*Controls!$B$6</f>
        <v>0</v>
      </c>
      <c r="H48" s="11">
        <f t="shared" si="11"/>
        <v>0</v>
      </c>
      <c r="I48" s="11">
        <f t="shared" si="12"/>
        <v>4974</v>
      </c>
      <c r="J48" s="11">
        <f t="shared" si="13"/>
        <v>0</v>
      </c>
      <c r="K48" s="12" t="str">
        <f t="shared" si="14"/>
        <v>n.a.</v>
      </c>
      <c r="L48" s="13">
        <f>IF(G48=0,0,J48/G48*SUMIFS(Orders!$G$2:$G$2881,Orders!$B$2:$B$2881,B48,Orders!$I$2:$I$2881,C48))*Controls!$B$6</f>
        <v>0</v>
      </c>
      <c r="M48" s="6" t="str">
        <f t="shared" si="15"/>
        <v>HB1016|39</v>
      </c>
      <c r="N48" s="12">
        <f t="shared" si="16"/>
        <v>0</v>
      </c>
      <c r="O48" s="6"/>
      <c r="P48" s="6"/>
      <c r="Q48" s="6"/>
      <c r="R48" s="6"/>
      <c r="S48" s="6"/>
      <c r="T48" s="6"/>
    </row>
    <row r="49" spans="1:20">
      <c r="A49" s="6"/>
      <c r="B49" s="6" t="s">
        <v>69</v>
      </c>
      <c r="C49" s="6">
        <v>40</v>
      </c>
      <c r="D49" s="11">
        <f t="shared" ref="D49:D61" si="17">I48</f>
        <v>4974</v>
      </c>
      <c r="E49" s="11">
        <f>SUMIFS(Production!$D$2:$D$337,Production!$A$2:$A$337,B49,Production!$B$2:$B$337,C49,Production!$C$2:$C$337,Controls!$B$7)</f>
        <v>0</v>
      </c>
      <c r="F49" s="11">
        <f t="shared" si="10"/>
        <v>4974</v>
      </c>
      <c r="G49" s="11">
        <f>SUMIFS(Orders!$F$2:$F$2881,Orders!$B$2:$B$2881,B49,Orders!$I$2:$I$2881,C49)*Controls!$B$6</f>
        <v>1748</v>
      </c>
      <c r="H49" s="11">
        <f t="shared" si="11"/>
        <v>1748</v>
      </c>
      <c r="I49" s="11">
        <f t="shared" si="12"/>
        <v>3226</v>
      </c>
      <c r="J49" s="11">
        <f t="shared" si="13"/>
        <v>0</v>
      </c>
      <c r="K49" s="12">
        <f t="shared" si="14"/>
        <v>1</v>
      </c>
      <c r="L49" s="13">
        <f>IF(G49=0,0,J49/G49*SUMIFS(Orders!$G$2:$G$2881,Orders!$B$2:$B$2881,B49,Orders!$I$2:$I$2881,C49))*Controls!$B$6</f>
        <v>0</v>
      </c>
      <c r="M49" s="6" t="str">
        <f t="shared" si="15"/>
        <v>HB1016|40</v>
      </c>
      <c r="N49" s="12">
        <f t="shared" si="16"/>
        <v>0</v>
      </c>
      <c r="O49" s="6"/>
      <c r="P49" s="6"/>
      <c r="Q49" s="6"/>
      <c r="R49" s="6"/>
      <c r="S49" s="6"/>
      <c r="T49" s="6"/>
    </row>
    <row r="50" spans="1:20">
      <c r="A50" s="6"/>
      <c r="B50" s="6" t="s">
        <v>69</v>
      </c>
      <c r="C50" s="6">
        <v>41</v>
      </c>
      <c r="D50" s="11">
        <f t="shared" si="17"/>
        <v>3226</v>
      </c>
      <c r="E50" s="11">
        <f>SUMIFS(Production!$D$2:$D$337,Production!$A$2:$A$337,B50,Production!$B$2:$B$337,C50,Production!$C$2:$C$337,Controls!$B$7)</f>
        <v>2000</v>
      </c>
      <c r="F50" s="11">
        <f t="shared" si="10"/>
        <v>5226</v>
      </c>
      <c r="G50" s="11">
        <f>SUMIFS(Orders!$F$2:$F$2881,Orders!$B$2:$B$2881,B50,Orders!$I$2:$I$2881,C50)*Controls!$B$6</f>
        <v>1667</v>
      </c>
      <c r="H50" s="11">
        <f t="shared" si="11"/>
        <v>1667</v>
      </c>
      <c r="I50" s="11">
        <f t="shared" si="12"/>
        <v>3559</v>
      </c>
      <c r="J50" s="11">
        <f t="shared" si="13"/>
        <v>0</v>
      </c>
      <c r="K50" s="12">
        <f t="shared" si="14"/>
        <v>1</v>
      </c>
      <c r="L50" s="13">
        <f>IF(G50=0,0,J50/G50*SUMIFS(Orders!$G$2:$G$2881,Orders!$B$2:$B$2881,B50,Orders!$I$2:$I$2881,C50))*Controls!$B$6</f>
        <v>0</v>
      </c>
      <c r="M50" s="6" t="str">
        <f t="shared" si="15"/>
        <v>HB1016|41</v>
      </c>
      <c r="N50" s="12">
        <f t="shared" si="16"/>
        <v>0</v>
      </c>
      <c r="O50" s="6"/>
      <c r="P50" s="6"/>
      <c r="Q50" s="6"/>
      <c r="R50" s="6"/>
      <c r="S50" s="6"/>
      <c r="T50" s="6"/>
    </row>
    <row r="51" spans="1:20">
      <c r="A51" s="6"/>
      <c r="B51" s="6" t="s">
        <v>69</v>
      </c>
      <c r="C51" s="6">
        <v>42</v>
      </c>
      <c r="D51" s="11">
        <f t="shared" si="17"/>
        <v>3559</v>
      </c>
      <c r="E51" s="11">
        <f>SUMIFS(Production!$D$2:$D$337,Production!$A$2:$A$337,B51,Production!$B$2:$B$337,C51,Production!$C$2:$C$337,Controls!$B$7)</f>
        <v>1000</v>
      </c>
      <c r="F51" s="11">
        <f t="shared" si="10"/>
        <v>4559</v>
      </c>
      <c r="G51" s="11">
        <f>SUMIFS(Orders!$F$2:$F$2881,Orders!$B$2:$B$2881,B51,Orders!$I$2:$I$2881,C51)*Controls!$B$6</f>
        <v>2726</v>
      </c>
      <c r="H51" s="11">
        <f t="shared" si="11"/>
        <v>2726</v>
      </c>
      <c r="I51" s="11">
        <f t="shared" si="12"/>
        <v>1833</v>
      </c>
      <c r="J51" s="11">
        <f t="shared" si="13"/>
        <v>0</v>
      </c>
      <c r="K51" s="12">
        <f t="shared" si="14"/>
        <v>1</v>
      </c>
      <c r="L51" s="13">
        <f>IF(G51=0,0,J51/G51*SUMIFS(Orders!$G$2:$G$2881,Orders!$B$2:$B$2881,B51,Orders!$I$2:$I$2881,C51))*Controls!$B$6</f>
        <v>0</v>
      </c>
      <c r="M51" s="6" t="str">
        <f t="shared" si="15"/>
        <v>HB1016|42</v>
      </c>
      <c r="N51" s="12">
        <f t="shared" si="16"/>
        <v>0</v>
      </c>
      <c r="O51" s="6"/>
      <c r="P51" s="6"/>
      <c r="Q51" s="6"/>
      <c r="R51" s="6"/>
      <c r="S51" s="6"/>
      <c r="T51" s="6"/>
    </row>
    <row r="52" spans="1:20">
      <c r="A52" s="6"/>
      <c r="B52" s="6" t="s">
        <v>69</v>
      </c>
      <c r="C52" s="6">
        <v>43</v>
      </c>
      <c r="D52" s="11">
        <f t="shared" si="17"/>
        <v>1833</v>
      </c>
      <c r="E52" s="11">
        <f>SUMIFS(Production!$D$2:$D$337,Production!$A$2:$A$337,B52,Production!$B$2:$B$337,C52,Production!$C$2:$C$337,Controls!$B$7)</f>
        <v>3000</v>
      </c>
      <c r="F52" s="11">
        <f t="shared" si="10"/>
        <v>4833</v>
      </c>
      <c r="G52" s="11">
        <f>SUMIFS(Orders!$F$2:$F$2881,Orders!$B$2:$B$2881,B52,Orders!$I$2:$I$2881,C52)*Controls!$B$6</f>
        <v>1370</v>
      </c>
      <c r="H52" s="11">
        <f t="shared" si="11"/>
        <v>1370</v>
      </c>
      <c r="I52" s="11">
        <f t="shared" si="12"/>
        <v>3463</v>
      </c>
      <c r="J52" s="11">
        <f t="shared" si="13"/>
        <v>0</v>
      </c>
      <c r="K52" s="12">
        <f t="shared" si="14"/>
        <v>1</v>
      </c>
      <c r="L52" s="13">
        <f>IF(G52=0,0,J52/G52*SUMIFS(Orders!$G$2:$G$2881,Orders!$B$2:$B$2881,B52,Orders!$I$2:$I$2881,C52))*Controls!$B$6</f>
        <v>0</v>
      </c>
      <c r="M52" s="6" t="str">
        <f t="shared" si="15"/>
        <v>HB1016|43</v>
      </c>
      <c r="N52" s="12">
        <f t="shared" si="16"/>
        <v>0</v>
      </c>
      <c r="O52" s="6"/>
      <c r="P52" s="6"/>
      <c r="Q52" s="6"/>
      <c r="R52" s="6"/>
      <c r="S52" s="6"/>
      <c r="T52" s="6"/>
    </row>
    <row r="53" spans="1:20">
      <c r="A53" s="6"/>
      <c r="B53" s="6" t="s">
        <v>69</v>
      </c>
      <c r="C53" s="6">
        <v>44</v>
      </c>
      <c r="D53" s="11">
        <f t="shared" si="17"/>
        <v>3463</v>
      </c>
      <c r="E53" s="11">
        <f>SUMIFS(Production!$D$2:$D$337,Production!$A$2:$A$337,B53,Production!$B$2:$B$337,C53,Production!$C$2:$C$337,Controls!$B$7)</f>
        <v>1000</v>
      </c>
      <c r="F53" s="11">
        <f t="shared" si="10"/>
        <v>4463</v>
      </c>
      <c r="G53" s="11">
        <f>SUMIFS(Orders!$F$2:$F$2881,Orders!$B$2:$B$2881,B53,Orders!$I$2:$I$2881,C53)*Controls!$B$6</f>
        <v>2666</v>
      </c>
      <c r="H53" s="11">
        <f t="shared" si="11"/>
        <v>2666</v>
      </c>
      <c r="I53" s="11">
        <f t="shared" si="12"/>
        <v>1797</v>
      </c>
      <c r="J53" s="11">
        <f t="shared" si="13"/>
        <v>0</v>
      </c>
      <c r="K53" s="12">
        <f t="shared" si="14"/>
        <v>1</v>
      </c>
      <c r="L53" s="13">
        <f>IF(G53=0,0,J53/G53*SUMIFS(Orders!$G$2:$G$2881,Orders!$B$2:$B$2881,B53,Orders!$I$2:$I$2881,C53))*Controls!$B$6</f>
        <v>0</v>
      </c>
      <c r="M53" s="6" t="str">
        <f t="shared" si="15"/>
        <v>HB1016|44</v>
      </c>
      <c r="N53" s="12">
        <f t="shared" si="16"/>
        <v>0</v>
      </c>
      <c r="O53" s="6"/>
      <c r="P53" s="6"/>
      <c r="Q53" s="6"/>
      <c r="R53" s="6"/>
      <c r="S53" s="6"/>
      <c r="T53" s="6"/>
    </row>
    <row r="54" spans="1:20">
      <c r="A54" s="6"/>
      <c r="B54" s="6" t="s">
        <v>69</v>
      </c>
      <c r="C54" s="6">
        <v>45</v>
      </c>
      <c r="D54" s="11">
        <f t="shared" si="17"/>
        <v>1797</v>
      </c>
      <c r="E54" s="11">
        <f>SUMIFS(Production!$D$2:$D$337,Production!$A$2:$A$337,B54,Production!$B$2:$B$337,C54,Production!$C$2:$C$337,Controls!$B$7)</f>
        <v>4000</v>
      </c>
      <c r="F54" s="11">
        <f t="shared" si="10"/>
        <v>5797</v>
      </c>
      <c r="G54" s="11">
        <f>SUMIFS(Orders!$F$2:$F$2881,Orders!$B$2:$B$2881,B54,Orders!$I$2:$I$2881,C54)*Controls!$B$6</f>
        <v>1486</v>
      </c>
      <c r="H54" s="11">
        <f t="shared" si="11"/>
        <v>1486</v>
      </c>
      <c r="I54" s="11">
        <f t="shared" si="12"/>
        <v>4311</v>
      </c>
      <c r="J54" s="11">
        <f t="shared" si="13"/>
        <v>0</v>
      </c>
      <c r="K54" s="12">
        <f t="shared" si="14"/>
        <v>1</v>
      </c>
      <c r="L54" s="13">
        <f>IF(G54=0,0,J54/G54*SUMIFS(Orders!$G$2:$G$2881,Orders!$B$2:$B$2881,B54,Orders!$I$2:$I$2881,C54))*Controls!$B$6</f>
        <v>0</v>
      </c>
      <c r="M54" s="6" t="str">
        <f t="shared" si="15"/>
        <v>HB1016|45</v>
      </c>
      <c r="N54" s="12">
        <f t="shared" si="16"/>
        <v>0</v>
      </c>
      <c r="O54" s="6"/>
      <c r="P54" s="6"/>
      <c r="Q54" s="6"/>
      <c r="R54" s="6"/>
      <c r="S54" s="6"/>
      <c r="T54" s="6"/>
    </row>
    <row r="55" spans="1:20">
      <c r="A55" s="6"/>
      <c r="B55" s="6" t="s">
        <v>69</v>
      </c>
      <c r="C55" s="6">
        <v>46</v>
      </c>
      <c r="D55" s="11">
        <f t="shared" si="17"/>
        <v>4311</v>
      </c>
      <c r="E55" s="11">
        <f>SUMIFS(Production!$D$2:$D$337,Production!$A$2:$A$337,B55,Production!$B$2:$B$337,C55,Production!$C$2:$C$337,Controls!$B$7)</f>
        <v>2000</v>
      </c>
      <c r="F55" s="11">
        <f t="shared" si="10"/>
        <v>6311</v>
      </c>
      <c r="G55" s="11">
        <f>SUMIFS(Orders!$F$2:$F$2881,Orders!$B$2:$B$2881,B55,Orders!$I$2:$I$2881,C55)*Controls!$B$6</f>
        <v>3687</v>
      </c>
      <c r="H55" s="11">
        <f t="shared" si="11"/>
        <v>3687</v>
      </c>
      <c r="I55" s="11">
        <f t="shared" si="12"/>
        <v>2624</v>
      </c>
      <c r="J55" s="11">
        <f t="shared" si="13"/>
        <v>0</v>
      </c>
      <c r="K55" s="12">
        <f t="shared" si="14"/>
        <v>1</v>
      </c>
      <c r="L55" s="13">
        <f>IF(G55=0,0,J55/G55*SUMIFS(Orders!$G$2:$G$2881,Orders!$B$2:$B$2881,B55,Orders!$I$2:$I$2881,C55))*Controls!$B$6</f>
        <v>0</v>
      </c>
      <c r="M55" s="6" t="str">
        <f t="shared" si="15"/>
        <v>HB1016|46</v>
      </c>
      <c r="N55" s="12">
        <f t="shared" si="16"/>
        <v>0</v>
      </c>
      <c r="O55" s="6"/>
      <c r="P55" s="6"/>
      <c r="Q55" s="6"/>
      <c r="R55" s="6"/>
      <c r="S55" s="6"/>
      <c r="T55" s="6"/>
    </row>
    <row r="56" spans="1:20">
      <c r="A56" s="6"/>
      <c r="B56" s="6" t="s">
        <v>69</v>
      </c>
      <c r="C56" s="6">
        <v>47</v>
      </c>
      <c r="D56" s="11">
        <f t="shared" si="17"/>
        <v>2624</v>
      </c>
      <c r="E56" s="11">
        <f>SUMIFS(Production!$D$2:$D$337,Production!$A$2:$A$337,B56,Production!$B$2:$B$337,C56,Production!$C$2:$C$337,Controls!$B$7)</f>
        <v>2000</v>
      </c>
      <c r="F56" s="11">
        <f t="shared" si="10"/>
        <v>4624</v>
      </c>
      <c r="G56" s="11">
        <f>SUMIFS(Orders!$F$2:$F$2881,Orders!$B$2:$B$2881,B56,Orders!$I$2:$I$2881,C56)*Controls!$B$6</f>
        <v>2181</v>
      </c>
      <c r="H56" s="11">
        <f t="shared" si="11"/>
        <v>2181</v>
      </c>
      <c r="I56" s="11">
        <f t="shared" si="12"/>
        <v>2443</v>
      </c>
      <c r="J56" s="11">
        <f t="shared" si="13"/>
        <v>0</v>
      </c>
      <c r="K56" s="12">
        <f t="shared" si="14"/>
        <v>1</v>
      </c>
      <c r="L56" s="13">
        <f>IF(G56=0,0,J56/G56*SUMIFS(Orders!$G$2:$G$2881,Orders!$B$2:$B$2881,B56,Orders!$I$2:$I$2881,C56))*Controls!$B$6</f>
        <v>0</v>
      </c>
      <c r="M56" s="6" t="str">
        <f t="shared" si="15"/>
        <v>HB1016|47</v>
      </c>
      <c r="N56" s="12">
        <f t="shared" si="16"/>
        <v>0</v>
      </c>
      <c r="O56" s="6"/>
      <c r="P56" s="6"/>
      <c r="Q56" s="6"/>
      <c r="R56" s="6"/>
      <c r="S56" s="6"/>
      <c r="T56" s="6"/>
    </row>
    <row r="57" spans="1:20">
      <c r="A57" s="6"/>
      <c r="B57" s="6" t="s">
        <v>69</v>
      </c>
      <c r="C57" s="6">
        <v>48</v>
      </c>
      <c r="D57" s="11">
        <f t="shared" si="17"/>
        <v>2443</v>
      </c>
      <c r="E57" s="11">
        <f>SUMIFS(Production!$D$2:$D$337,Production!$A$2:$A$337,B57,Production!$B$2:$B$337,C57,Production!$C$2:$C$337,Controls!$B$7)</f>
        <v>3000</v>
      </c>
      <c r="F57" s="11">
        <f t="shared" si="10"/>
        <v>5443</v>
      </c>
      <c r="G57" s="11">
        <f>SUMIFS(Orders!$F$2:$F$2881,Orders!$B$2:$B$2881,B57,Orders!$I$2:$I$2881,C57)*Controls!$B$6</f>
        <v>2359</v>
      </c>
      <c r="H57" s="11">
        <f t="shared" si="11"/>
        <v>2359</v>
      </c>
      <c r="I57" s="11">
        <f t="shared" si="12"/>
        <v>3084</v>
      </c>
      <c r="J57" s="11">
        <f t="shared" si="13"/>
        <v>0</v>
      </c>
      <c r="K57" s="12">
        <f t="shared" si="14"/>
        <v>1</v>
      </c>
      <c r="L57" s="13">
        <f>IF(G57=0,0,J57/G57*SUMIFS(Orders!$G$2:$G$2881,Orders!$B$2:$B$2881,B57,Orders!$I$2:$I$2881,C57))*Controls!$B$6</f>
        <v>0</v>
      </c>
      <c r="M57" s="6" t="str">
        <f t="shared" si="15"/>
        <v>HB1016|48</v>
      </c>
      <c r="N57" s="12">
        <f t="shared" si="16"/>
        <v>0</v>
      </c>
      <c r="O57" s="6"/>
      <c r="P57" s="6"/>
      <c r="Q57" s="6"/>
      <c r="R57" s="6"/>
      <c r="S57" s="6"/>
      <c r="T57" s="6"/>
    </row>
    <row r="58" spans="1:20">
      <c r="A58" s="6"/>
      <c r="B58" s="6" t="s">
        <v>69</v>
      </c>
      <c r="C58" s="6">
        <v>49</v>
      </c>
      <c r="D58" s="11">
        <f t="shared" si="17"/>
        <v>3084</v>
      </c>
      <c r="E58" s="11">
        <f>SUMIFS(Production!$D$2:$D$337,Production!$A$2:$A$337,B58,Production!$B$2:$B$337,C58,Production!$C$2:$C$337,Controls!$B$7)</f>
        <v>3000</v>
      </c>
      <c r="F58" s="11">
        <f t="shared" si="10"/>
        <v>6084</v>
      </c>
      <c r="G58" s="11">
        <f>SUMIFS(Orders!$F$2:$F$2881,Orders!$B$2:$B$2881,B58,Orders!$I$2:$I$2881,C58)*Controls!$B$6</f>
        <v>2771</v>
      </c>
      <c r="H58" s="11">
        <f t="shared" si="11"/>
        <v>2771</v>
      </c>
      <c r="I58" s="11">
        <f t="shared" si="12"/>
        <v>3313</v>
      </c>
      <c r="J58" s="11">
        <f t="shared" si="13"/>
        <v>0</v>
      </c>
      <c r="K58" s="12">
        <f t="shared" si="14"/>
        <v>1</v>
      </c>
      <c r="L58" s="13">
        <f>IF(G58=0,0,J58/G58*SUMIFS(Orders!$G$2:$G$2881,Orders!$B$2:$B$2881,B58,Orders!$I$2:$I$2881,C58))*Controls!$B$6</f>
        <v>0</v>
      </c>
      <c r="M58" s="6" t="str">
        <f t="shared" si="15"/>
        <v>HB1016|49</v>
      </c>
      <c r="N58" s="12">
        <f t="shared" si="16"/>
        <v>0</v>
      </c>
      <c r="O58" s="6"/>
      <c r="P58" s="6"/>
      <c r="Q58" s="6"/>
      <c r="R58" s="6"/>
      <c r="S58" s="6"/>
      <c r="T58" s="6"/>
    </row>
    <row r="59" spans="1:20">
      <c r="A59" s="6"/>
      <c r="B59" s="6" t="s">
        <v>69</v>
      </c>
      <c r="C59" s="6">
        <v>50</v>
      </c>
      <c r="D59" s="11">
        <f t="shared" si="17"/>
        <v>3313</v>
      </c>
      <c r="E59" s="11">
        <f>SUMIFS(Production!$D$2:$D$337,Production!$A$2:$A$337,B59,Production!$B$2:$B$337,C59,Production!$C$2:$C$337,Controls!$B$7)</f>
        <v>3000</v>
      </c>
      <c r="F59" s="11">
        <f t="shared" si="10"/>
        <v>6313</v>
      </c>
      <c r="G59" s="11">
        <f>SUMIFS(Orders!$F$2:$F$2881,Orders!$B$2:$B$2881,B59,Orders!$I$2:$I$2881,C59)*Controls!$B$6</f>
        <v>3154</v>
      </c>
      <c r="H59" s="11">
        <f t="shared" si="11"/>
        <v>3154</v>
      </c>
      <c r="I59" s="11">
        <f t="shared" si="12"/>
        <v>3159</v>
      </c>
      <c r="J59" s="11">
        <f t="shared" si="13"/>
        <v>0</v>
      </c>
      <c r="K59" s="12">
        <f t="shared" si="14"/>
        <v>1</v>
      </c>
      <c r="L59" s="13">
        <f>IF(G59=0,0,J59/G59*SUMIFS(Orders!$G$2:$G$2881,Orders!$B$2:$B$2881,B59,Orders!$I$2:$I$2881,C59))*Controls!$B$6</f>
        <v>0</v>
      </c>
      <c r="M59" s="6" t="str">
        <f t="shared" si="15"/>
        <v>HB1016|50</v>
      </c>
      <c r="N59" s="12">
        <f t="shared" si="16"/>
        <v>0</v>
      </c>
      <c r="O59" s="6"/>
      <c r="P59" s="6"/>
      <c r="Q59" s="6"/>
      <c r="R59" s="6"/>
      <c r="S59" s="6"/>
      <c r="T59" s="6"/>
    </row>
    <row r="60" spans="1:20">
      <c r="A60" s="6"/>
      <c r="B60" s="6" t="s">
        <v>69</v>
      </c>
      <c r="C60" s="6">
        <v>51</v>
      </c>
      <c r="D60" s="11">
        <f t="shared" si="17"/>
        <v>3159</v>
      </c>
      <c r="E60" s="11">
        <f>SUMIFS(Production!$D$2:$D$337,Production!$A$2:$A$337,B60,Production!$B$2:$B$337,C60,Production!$C$2:$C$337,Controls!$B$7)</f>
        <v>1000</v>
      </c>
      <c r="F60" s="11">
        <f t="shared" si="10"/>
        <v>4159</v>
      </c>
      <c r="G60" s="11">
        <f>SUMIFS(Orders!$F$2:$F$2881,Orders!$B$2:$B$2881,B60,Orders!$I$2:$I$2881,C60)*Controls!$B$6</f>
        <v>2445</v>
      </c>
      <c r="H60" s="11">
        <f t="shared" si="11"/>
        <v>2445</v>
      </c>
      <c r="I60" s="11">
        <f t="shared" si="12"/>
        <v>1714</v>
      </c>
      <c r="J60" s="11">
        <f t="shared" si="13"/>
        <v>0</v>
      </c>
      <c r="K60" s="12">
        <f t="shared" si="14"/>
        <v>1</v>
      </c>
      <c r="L60" s="13">
        <f>IF(G60=0,0,J60/G60*SUMIFS(Orders!$G$2:$G$2881,Orders!$B$2:$B$2881,B60,Orders!$I$2:$I$2881,C60))*Controls!$B$6</f>
        <v>0</v>
      </c>
      <c r="M60" s="6" t="str">
        <f t="shared" si="15"/>
        <v>HB1016|51</v>
      </c>
      <c r="N60" s="12">
        <f t="shared" si="16"/>
        <v>0</v>
      </c>
      <c r="O60" s="6"/>
      <c r="P60" s="6"/>
      <c r="Q60" s="6"/>
      <c r="R60" s="6"/>
      <c r="S60" s="6"/>
      <c r="T60" s="6"/>
    </row>
    <row r="61" spans="1:20">
      <c r="A61" s="6"/>
      <c r="B61" s="6" t="s">
        <v>69</v>
      </c>
      <c r="C61" s="6">
        <v>52</v>
      </c>
      <c r="D61" s="11">
        <f t="shared" si="17"/>
        <v>1714</v>
      </c>
      <c r="E61" s="11">
        <f>SUMIFS(Production!$D$2:$D$337,Production!$A$2:$A$337,B61,Production!$B$2:$B$337,C61,Production!$C$2:$C$337,Controls!$B$7)</f>
        <v>0</v>
      </c>
      <c r="F61" s="11">
        <f t="shared" si="10"/>
        <v>1714</v>
      </c>
      <c r="G61" s="11">
        <f>SUMIFS(Orders!$F$2:$F$2881,Orders!$B$2:$B$2881,B61,Orders!$I$2:$I$2881,C61)*Controls!$B$6</f>
        <v>1582</v>
      </c>
      <c r="H61" s="11">
        <f t="shared" si="11"/>
        <v>1582</v>
      </c>
      <c r="I61" s="11">
        <f t="shared" si="12"/>
        <v>132</v>
      </c>
      <c r="J61" s="11">
        <f t="shared" si="13"/>
        <v>0</v>
      </c>
      <c r="K61" s="12">
        <f t="shared" si="14"/>
        <v>1</v>
      </c>
      <c r="L61" s="13">
        <f>IF(G61=0,0,J61/G61*SUMIFS(Orders!$G$2:$G$2881,Orders!$B$2:$B$2881,B61,Orders!$I$2:$I$2881,C61))*Controls!$B$6</f>
        <v>0</v>
      </c>
      <c r="M61" s="6" t="str">
        <f t="shared" si="15"/>
        <v>HB1016|52</v>
      </c>
      <c r="N61" s="12">
        <f t="shared" si="16"/>
        <v>0</v>
      </c>
      <c r="O61" s="6"/>
      <c r="P61" s="6"/>
      <c r="Q61" s="6"/>
      <c r="R61" s="6"/>
      <c r="S61" s="6"/>
      <c r="T61" s="6"/>
    </row>
    <row r="62" spans="1:20">
      <c r="A62" s="6"/>
      <c r="B62" s="6" t="s">
        <v>70</v>
      </c>
      <c r="C62" s="6">
        <v>39</v>
      </c>
      <c r="D62" s="11">
        <f>SUMIFS(Products!$D$2:$D$13,Products!$B$2:$B$13,B62)</f>
        <v>121</v>
      </c>
      <c r="E62" s="11">
        <f>SUMIFS(Production!$D$2:$D$337,Production!$A$2:$A$337,B62,Production!$B$2:$B$337,C62,Production!$C$2:$C$337,Controls!$B$7)</f>
        <v>1000</v>
      </c>
      <c r="F62" s="11">
        <f t="shared" si="10"/>
        <v>1121</v>
      </c>
      <c r="G62" s="11">
        <f>SUMIFS(Orders!$F$2:$F$2881,Orders!$B$2:$B$2881,B62,Orders!$I$2:$I$2881,C62)*Controls!$B$6</f>
        <v>0</v>
      </c>
      <c r="H62" s="11">
        <f t="shared" si="11"/>
        <v>0</v>
      </c>
      <c r="I62" s="11">
        <f t="shared" si="12"/>
        <v>1121</v>
      </c>
      <c r="J62" s="11">
        <f t="shared" si="13"/>
        <v>0</v>
      </c>
      <c r="K62" s="12" t="str">
        <f t="shared" si="14"/>
        <v>n.a.</v>
      </c>
      <c r="L62" s="13">
        <f>IF(G62=0,0,J62/G62*SUMIFS(Orders!$G$2:$G$2881,Orders!$B$2:$B$2881,B62,Orders!$I$2:$I$2881,C62))*Controls!$B$6</f>
        <v>0</v>
      </c>
      <c r="M62" s="6" t="str">
        <f t="shared" si="15"/>
        <v>HT1045|39</v>
      </c>
      <c r="N62" s="12">
        <f t="shared" si="16"/>
        <v>0</v>
      </c>
      <c r="O62" s="6"/>
      <c r="P62" s="6"/>
      <c r="Q62" s="6"/>
      <c r="R62" s="6"/>
      <c r="S62" s="6"/>
      <c r="T62" s="6"/>
    </row>
    <row r="63" spans="1:20">
      <c r="A63" s="6"/>
      <c r="B63" s="6" t="s">
        <v>70</v>
      </c>
      <c r="C63" s="6">
        <v>40</v>
      </c>
      <c r="D63" s="11">
        <f t="shared" ref="D63:D75" si="18">I62</f>
        <v>1121</v>
      </c>
      <c r="E63" s="11">
        <f>SUMIFS(Production!$D$2:$D$337,Production!$A$2:$A$337,B63,Production!$B$2:$B$337,C63,Production!$C$2:$C$337,Controls!$B$7)</f>
        <v>0</v>
      </c>
      <c r="F63" s="11">
        <f t="shared" si="10"/>
        <v>1121</v>
      </c>
      <c r="G63" s="11">
        <f>SUMIFS(Orders!$F$2:$F$2881,Orders!$B$2:$B$2881,B63,Orders!$I$2:$I$2881,C63)*Controls!$B$6</f>
        <v>128</v>
      </c>
      <c r="H63" s="11">
        <f t="shared" si="11"/>
        <v>128</v>
      </c>
      <c r="I63" s="11">
        <f t="shared" si="12"/>
        <v>993</v>
      </c>
      <c r="J63" s="11">
        <f t="shared" si="13"/>
        <v>0</v>
      </c>
      <c r="K63" s="12">
        <f t="shared" si="14"/>
        <v>1</v>
      </c>
      <c r="L63" s="13">
        <f>IF(G63=0,0,J63/G63*SUMIFS(Orders!$G$2:$G$2881,Orders!$B$2:$B$2881,B63,Orders!$I$2:$I$2881,C63))*Controls!$B$6</f>
        <v>0</v>
      </c>
      <c r="M63" s="6" t="str">
        <f t="shared" si="15"/>
        <v>HT1045|40</v>
      </c>
      <c r="N63" s="12">
        <f t="shared" si="16"/>
        <v>0</v>
      </c>
      <c r="O63" s="6"/>
      <c r="P63" s="6"/>
      <c r="Q63" s="6"/>
      <c r="R63" s="6"/>
      <c r="S63" s="6"/>
      <c r="T63" s="6"/>
    </row>
    <row r="64" spans="1:20">
      <c r="A64" s="6"/>
      <c r="B64" s="6" t="s">
        <v>70</v>
      </c>
      <c r="C64" s="6">
        <v>41</v>
      </c>
      <c r="D64" s="11">
        <f t="shared" si="18"/>
        <v>993</v>
      </c>
      <c r="E64" s="11">
        <f>SUMIFS(Production!$D$2:$D$337,Production!$A$2:$A$337,B64,Production!$B$2:$B$337,C64,Production!$C$2:$C$337,Controls!$B$7)</f>
        <v>0</v>
      </c>
      <c r="F64" s="11">
        <f t="shared" si="10"/>
        <v>993</v>
      </c>
      <c r="G64" s="11">
        <f>SUMIFS(Orders!$F$2:$F$2881,Orders!$B$2:$B$2881,B64,Orders!$I$2:$I$2881,C64)*Controls!$B$6</f>
        <v>51</v>
      </c>
      <c r="H64" s="11">
        <f t="shared" si="11"/>
        <v>51</v>
      </c>
      <c r="I64" s="11">
        <f t="shared" si="12"/>
        <v>942</v>
      </c>
      <c r="J64" s="11">
        <f t="shared" si="13"/>
        <v>0</v>
      </c>
      <c r="K64" s="12">
        <f t="shared" si="14"/>
        <v>1</v>
      </c>
      <c r="L64" s="13">
        <f>IF(G64=0,0,J64/G64*SUMIFS(Orders!$G$2:$G$2881,Orders!$B$2:$B$2881,B64,Orders!$I$2:$I$2881,C64))*Controls!$B$6</f>
        <v>0</v>
      </c>
      <c r="M64" s="6" t="str">
        <f t="shared" si="15"/>
        <v>HT1045|41</v>
      </c>
      <c r="N64" s="12">
        <f t="shared" si="16"/>
        <v>0</v>
      </c>
      <c r="O64" s="6"/>
      <c r="P64" s="6"/>
      <c r="Q64" s="6"/>
      <c r="R64" s="6"/>
      <c r="S64" s="6"/>
      <c r="T64" s="6"/>
    </row>
    <row r="65" spans="1:20">
      <c r="A65" s="6"/>
      <c r="B65" s="6" t="s">
        <v>70</v>
      </c>
      <c r="C65" s="6">
        <v>42</v>
      </c>
      <c r="D65" s="11">
        <f t="shared" si="18"/>
        <v>942</v>
      </c>
      <c r="E65" s="11">
        <f>SUMIFS(Production!$D$2:$D$337,Production!$A$2:$A$337,B65,Production!$B$2:$B$337,C65,Production!$C$2:$C$337,Controls!$B$7)</f>
        <v>0</v>
      </c>
      <c r="F65" s="11">
        <f t="shared" si="10"/>
        <v>942</v>
      </c>
      <c r="G65" s="11">
        <f>SUMIFS(Orders!$F$2:$F$2881,Orders!$B$2:$B$2881,B65,Orders!$I$2:$I$2881,C65)*Controls!$B$6</f>
        <v>33</v>
      </c>
      <c r="H65" s="11">
        <f t="shared" si="11"/>
        <v>33</v>
      </c>
      <c r="I65" s="11">
        <f t="shared" si="12"/>
        <v>909</v>
      </c>
      <c r="J65" s="11">
        <f t="shared" si="13"/>
        <v>0</v>
      </c>
      <c r="K65" s="12">
        <f t="shared" si="14"/>
        <v>1</v>
      </c>
      <c r="L65" s="13">
        <f>IF(G65=0,0,J65/G65*SUMIFS(Orders!$G$2:$G$2881,Orders!$B$2:$B$2881,B65,Orders!$I$2:$I$2881,C65))*Controls!$B$6</f>
        <v>0</v>
      </c>
      <c r="M65" s="6" t="str">
        <f t="shared" si="15"/>
        <v>HT1045|42</v>
      </c>
      <c r="N65" s="12">
        <f t="shared" si="16"/>
        <v>0</v>
      </c>
      <c r="O65" s="6"/>
      <c r="P65" s="6"/>
      <c r="Q65" s="6"/>
      <c r="R65" s="6"/>
      <c r="S65" s="6"/>
      <c r="T65" s="6"/>
    </row>
    <row r="66" spans="1:20">
      <c r="A66" s="6"/>
      <c r="B66" s="6" t="s">
        <v>70</v>
      </c>
      <c r="C66" s="6">
        <v>43</v>
      </c>
      <c r="D66" s="11">
        <f t="shared" si="18"/>
        <v>909</v>
      </c>
      <c r="E66" s="11">
        <f>SUMIFS(Production!$D$2:$D$337,Production!$A$2:$A$337,B66,Production!$B$2:$B$337,C66,Production!$C$2:$C$337,Controls!$B$7)</f>
        <v>0</v>
      </c>
      <c r="F66" s="11">
        <f t="shared" si="10"/>
        <v>909</v>
      </c>
      <c r="G66" s="11">
        <f>SUMIFS(Orders!$F$2:$F$2881,Orders!$B$2:$B$2881,B66,Orders!$I$2:$I$2881,C66)*Controls!$B$6</f>
        <v>58</v>
      </c>
      <c r="H66" s="11">
        <f t="shared" si="11"/>
        <v>58</v>
      </c>
      <c r="I66" s="11">
        <f t="shared" si="12"/>
        <v>851</v>
      </c>
      <c r="J66" s="11">
        <f t="shared" si="13"/>
        <v>0</v>
      </c>
      <c r="K66" s="12">
        <f t="shared" si="14"/>
        <v>1</v>
      </c>
      <c r="L66" s="13">
        <f>IF(G66=0,0,J66/G66*SUMIFS(Orders!$G$2:$G$2881,Orders!$B$2:$B$2881,B66,Orders!$I$2:$I$2881,C66))*Controls!$B$6</f>
        <v>0</v>
      </c>
      <c r="M66" s="6" t="str">
        <f t="shared" si="15"/>
        <v>HT1045|43</v>
      </c>
      <c r="N66" s="12">
        <f t="shared" si="16"/>
        <v>0</v>
      </c>
      <c r="O66" s="6"/>
      <c r="P66" s="6"/>
      <c r="Q66" s="6"/>
      <c r="R66" s="6"/>
      <c r="S66" s="6"/>
      <c r="T66" s="6"/>
    </row>
    <row r="67" spans="1:20">
      <c r="A67" s="6"/>
      <c r="B67" s="6" t="s">
        <v>70</v>
      </c>
      <c r="C67" s="6">
        <v>44</v>
      </c>
      <c r="D67" s="11">
        <f t="shared" si="18"/>
        <v>851</v>
      </c>
      <c r="E67" s="11">
        <f>SUMIFS(Production!$D$2:$D$337,Production!$A$2:$A$337,B67,Production!$B$2:$B$337,C67,Production!$C$2:$C$337,Controls!$B$7)</f>
        <v>0</v>
      </c>
      <c r="F67" s="11">
        <f t="shared" si="10"/>
        <v>851</v>
      </c>
      <c r="G67" s="11">
        <f>SUMIFS(Orders!$F$2:$F$2881,Orders!$B$2:$B$2881,B67,Orders!$I$2:$I$2881,C67)*Controls!$B$6</f>
        <v>68</v>
      </c>
      <c r="H67" s="11">
        <f t="shared" si="11"/>
        <v>68</v>
      </c>
      <c r="I67" s="11">
        <f t="shared" si="12"/>
        <v>783</v>
      </c>
      <c r="J67" s="11">
        <f t="shared" si="13"/>
        <v>0</v>
      </c>
      <c r="K67" s="12">
        <f t="shared" si="14"/>
        <v>1</v>
      </c>
      <c r="L67" s="13">
        <f>IF(G67=0,0,J67/G67*SUMIFS(Orders!$G$2:$G$2881,Orders!$B$2:$B$2881,B67,Orders!$I$2:$I$2881,C67))*Controls!$B$6</f>
        <v>0</v>
      </c>
      <c r="M67" s="6" t="str">
        <f t="shared" si="15"/>
        <v>HT1045|44</v>
      </c>
      <c r="N67" s="12">
        <f t="shared" si="16"/>
        <v>0</v>
      </c>
      <c r="O67" s="6"/>
      <c r="P67" s="6"/>
      <c r="Q67" s="6"/>
      <c r="R67" s="6"/>
      <c r="S67" s="6"/>
      <c r="T67" s="6"/>
    </row>
    <row r="68" spans="1:20">
      <c r="A68" s="6"/>
      <c r="B68" s="6" t="s">
        <v>70</v>
      </c>
      <c r="C68" s="6">
        <v>45</v>
      </c>
      <c r="D68" s="11">
        <f t="shared" si="18"/>
        <v>783</v>
      </c>
      <c r="E68" s="11">
        <f>SUMIFS(Production!$D$2:$D$337,Production!$A$2:$A$337,B68,Production!$B$2:$B$337,C68,Production!$C$2:$C$337,Controls!$B$7)</f>
        <v>0</v>
      </c>
      <c r="F68" s="11">
        <f t="shared" si="10"/>
        <v>783</v>
      </c>
      <c r="G68" s="11">
        <f>SUMIFS(Orders!$F$2:$F$2881,Orders!$B$2:$B$2881,B68,Orders!$I$2:$I$2881,C68)*Controls!$B$6</f>
        <v>60</v>
      </c>
      <c r="H68" s="11">
        <f t="shared" si="11"/>
        <v>60</v>
      </c>
      <c r="I68" s="11">
        <f t="shared" si="12"/>
        <v>723</v>
      </c>
      <c r="J68" s="11">
        <f t="shared" si="13"/>
        <v>0</v>
      </c>
      <c r="K68" s="12">
        <f t="shared" si="14"/>
        <v>1</v>
      </c>
      <c r="L68" s="13">
        <f>IF(G68=0,0,J68/G68*SUMIFS(Orders!$G$2:$G$2881,Orders!$B$2:$B$2881,B68,Orders!$I$2:$I$2881,C68))*Controls!$B$6</f>
        <v>0</v>
      </c>
      <c r="M68" s="6" t="str">
        <f t="shared" si="15"/>
        <v>HT1045|45</v>
      </c>
      <c r="N68" s="12">
        <f t="shared" si="16"/>
        <v>0</v>
      </c>
      <c r="O68" s="6"/>
      <c r="P68" s="6"/>
      <c r="Q68" s="6"/>
      <c r="R68" s="6"/>
      <c r="S68" s="6"/>
      <c r="T68" s="6"/>
    </row>
    <row r="69" spans="1:20">
      <c r="A69" s="6"/>
      <c r="B69" s="6" t="s">
        <v>70</v>
      </c>
      <c r="C69" s="6">
        <v>46</v>
      </c>
      <c r="D69" s="11">
        <f t="shared" si="18"/>
        <v>723</v>
      </c>
      <c r="E69" s="11">
        <f>SUMIFS(Production!$D$2:$D$337,Production!$A$2:$A$337,B69,Production!$B$2:$B$337,C69,Production!$C$2:$C$337,Controls!$B$7)</f>
        <v>0</v>
      </c>
      <c r="F69" s="11">
        <f t="shared" si="10"/>
        <v>723</v>
      </c>
      <c r="G69" s="11">
        <f>SUMIFS(Orders!$F$2:$F$2881,Orders!$B$2:$B$2881,B69,Orders!$I$2:$I$2881,C69)*Controls!$B$6</f>
        <v>8</v>
      </c>
      <c r="H69" s="11">
        <f t="shared" si="11"/>
        <v>8</v>
      </c>
      <c r="I69" s="11">
        <f t="shared" si="12"/>
        <v>715</v>
      </c>
      <c r="J69" s="11">
        <f t="shared" si="13"/>
        <v>0</v>
      </c>
      <c r="K69" s="12">
        <f t="shared" si="14"/>
        <v>1</v>
      </c>
      <c r="L69" s="13">
        <f>IF(G69=0,0,J69/G69*SUMIFS(Orders!$G$2:$G$2881,Orders!$B$2:$B$2881,B69,Orders!$I$2:$I$2881,C69))*Controls!$B$6</f>
        <v>0</v>
      </c>
      <c r="M69" s="6" t="str">
        <f t="shared" si="15"/>
        <v>HT1045|46</v>
      </c>
      <c r="N69" s="12">
        <f t="shared" si="16"/>
        <v>0</v>
      </c>
      <c r="O69" s="6"/>
      <c r="P69" s="6"/>
      <c r="Q69" s="6"/>
      <c r="R69" s="6"/>
      <c r="S69" s="6"/>
      <c r="T69" s="6"/>
    </row>
    <row r="70" spans="1:20">
      <c r="A70" s="6"/>
      <c r="B70" s="6" t="s">
        <v>70</v>
      </c>
      <c r="C70" s="6">
        <v>47</v>
      </c>
      <c r="D70" s="11">
        <f t="shared" si="18"/>
        <v>715</v>
      </c>
      <c r="E70" s="11">
        <f>SUMIFS(Production!$D$2:$D$337,Production!$A$2:$A$337,B70,Production!$B$2:$B$337,C70,Production!$C$2:$C$337,Controls!$B$7)</f>
        <v>0</v>
      </c>
      <c r="F70" s="11">
        <f t="shared" ref="F70:F101" si="19">D70+E70</f>
        <v>715</v>
      </c>
      <c r="G70" s="11">
        <f>SUMIFS(Orders!$F$2:$F$2881,Orders!$B$2:$B$2881,B70,Orders!$I$2:$I$2881,C70)*Controls!$B$6</f>
        <v>35</v>
      </c>
      <c r="H70" s="11">
        <f t="shared" ref="H70:H101" si="20">MIN(F70,G70)</f>
        <v>35</v>
      </c>
      <c r="I70" s="11">
        <f t="shared" ref="I70:I101" si="21">F70-H70</f>
        <v>680</v>
      </c>
      <c r="J70" s="11">
        <f t="shared" ref="J70:J101" si="22">G70-H70</f>
        <v>0</v>
      </c>
      <c r="K70" s="12">
        <f t="shared" ref="K70:K101" si="23">IF(G70=0,"n.a.",H70/G70)</f>
        <v>1</v>
      </c>
      <c r="L70" s="13">
        <f>IF(G70=0,0,J70/G70*SUMIFS(Orders!$G$2:$G$2881,Orders!$B$2:$B$2881,B70,Orders!$I$2:$I$2881,C70))*Controls!$B$6</f>
        <v>0</v>
      </c>
      <c r="M70" s="6" t="str">
        <f t="shared" ref="M70:M101" si="24">B70&amp;"|"&amp;C70</f>
        <v>HT1045|47</v>
      </c>
      <c r="N70" s="12">
        <f t="shared" ref="N70:N101" si="25">IF(G70=0,0,J70/G70)</f>
        <v>0</v>
      </c>
      <c r="O70" s="6"/>
      <c r="P70" s="6"/>
      <c r="Q70" s="6"/>
      <c r="R70" s="6"/>
      <c r="S70" s="6"/>
      <c r="T70" s="6"/>
    </row>
    <row r="71" spans="1:20">
      <c r="A71" s="6"/>
      <c r="B71" s="6" t="s">
        <v>70</v>
      </c>
      <c r="C71" s="6">
        <v>48</v>
      </c>
      <c r="D71" s="11">
        <f t="shared" si="18"/>
        <v>680</v>
      </c>
      <c r="E71" s="11">
        <f>SUMIFS(Production!$D$2:$D$337,Production!$A$2:$A$337,B71,Production!$B$2:$B$337,C71,Production!$C$2:$C$337,Controls!$B$7)</f>
        <v>0</v>
      </c>
      <c r="F71" s="11">
        <f t="shared" si="19"/>
        <v>680</v>
      </c>
      <c r="G71" s="11">
        <f>SUMIFS(Orders!$F$2:$F$2881,Orders!$B$2:$B$2881,B71,Orders!$I$2:$I$2881,C71)*Controls!$B$6</f>
        <v>40</v>
      </c>
      <c r="H71" s="11">
        <f t="shared" si="20"/>
        <v>40</v>
      </c>
      <c r="I71" s="11">
        <f t="shared" si="21"/>
        <v>640</v>
      </c>
      <c r="J71" s="11">
        <f t="shared" si="22"/>
        <v>0</v>
      </c>
      <c r="K71" s="12">
        <f t="shared" si="23"/>
        <v>1</v>
      </c>
      <c r="L71" s="13">
        <f>IF(G71=0,0,J71/G71*SUMIFS(Orders!$G$2:$G$2881,Orders!$B$2:$B$2881,B71,Orders!$I$2:$I$2881,C71))*Controls!$B$6</f>
        <v>0</v>
      </c>
      <c r="M71" s="6" t="str">
        <f t="shared" si="24"/>
        <v>HT1045|48</v>
      </c>
      <c r="N71" s="12">
        <f t="shared" si="25"/>
        <v>0</v>
      </c>
      <c r="O71" s="6"/>
      <c r="P71" s="6"/>
      <c r="Q71" s="6"/>
      <c r="R71" s="6"/>
      <c r="S71" s="6"/>
      <c r="T71" s="6"/>
    </row>
    <row r="72" spans="1:20">
      <c r="A72" s="6"/>
      <c r="B72" s="6" t="s">
        <v>70</v>
      </c>
      <c r="C72" s="6">
        <v>49</v>
      </c>
      <c r="D72" s="11">
        <f t="shared" si="18"/>
        <v>640</v>
      </c>
      <c r="E72" s="11">
        <f>SUMIFS(Production!$D$2:$D$337,Production!$A$2:$A$337,B72,Production!$B$2:$B$337,C72,Production!$C$2:$C$337,Controls!$B$7)</f>
        <v>0</v>
      </c>
      <c r="F72" s="11">
        <f t="shared" si="19"/>
        <v>640</v>
      </c>
      <c r="G72" s="11">
        <f>SUMIFS(Orders!$F$2:$F$2881,Orders!$B$2:$B$2881,B72,Orders!$I$2:$I$2881,C72)*Controls!$B$6</f>
        <v>112</v>
      </c>
      <c r="H72" s="11">
        <f t="shared" si="20"/>
        <v>112</v>
      </c>
      <c r="I72" s="11">
        <f t="shared" si="21"/>
        <v>528</v>
      </c>
      <c r="J72" s="11">
        <f t="shared" si="22"/>
        <v>0</v>
      </c>
      <c r="K72" s="12">
        <f t="shared" si="23"/>
        <v>1</v>
      </c>
      <c r="L72" s="13">
        <f>IF(G72=0,0,J72/G72*SUMIFS(Orders!$G$2:$G$2881,Orders!$B$2:$B$2881,B72,Orders!$I$2:$I$2881,C72))*Controls!$B$6</f>
        <v>0</v>
      </c>
      <c r="M72" s="6" t="str">
        <f t="shared" si="24"/>
        <v>HT1045|49</v>
      </c>
      <c r="N72" s="12">
        <f t="shared" si="25"/>
        <v>0</v>
      </c>
      <c r="O72" s="6"/>
      <c r="P72" s="6"/>
      <c r="Q72" s="6"/>
      <c r="R72" s="6"/>
      <c r="S72" s="6"/>
      <c r="T72" s="6"/>
    </row>
    <row r="73" spans="1:20">
      <c r="A73" s="6"/>
      <c r="B73" s="6" t="s">
        <v>70</v>
      </c>
      <c r="C73" s="6">
        <v>50</v>
      </c>
      <c r="D73" s="11">
        <f t="shared" si="18"/>
        <v>528</v>
      </c>
      <c r="E73" s="11">
        <f>SUMIFS(Production!$D$2:$D$337,Production!$A$2:$A$337,B73,Production!$B$2:$B$337,C73,Production!$C$2:$C$337,Controls!$B$7)</f>
        <v>0</v>
      </c>
      <c r="F73" s="11">
        <f t="shared" si="19"/>
        <v>528</v>
      </c>
      <c r="G73" s="11">
        <f>SUMIFS(Orders!$F$2:$F$2881,Orders!$B$2:$B$2881,B73,Orders!$I$2:$I$2881,C73)*Controls!$B$6</f>
        <v>32</v>
      </c>
      <c r="H73" s="11">
        <f t="shared" si="20"/>
        <v>32</v>
      </c>
      <c r="I73" s="11">
        <f t="shared" si="21"/>
        <v>496</v>
      </c>
      <c r="J73" s="11">
        <f t="shared" si="22"/>
        <v>0</v>
      </c>
      <c r="K73" s="12">
        <f t="shared" si="23"/>
        <v>1</v>
      </c>
      <c r="L73" s="13">
        <f>IF(G73=0,0,J73/G73*SUMIFS(Orders!$G$2:$G$2881,Orders!$B$2:$B$2881,B73,Orders!$I$2:$I$2881,C73))*Controls!$B$6</f>
        <v>0</v>
      </c>
      <c r="M73" s="6" t="str">
        <f t="shared" si="24"/>
        <v>HT1045|50</v>
      </c>
      <c r="N73" s="12">
        <f t="shared" si="25"/>
        <v>0</v>
      </c>
      <c r="O73" s="6"/>
      <c r="P73" s="6"/>
      <c r="Q73" s="6"/>
      <c r="R73" s="6"/>
      <c r="S73" s="6"/>
      <c r="T73" s="6"/>
    </row>
    <row r="74" spans="1:20">
      <c r="A74" s="6"/>
      <c r="B74" s="6" t="s">
        <v>70</v>
      </c>
      <c r="C74" s="6">
        <v>51</v>
      </c>
      <c r="D74" s="11">
        <f t="shared" si="18"/>
        <v>496</v>
      </c>
      <c r="E74" s="11">
        <f>SUMIFS(Production!$D$2:$D$337,Production!$A$2:$A$337,B74,Production!$B$2:$B$337,C74,Production!$C$2:$C$337,Controls!$B$7)</f>
        <v>0</v>
      </c>
      <c r="F74" s="11">
        <f t="shared" si="19"/>
        <v>496</v>
      </c>
      <c r="G74" s="11">
        <f>SUMIFS(Orders!$F$2:$F$2881,Orders!$B$2:$B$2881,B74,Orders!$I$2:$I$2881,C74)*Controls!$B$6</f>
        <v>87</v>
      </c>
      <c r="H74" s="11">
        <f t="shared" si="20"/>
        <v>87</v>
      </c>
      <c r="I74" s="11">
        <f t="shared" si="21"/>
        <v>409</v>
      </c>
      <c r="J74" s="11">
        <f t="shared" si="22"/>
        <v>0</v>
      </c>
      <c r="K74" s="12">
        <f t="shared" si="23"/>
        <v>1</v>
      </c>
      <c r="L74" s="13">
        <f>IF(G74=0,0,J74/G74*SUMIFS(Orders!$G$2:$G$2881,Orders!$B$2:$B$2881,B74,Orders!$I$2:$I$2881,C74))*Controls!$B$6</f>
        <v>0</v>
      </c>
      <c r="M74" s="6" t="str">
        <f t="shared" si="24"/>
        <v>HT1045|51</v>
      </c>
      <c r="N74" s="12">
        <f t="shared" si="25"/>
        <v>0</v>
      </c>
      <c r="O74" s="6"/>
      <c r="P74" s="6"/>
      <c r="Q74" s="6"/>
      <c r="R74" s="6"/>
      <c r="S74" s="6"/>
      <c r="T74" s="6"/>
    </row>
    <row r="75" spans="1:20">
      <c r="A75" s="6"/>
      <c r="B75" s="6" t="s">
        <v>70</v>
      </c>
      <c r="C75" s="6">
        <v>52</v>
      </c>
      <c r="D75" s="11">
        <f t="shared" si="18"/>
        <v>409</v>
      </c>
      <c r="E75" s="11">
        <f>SUMIFS(Production!$D$2:$D$337,Production!$A$2:$A$337,B75,Production!$B$2:$B$337,C75,Production!$C$2:$C$337,Controls!$B$7)</f>
        <v>0</v>
      </c>
      <c r="F75" s="11">
        <f t="shared" si="19"/>
        <v>409</v>
      </c>
      <c r="G75" s="11">
        <f>SUMIFS(Orders!$F$2:$F$2881,Orders!$B$2:$B$2881,B75,Orders!$I$2:$I$2881,C75)*Controls!$B$6</f>
        <v>12</v>
      </c>
      <c r="H75" s="11">
        <f t="shared" si="20"/>
        <v>12</v>
      </c>
      <c r="I75" s="11">
        <f t="shared" si="21"/>
        <v>397</v>
      </c>
      <c r="J75" s="11">
        <f t="shared" si="22"/>
        <v>0</v>
      </c>
      <c r="K75" s="12">
        <f t="shared" si="23"/>
        <v>1</v>
      </c>
      <c r="L75" s="13">
        <f>IF(G75=0,0,J75/G75*SUMIFS(Orders!$G$2:$G$2881,Orders!$B$2:$B$2881,B75,Orders!$I$2:$I$2881,C75))*Controls!$B$6</f>
        <v>0</v>
      </c>
      <c r="M75" s="6" t="str">
        <f t="shared" si="24"/>
        <v>HT1045|52</v>
      </c>
      <c r="N75" s="12">
        <f t="shared" si="25"/>
        <v>0</v>
      </c>
      <c r="O75" s="6"/>
      <c r="P75" s="6"/>
      <c r="Q75" s="6"/>
      <c r="R75" s="6"/>
      <c r="S75" s="6"/>
      <c r="T75" s="6"/>
    </row>
    <row r="76" spans="1:20">
      <c r="A76" s="6"/>
      <c r="B76" s="6" t="s">
        <v>71</v>
      </c>
      <c r="C76" s="6">
        <v>39</v>
      </c>
      <c r="D76" s="11">
        <f>SUMIFS(Products!$D$2:$D$13,Products!$B$2:$B$13,B76)</f>
        <v>138</v>
      </c>
      <c r="E76" s="11">
        <f>SUMIFS(Production!$D$2:$D$337,Production!$A$2:$A$337,B76,Production!$B$2:$B$337,C76,Production!$C$2:$C$337,Controls!$B$7)</f>
        <v>0</v>
      </c>
      <c r="F76" s="11">
        <f t="shared" si="19"/>
        <v>138</v>
      </c>
      <c r="G76" s="11">
        <f>SUMIFS(Orders!$F$2:$F$2881,Orders!$B$2:$B$2881,B76,Orders!$I$2:$I$2881,C76)*Controls!$B$6</f>
        <v>0</v>
      </c>
      <c r="H76" s="11">
        <f t="shared" si="20"/>
        <v>0</v>
      </c>
      <c r="I76" s="11">
        <f t="shared" si="21"/>
        <v>138</v>
      </c>
      <c r="J76" s="11">
        <f t="shared" si="22"/>
        <v>0</v>
      </c>
      <c r="K76" s="12" t="str">
        <f t="shared" si="23"/>
        <v>n.a.</v>
      </c>
      <c r="L76" s="13">
        <f>IF(G76=0,0,J76/G76*SUMIFS(Orders!$G$2:$G$2881,Orders!$B$2:$B$2881,B76,Orders!$I$2:$I$2881,C76))*Controls!$B$6</f>
        <v>0</v>
      </c>
      <c r="M76" s="6" t="str">
        <f t="shared" si="24"/>
        <v>HT1064|39</v>
      </c>
      <c r="N76" s="12">
        <f t="shared" si="25"/>
        <v>0</v>
      </c>
      <c r="O76" s="6"/>
      <c r="P76" s="6"/>
      <c r="Q76" s="6"/>
      <c r="R76" s="6"/>
      <c r="S76" s="6"/>
      <c r="T76" s="6"/>
    </row>
    <row r="77" spans="1:20">
      <c r="A77" s="6"/>
      <c r="B77" s="6" t="s">
        <v>71</v>
      </c>
      <c r="C77" s="6">
        <v>40</v>
      </c>
      <c r="D77" s="11">
        <f t="shared" ref="D77:D89" si="26">I76</f>
        <v>138</v>
      </c>
      <c r="E77" s="11">
        <f>SUMIFS(Production!$D$2:$D$337,Production!$A$2:$A$337,B77,Production!$B$2:$B$337,C77,Production!$C$2:$C$337,Controls!$B$7)</f>
        <v>1000</v>
      </c>
      <c r="F77" s="11">
        <f t="shared" si="19"/>
        <v>1138</v>
      </c>
      <c r="G77" s="11">
        <f>SUMIFS(Orders!$F$2:$F$2881,Orders!$B$2:$B$2881,B77,Orders!$I$2:$I$2881,C77)*Controls!$B$6</f>
        <v>70</v>
      </c>
      <c r="H77" s="11">
        <f t="shared" si="20"/>
        <v>70</v>
      </c>
      <c r="I77" s="11">
        <f t="shared" si="21"/>
        <v>1068</v>
      </c>
      <c r="J77" s="11">
        <f t="shared" si="22"/>
        <v>0</v>
      </c>
      <c r="K77" s="12">
        <f t="shared" si="23"/>
        <v>1</v>
      </c>
      <c r="L77" s="13">
        <f>IF(G77=0,0,J77/G77*SUMIFS(Orders!$G$2:$G$2881,Orders!$B$2:$B$2881,B77,Orders!$I$2:$I$2881,C77))*Controls!$B$6</f>
        <v>0</v>
      </c>
      <c r="M77" s="6" t="str">
        <f t="shared" si="24"/>
        <v>HT1064|40</v>
      </c>
      <c r="N77" s="12">
        <f t="shared" si="25"/>
        <v>0</v>
      </c>
      <c r="O77" s="6"/>
      <c r="P77" s="6"/>
      <c r="Q77" s="6"/>
      <c r="R77" s="6"/>
      <c r="S77" s="6"/>
      <c r="T77" s="6"/>
    </row>
    <row r="78" spans="1:20">
      <c r="A78" s="6"/>
      <c r="B78" s="6" t="s">
        <v>71</v>
      </c>
      <c r="C78" s="6">
        <v>41</v>
      </c>
      <c r="D78" s="11">
        <f t="shared" si="26"/>
        <v>1068</v>
      </c>
      <c r="E78" s="11">
        <f>SUMIFS(Production!$D$2:$D$337,Production!$A$2:$A$337,B78,Production!$B$2:$B$337,C78,Production!$C$2:$C$337,Controls!$B$7)</f>
        <v>0</v>
      </c>
      <c r="F78" s="11">
        <f t="shared" si="19"/>
        <v>1068</v>
      </c>
      <c r="G78" s="11">
        <f>SUMIFS(Orders!$F$2:$F$2881,Orders!$B$2:$B$2881,B78,Orders!$I$2:$I$2881,C78)*Controls!$B$6</f>
        <v>110</v>
      </c>
      <c r="H78" s="11">
        <f t="shared" si="20"/>
        <v>110</v>
      </c>
      <c r="I78" s="11">
        <f t="shared" si="21"/>
        <v>958</v>
      </c>
      <c r="J78" s="11">
        <f t="shared" si="22"/>
        <v>0</v>
      </c>
      <c r="K78" s="12">
        <f t="shared" si="23"/>
        <v>1</v>
      </c>
      <c r="L78" s="13">
        <f>IF(G78=0,0,J78/G78*SUMIFS(Orders!$G$2:$G$2881,Orders!$B$2:$B$2881,B78,Orders!$I$2:$I$2881,C78))*Controls!$B$6</f>
        <v>0</v>
      </c>
      <c r="M78" s="6" t="str">
        <f t="shared" si="24"/>
        <v>HT1064|41</v>
      </c>
      <c r="N78" s="12">
        <f t="shared" si="25"/>
        <v>0</v>
      </c>
      <c r="O78" s="6"/>
      <c r="P78" s="6"/>
      <c r="Q78" s="6"/>
      <c r="R78" s="6"/>
      <c r="S78" s="6"/>
      <c r="T78" s="6"/>
    </row>
    <row r="79" spans="1:20">
      <c r="A79" s="6"/>
      <c r="B79" s="6" t="s">
        <v>71</v>
      </c>
      <c r="C79" s="6">
        <v>42</v>
      </c>
      <c r="D79" s="11">
        <f t="shared" si="26"/>
        <v>958</v>
      </c>
      <c r="E79" s="11">
        <f>SUMIFS(Production!$D$2:$D$337,Production!$A$2:$A$337,B79,Production!$B$2:$B$337,C79,Production!$C$2:$C$337,Controls!$B$7)</f>
        <v>0</v>
      </c>
      <c r="F79" s="11">
        <f t="shared" si="19"/>
        <v>958</v>
      </c>
      <c r="G79" s="11">
        <f>SUMIFS(Orders!$F$2:$F$2881,Orders!$B$2:$B$2881,B79,Orders!$I$2:$I$2881,C79)*Controls!$B$6</f>
        <v>0</v>
      </c>
      <c r="H79" s="11">
        <f t="shared" si="20"/>
        <v>0</v>
      </c>
      <c r="I79" s="11">
        <f t="shared" si="21"/>
        <v>958</v>
      </c>
      <c r="J79" s="11">
        <f t="shared" si="22"/>
        <v>0</v>
      </c>
      <c r="K79" s="12" t="str">
        <f t="shared" si="23"/>
        <v>n.a.</v>
      </c>
      <c r="L79" s="13">
        <f>IF(G79=0,0,J79/G79*SUMIFS(Orders!$G$2:$G$2881,Orders!$B$2:$B$2881,B79,Orders!$I$2:$I$2881,C79))*Controls!$B$6</f>
        <v>0</v>
      </c>
      <c r="M79" s="6" t="str">
        <f t="shared" si="24"/>
        <v>HT1064|42</v>
      </c>
      <c r="N79" s="12">
        <f t="shared" si="25"/>
        <v>0</v>
      </c>
      <c r="O79" s="6"/>
      <c r="P79" s="6"/>
      <c r="Q79" s="6"/>
      <c r="R79" s="6"/>
      <c r="S79" s="6"/>
      <c r="T79" s="6"/>
    </row>
    <row r="80" spans="1:20">
      <c r="A80" s="6"/>
      <c r="B80" s="6" t="s">
        <v>71</v>
      </c>
      <c r="C80" s="6">
        <v>43</v>
      </c>
      <c r="D80" s="11">
        <f t="shared" si="26"/>
        <v>958</v>
      </c>
      <c r="E80" s="11">
        <f>SUMIFS(Production!$D$2:$D$337,Production!$A$2:$A$337,B80,Production!$B$2:$B$337,C80,Production!$C$2:$C$337,Controls!$B$7)</f>
        <v>0</v>
      </c>
      <c r="F80" s="11">
        <f t="shared" si="19"/>
        <v>958</v>
      </c>
      <c r="G80" s="11">
        <f>SUMIFS(Orders!$F$2:$F$2881,Orders!$B$2:$B$2881,B80,Orders!$I$2:$I$2881,C80)*Controls!$B$6</f>
        <v>30</v>
      </c>
      <c r="H80" s="11">
        <f t="shared" si="20"/>
        <v>30</v>
      </c>
      <c r="I80" s="11">
        <f t="shared" si="21"/>
        <v>928</v>
      </c>
      <c r="J80" s="11">
        <f t="shared" si="22"/>
        <v>0</v>
      </c>
      <c r="K80" s="12">
        <f t="shared" si="23"/>
        <v>1</v>
      </c>
      <c r="L80" s="13">
        <f>IF(G80=0,0,J80/G80*SUMIFS(Orders!$G$2:$G$2881,Orders!$B$2:$B$2881,B80,Orders!$I$2:$I$2881,C80))*Controls!$B$6</f>
        <v>0</v>
      </c>
      <c r="M80" s="6" t="str">
        <f t="shared" si="24"/>
        <v>HT1064|43</v>
      </c>
      <c r="N80" s="12">
        <f t="shared" si="25"/>
        <v>0</v>
      </c>
      <c r="O80" s="6"/>
      <c r="P80" s="6"/>
      <c r="Q80" s="6"/>
      <c r="R80" s="6"/>
      <c r="S80" s="6"/>
      <c r="T80" s="6"/>
    </row>
    <row r="81" spans="1:20">
      <c r="A81" s="6"/>
      <c r="B81" s="6" t="s">
        <v>71</v>
      </c>
      <c r="C81" s="6">
        <v>44</v>
      </c>
      <c r="D81" s="11">
        <f t="shared" si="26"/>
        <v>928</v>
      </c>
      <c r="E81" s="11">
        <f>SUMIFS(Production!$D$2:$D$337,Production!$A$2:$A$337,B81,Production!$B$2:$B$337,C81,Production!$C$2:$C$337,Controls!$B$7)</f>
        <v>0</v>
      </c>
      <c r="F81" s="11">
        <f t="shared" si="19"/>
        <v>928</v>
      </c>
      <c r="G81" s="11">
        <f>SUMIFS(Orders!$F$2:$F$2881,Orders!$B$2:$B$2881,B81,Orders!$I$2:$I$2881,C81)*Controls!$B$6</f>
        <v>0</v>
      </c>
      <c r="H81" s="11">
        <f t="shared" si="20"/>
        <v>0</v>
      </c>
      <c r="I81" s="11">
        <f t="shared" si="21"/>
        <v>928</v>
      </c>
      <c r="J81" s="11">
        <f t="shared" si="22"/>
        <v>0</v>
      </c>
      <c r="K81" s="12" t="str">
        <f t="shared" si="23"/>
        <v>n.a.</v>
      </c>
      <c r="L81" s="13">
        <f>IF(G81=0,0,J81/G81*SUMIFS(Orders!$G$2:$G$2881,Orders!$B$2:$B$2881,B81,Orders!$I$2:$I$2881,C81))*Controls!$B$6</f>
        <v>0</v>
      </c>
      <c r="M81" s="6" t="str">
        <f t="shared" si="24"/>
        <v>HT1064|44</v>
      </c>
      <c r="N81" s="12">
        <f t="shared" si="25"/>
        <v>0</v>
      </c>
      <c r="O81" s="6"/>
      <c r="P81" s="6"/>
      <c r="Q81" s="6"/>
      <c r="R81" s="6"/>
      <c r="S81" s="6"/>
      <c r="T81" s="6"/>
    </row>
    <row r="82" spans="1:20">
      <c r="A82" s="6"/>
      <c r="B82" s="6" t="s">
        <v>71</v>
      </c>
      <c r="C82" s="6">
        <v>45</v>
      </c>
      <c r="D82" s="11">
        <f t="shared" si="26"/>
        <v>928</v>
      </c>
      <c r="E82" s="11">
        <f>SUMIFS(Production!$D$2:$D$337,Production!$A$2:$A$337,B82,Production!$B$2:$B$337,C82,Production!$C$2:$C$337,Controls!$B$7)</f>
        <v>0</v>
      </c>
      <c r="F82" s="11">
        <f t="shared" si="19"/>
        <v>928</v>
      </c>
      <c r="G82" s="11">
        <f>SUMIFS(Orders!$F$2:$F$2881,Orders!$B$2:$B$2881,B82,Orders!$I$2:$I$2881,C82)*Controls!$B$6</f>
        <v>80</v>
      </c>
      <c r="H82" s="11">
        <f t="shared" si="20"/>
        <v>80</v>
      </c>
      <c r="I82" s="11">
        <f t="shared" si="21"/>
        <v>848</v>
      </c>
      <c r="J82" s="11">
        <f t="shared" si="22"/>
        <v>0</v>
      </c>
      <c r="K82" s="12">
        <f t="shared" si="23"/>
        <v>1</v>
      </c>
      <c r="L82" s="13">
        <f>IF(G82=0,0,J82/G82*SUMIFS(Orders!$G$2:$G$2881,Orders!$B$2:$B$2881,B82,Orders!$I$2:$I$2881,C82))*Controls!$B$6</f>
        <v>0</v>
      </c>
      <c r="M82" s="6" t="str">
        <f t="shared" si="24"/>
        <v>HT1064|45</v>
      </c>
      <c r="N82" s="12">
        <f t="shared" si="25"/>
        <v>0</v>
      </c>
      <c r="O82" s="6"/>
      <c r="P82" s="6"/>
      <c r="Q82" s="6"/>
      <c r="R82" s="6"/>
      <c r="S82" s="6"/>
      <c r="T82" s="6"/>
    </row>
    <row r="83" spans="1:20">
      <c r="A83" s="6"/>
      <c r="B83" s="6" t="s">
        <v>71</v>
      </c>
      <c r="C83" s="6">
        <v>46</v>
      </c>
      <c r="D83" s="11">
        <f t="shared" si="26"/>
        <v>848</v>
      </c>
      <c r="E83" s="11">
        <f>SUMIFS(Production!$D$2:$D$337,Production!$A$2:$A$337,B83,Production!$B$2:$B$337,C83,Production!$C$2:$C$337,Controls!$B$7)</f>
        <v>0</v>
      </c>
      <c r="F83" s="11">
        <f t="shared" si="19"/>
        <v>848</v>
      </c>
      <c r="G83" s="11">
        <f>SUMIFS(Orders!$F$2:$F$2881,Orders!$B$2:$B$2881,B83,Orders!$I$2:$I$2881,C83)*Controls!$B$6</f>
        <v>20</v>
      </c>
      <c r="H83" s="11">
        <f t="shared" si="20"/>
        <v>20</v>
      </c>
      <c r="I83" s="11">
        <f t="shared" si="21"/>
        <v>828</v>
      </c>
      <c r="J83" s="11">
        <f t="shared" si="22"/>
        <v>0</v>
      </c>
      <c r="K83" s="12">
        <f t="shared" si="23"/>
        <v>1</v>
      </c>
      <c r="L83" s="13">
        <f>IF(G83=0,0,J83/G83*SUMIFS(Orders!$G$2:$G$2881,Orders!$B$2:$B$2881,B83,Orders!$I$2:$I$2881,C83))*Controls!$B$6</f>
        <v>0</v>
      </c>
      <c r="M83" s="6" t="str">
        <f t="shared" si="24"/>
        <v>HT1064|46</v>
      </c>
      <c r="N83" s="12">
        <f t="shared" si="25"/>
        <v>0</v>
      </c>
      <c r="O83" s="6"/>
      <c r="P83" s="6"/>
      <c r="Q83" s="6"/>
      <c r="R83" s="6"/>
      <c r="S83" s="6"/>
      <c r="T83" s="6"/>
    </row>
    <row r="84" spans="1:20">
      <c r="A84" s="6"/>
      <c r="B84" s="6" t="s">
        <v>71</v>
      </c>
      <c r="C84" s="6">
        <v>47</v>
      </c>
      <c r="D84" s="11">
        <f t="shared" si="26"/>
        <v>828</v>
      </c>
      <c r="E84" s="11">
        <f>SUMIFS(Production!$D$2:$D$337,Production!$A$2:$A$337,B84,Production!$B$2:$B$337,C84,Production!$C$2:$C$337,Controls!$B$7)</f>
        <v>0</v>
      </c>
      <c r="F84" s="11">
        <f t="shared" si="19"/>
        <v>828</v>
      </c>
      <c r="G84" s="11">
        <f>SUMIFS(Orders!$F$2:$F$2881,Orders!$B$2:$B$2881,B84,Orders!$I$2:$I$2881,C84)*Controls!$B$6</f>
        <v>33</v>
      </c>
      <c r="H84" s="11">
        <f t="shared" si="20"/>
        <v>33</v>
      </c>
      <c r="I84" s="11">
        <f t="shared" si="21"/>
        <v>795</v>
      </c>
      <c r="J84" s="11">
        <f t="shared" si="22"/>
        <v>0</v>
      </c>
      <c r="K84" s="12">
        <f t="shared" si="23"/>
        <v>1</v>
      </c>
      <c r="L84" s="13">
        <f>IF(G84=0,0,J84/G84*SUMIFS(Orders!$G$2:$G$2881,Orders!$B$2:$B$2881,B84,Orders!$I$2:$I$2881,C84))*Controls!$B$6</f>
        <v>0</v>
      </c>
      <c r="M84" s="6" t="str">
        <f t="shared" si="24"/>
        <v>HT1064|47</v>
      </c>
      <c r="N84" s="12">
        <f t="shared" si="25"/>
        <v>0</v>
      </c>
      <c r="O84" s="6"/>
      <c r="P84" s="6"/>
      <c r="Q84" s="6"/>
      <c r="R84" s="6"/>
      <c r="S84" s="6"/>
      <c r="T84" s="6"/>
    </row>
    <row r="85" spans="1:20">
      <c r="A85" s="6"/>
      <c r="B85" s="6" t="s">
        <v>71</v>
      </c>
      <c r="C85" s="6">
        <v>48</v>
      </c>
      <c r="D85" s="11">
        <f t="shared" si="26"/>
        <v>795</v>
      </c>
      <c r="E85" s="11">
        <f>SUMIFS(Production!$D$2:$D$337,Production!$A$2:$A$337,B85,Production!$B$2:$B$337,C85,Production!$C$2:$C$337,Controls!$B$7)</f>
        <v>0</v>
      </c>
      <c r="F85" s="11">
        <f t="shared" si="19"/>
        <v>795</v>
      </c>
      <c r="G85" s="11">
        <f>SUMIFS(Orders!$F$2:$F$2881,Orders!$B$2:$B$2881,B85,Orders!$I$2:$I$2881,C85)*Controls!$B$6</f>
        <v>260</v>
      </c>
      <c r="H85" s="11">
        <f t="shared" si="20"/>
        <v>260</v>
      </c>
      <c r="I85" s="11">
        <f t="shared" si="21"/>
        <v>535</v>
      </c>
      <c r="J85" s="11">
        <f t="shared" si="22"/>
        <v>0</v>
      </c>
      <c r="K85" s="12">
        <f t="shared" si="23"/>
        <v>1</v>
      </c>
      <c r="L85" s="13">
        <f>IF(G85=0,0,J85/G85*SUMIFS(Orders!$G$2:$G$2881,Orders!$B$2:$B$2881,B85,Orders!$I$2:$I$2881,C85))*Controls!$B$6</f>
        <v>0</v>
      </c>
      <c r="M85" s="6" t="str">
        <f t="shared" si="24"/>
        <v>HT1064|48</v>
      </c>
      <c r="N85" s="12">
        <f t="shared" si="25"/>
        <v>0</v>
      </c>
      <c r="O85" s="6"/>
      <c r="P85" s="6"/>
      <c r="Q85" s="6"/>
      <c r="R85" s="6"/>
      <c r="S85" s="6"/>
      <c r="T85" s="6"/>
    </row>
    <row r="86" spans="1:20">
      <c r="A86" s="6"/>
      <c r="B86" s="6" t="s">
        <v>71</v>
      </c>
      <c r="C86" s="6">
        <v>49</v>
      </c>
      <c r="D86" s="11">
        <f t="shared" si="26"/>
        <v>535</v>
      </c>
      <c r="E86" s="11">
        <f>SUMIFS(Production!$D$2:$D$337,Production!$A$2:$A$337,B86,Production!$B$2:$B$337,C86,Production!$C$2:$C$337,Controls!$B$7)</f>
        <v>0</v>
      </c>
      <c r="F86" s="11">
        <f t="shared" si="19"/>
        <v>535</v>
      </c>
      <c r="G86" s="11">
        <f>SUMIFS(Orders!$F$2:$F$2881,Orders!$B$2:$B$2881,B86,Orders!$I$2:$I$2881,C86)*Controls!$B$6</f>
        <v>0</v>
      </c>
      <c r="H86" s="11">
        <f t="shared" si="20"/>
        <v>0</v>
      </c>
      <c r="I86" s="11">
        <f t="shared" si="21"/>
        <v>535</v>
      </c>
      <c r="J86" s="11">
        <f t="shared" si="22"/>
        <v>0</v>
      </c>
      <c r="K86" s="12" t="str">
        <f t="shared" si="23"/>
        <v>n.a.</v>
      </c>
      <c r="L86" s="13">
        <f>IF(G86=0,0,J86/G86*SUMIFS(Orders!$G$2:$G$2881,Orders!$B$2:$B$2881,B86,Orders!$I$2:$I$2881,C86))*Controls!$B$6</f>
        <v>0</v>
      </c>
      <c r="M86" s="6" t="str">
        <f t="shared" si="24"/>
        <v>HT1064|49</v>
      </c>
      <c r="N86" s="12">
        <f t="shared" si="25"/>
        <v>0</v>
      </c>
      <c r="O86" s="6"/>
      <c r="P86" s="6"/>
      <c r="Q86" s="6"/>
      <c r="R86" s="6"/>
      <c r="S86" s="6"/>
      <c r="T86" s="6"/>
    </row>
    <row r="87" spans="1:20">
      <c r="A87" s="6"/>
      <c r="B87" s="6" t="s">
        <v>71</v>
      </c>
      <c r="C87" s="6">
        <v>50</v>
      </c>
      <c r="D87" s="11">
        <f t="shared" si="26"/>
        <v>535</v>
      </c>
      <c r="E87" s="11">
        <f>SUMIFS(Production!$D$2:$D$337,Production!$A$2:$A$337,B87,Production!$B$2:$B$337,C87,Production!$C$2:$C$337,Controls!$B$7)</f>
        <v>0</v>
      </c>
      <c r="F87" s="11">
        <f t="shared" si="19"/>
        <v>535</v>
      </c>
      <c r="G87" s="11">
        <f>SUMIFS(Orders!$F$2:$F$2881,Orders!$B$2:$B$2881,B87,Orders!$I$2:$I$2881,C87)*Controls!$B$6</f>
        <v>170</v>
      </c>
      <c r="H87" s="11">
        <f t="shared" si="20"/>
        <v>170</v>
      </c>
      <c r="I87" s="11">
        <f t="shared" si="21"/>
        <v>365</v>
      </c>
      <c r="J87" s="11">
        <f t="shared" si="22"/>
        <v>0</v>
      </c>
      <c r="K87" s="12">
        <f t="shared" si="23"/>
        <v>1</v>
      </c>
      <c r="L87" s="13">
        <f>IF(G87=0,0,J87/G87*SUMIFS(Orders!$G$2:$G$2881,Orders!$B$2:$B$2881,B87,Orders!$I$2:$I$2881,C87))*Controls!$B$6</f>
        <v>0</v>
      </c>
      <c r="M87" s="6" t="str">
        <f t="shared" si="24"/>
        <v>HT1064|50</v>
      </c>
      <c r="N87" s="12">
        <f t="shared" si="25"/>
        <v>0</v>
      </c>
      <c r="O87" s="6"/>
      <c r="P87" s="6"/>
      <c r="Q87" s="6"/>
      <c r="R87" s="6"/>
      <c r="S87" s="6"/>
      <c r="T87" s="6"/>
    </row>
    <row r="88" spans="1:20">
      <c r="A88" s="6"/>
      <c r="B88" s="6" t="s">
        <v>71</v>
      </c>
      <c r="C88" s="6">
        <v>51</v>
      </c>
      <c r="D88" s="11">
        <f t="shared" si="26"/>
        <v>365</v>
      </c>
      <c r="E88" s="11">
        <f>SUMIFS(Production!$D$2:$D$337,Production!$A$2:$A$337,B88,Production!$B$2:$B$337,C88,Production!$C$2:$C$337,Controls!$B$7)</f>
        <v>0</v>
      </c>
      <c r="F88" s="11">
        <f t="shared" si="19"/>
        <v>365</v>
      </c>
      <c r="G88" s="11">
        <f>SUMIFS(Orders!$F$2:$F$2881,Orders!$B$2:$B$2881,B88,Orders!$I$2:$I$2881,C88)*Controls!$B$6</f>
        <v>55</v>
      </c>
      <c r="H88" s="11">
        <f t="shared" si="20"/>
        <v>55</v>
      </c>
      <c r="I88" s="11">
        <f t="shared" si="21"/>
        <v>310</v>
      </c>
      <c r="J88" s="11">
        <f t="shared" si="22"/>
        <v>0</v>
      </c>
      <c r="K88" s="12">
        <f t="shared" si="23"/>
        <v>1</v>
      </c>
      <c r="L88" s="13">
        <f>IF(G88=0,0,J88/G88*SUMIFS(Orders!$G$2:$G$2881,Orders!$B$2:$B$2881,B88,Orders!$I$2:$I$2881,C88))*Controls!$B$6</f>
        <v>0</v>
      </c>
      <c r="M88" s="6" t="str">
        <f t="shared" si="24"/>
        <v>HT1064|51</v>
      </c>
      <c r="N88" s="12">
        <f t="shared" si="25"/>
        <v>0</v>
      </c>
      <c r="O88" s="6"/>
      <c r="P88" s="6"/>
      <c r="Q88" s="6"/>
      <c r="R88" s="6"/>
      <c r="S88" s="6"/>
      <c r="T88" s="6"/>
    </row>
    <row r="89" spans="1:20">
      <c r="A89" s="6"/>
      <c r="B89" s="6" t="s">
        <v>71</v>
      </c>
      <c r="C89" s="6">
        <v>52</v>
      </c>
      <c r="D89" s="11">
        <f t="shared" si="26"/>
        <v>310</v>
      </c>
      <c r="E89" s="11">
        <f>SUMIFS(Production!$D$2:$D$337,Production!$A$2:$A$337,B89,Production!$B$2:$B$337,C89,Production!$C$2:$C$337,Controls!$B$7)</f>
        <v>0</v>
      </c>
      <c r="F89" s="11">
        <f t="shared" si="19"/>
        <v>310</v>
      </c>
      <c r="G89" s="11">
        <f>SUMIFS(Orders!$F$2:$F$2881,Orders!$B$2:$B$2881,B89,Orders!$I$2:$I$2881,C89)*Controls!$B$6</f>
        <v>0</v>
      </c>
      <c r="H89" s="11">
        <f t="shared" si="20"/>
        <v>0</v>
      </c>
      <c r="I89" s="11">
        <f t="shared" si="21"/>
        <v>310</v>
      </c>
      <c r="J89" s="11">
        <f t="shared" si="22"/>
        <v>0</v>
      </c>
      <c r="K89" s="12" t="str">
        <f t="shared" si="23"/>
        <v>n.a.</v>
      </c>
      <c r="L89" s="13">
        <f>IF(G89=0,0,J89/G89*SUMIFS(Orders!$G$2:$G$2881,Orders!$B$2:$B$2881,B89,Orders!$I$2:$I$2881,C89))*Controls!$B$6</f>
        <v>0</v>
      </c>
      <c r="M89" s="6" t="str">
        <f t="shared" si="24"/>
        <v>HT1064|52</v>
      </c>
      <c r="N89" s="12">
        <f t="shared" si="25"/>
        <v>0</v>
      </c>
      <c r="O89" s="6"/>
      <c r="P89" s="6"/>
      <c r="Q89" s="6"/>
      <c r="R89" s="6"/>
      <c r="S89" s="6"/>
      <c r="T89" s="6"/>
    </row>
    <row r="90" spans="1:20">
      <c r="A90" s="6"/>
      <c r="B90" s="6" t="s">
        <v>72</v>
      </c>
      <c r="C90" s="6">
        <v>39</v>
      </c>
      <c r="D90" s="11">
        <f>SUMIFS(Products!$D$2:$D$13,Products!$B$2:$B$13,B90)</f>
        <v>187</v>
      </c>
      <c r="E90" s="11">
        <f>SUMIFS(Production!$D$2:$D$337,Production!$A$2:$A$337,B90,Production!$B$2:$B$337,C90,Production!$C$2:$C$337,Controls!$B$7)</f>
        <v>0</v>
      </c>
      <c r="F90" s="11">
        <f t="shared" si="19"/>
        <v>187</v>
      </c>
      <c r="G90" s="11">
        <f>SUMIFS(Orders!$F$2:$F$2881,Orders!$B$2:$B$2881,B90,Orders!$I$2:$I$2881,C90)*Controls!$B$6</f>
        <v>0</v>
      </c>
      <c r="H90" s="11">
        <f t="shared" si="20"/>
        <v>0</v>
      </c>
      <c r="I90" s="11">
        <f t="shared" si="21"/>
        <v>187</v>
      </c>
      <c r="J90" s="11">
        <f t="shared" si="22"/>
        <v>0</v>
      </c>
      <c r="K90" s="12" t="str">
        <f t="shared" si="23"/>
        <v>n.a.</v>
      </c>
      <c r="L90" s="13">
        <f>IF(G90=0,0,J90/G90*SUMIFS(Orders!$G$2:$G$2881,Orders!$B$2:$B$2881,B90,Orders!$I$2:$I$2881,C90))*Controls!$B$6</f>
        <v>0</v>
      </c>
      <c r="M90" s="6" t="str">
        <f t="shared" si="24"/>
        <v>HT2054|39</v>
      </c>
      <c r="N90" s="12">
        <f t="shared" si="25"/>
        <v>0</v>
      </c>
      <c r="O90" s="6"/>
      <c r="P90" s="6"/>
      <c r="Q90" s="6"/>
      <c r="R90" s="6"/>
      <c r="S90" s="6"/>
      <c r="T90" s="6"/>
    </row>
    <row r="91" spans="1:20">
      <c r="A91" s="6"/>
      <c r="B91" s="6" t="s">
        <v>72</v>
      </c>
      <c r="C91" s="6">
        <v>40</v>
      </c>
      <c r="D91" s="11">
        <f t="shared" ref="D91:D103" si="27">I90</f>
        <v>187</v>
      </c>
      <c r="E91" s="11">
        <f>SUMIFS(Production!$D$2:$D$337,Production!$A$2:$A$337,B91,Production!$B$2:$B$337,C91,Production!$C$2:$C$337,Controls!$B$7)</f>
        <v>0</v>
      </c>
      <c r="F91" s="11">
        <f t="shared" si="19"/>
        <v>187</v>
      </c>
      <c r="G91" s="11">
        <f>SUMIFS(Orders!$F$2:$F$2881,Orders!$B$2:$B$2881,B91,Orders!$I$2:$I$2881,C91)*Controls!$B$6</f>
        <v>140</v>
      </c>
      <c r="H91" s="11">
        <f t="shared" si="20"/>
        <v>140</v>
      </c>
      <c r="I91" s="11">
        <f t="shared" si="21"/>
        <v>47</v>
      </c>
      <c r="J91" s="11">
        <f t="shared" si="22"/>
        <v>0</v>
      </c>
      <c r="K91" s="12">
        <f t="shared" si="23"/>
        <v>1</v>
      </c>
      <c r="L91" s="13">
        <f>IF(G91=0,0,J91/G91*SUMIFS(Orders!$G$2:$G$2881,Orders!$B$2:$B$2881,B91,Orders!$I$2:$I$2881,C91))*Controls!$B$6</f>
        <v>0</v>
      </c>
      <c r="M91" s="6" t="str">
        <f t="shared" si="24"/>
        <v>HT2054|40</v>
      </c>
      <c r="N91" s="12">
        <f t="shared" si="25"/>
        <v>0</v>
      </c>
      <c r="O91" s="6"/>
      <c r="P91" s="6"/>
      <c r="Q91" s="6"/>
      <c r="R91" s="6"/>
      <c r="S91" s="6"/>
      <c r="T91" s="6"/>
    </row>
    <row r="92" spans="1:20">
      <c r="A92" s="6"/>
      <c r="B92" s="6" t="s">
        <v>72</v>
      </c>
      <c r="C92" s="6">
        <v>41</v>
      </c>
      <c r="D92" s="11">
        <f t="shared" si="27"/>
        <v>47</v>
      </c>
      <c r="E92" s="11">
        <f>SUMIFS(Production!$D$2:$D$337,Production!$A$2:$A$337,B92,Production!$B$2:$B$337,C92,Production!$C$2:$C$337,Controls!$B$7)</f>
        <v>0</v>
      </c>
      <c r="F92" s="11">
        <f t="shared" si="19"/>
        <v>47</v>
      </c>
      <c r="G92" s="11">
        <f>SUMIFS(Orders!$F$2:$F$2881,Orders!$B$2:$B$2881,B92,Orders!$I$2:$I$2881,C92)*Controls!$B$6</f>
        <v>40</v>
      </c>
      <c r="H92" s="11">
        <f t="shared" si="20"/>
        <v>40</v>
      </c>
      <c r="I92" s="11">
        <f t="shared" si="21"/>
        <v>7</v>
      </c>
      <c r="J92" s="11">
        <f t="shared" si="22"/>
        <v>0</v>
      </c>
      <c r="K92" s="12">
        <f t="shared" si="23"/>
        <v>1</v>
      </c>
      <c r="L92" s="13">
        <f>IF(G92=0,0,J92/G92*SUMIFS(Orders!$G$2:$G$2881,Orders!$B$2:$B$2881,B92,Orders!$I$2:$I$2881,C92))*Controls!$B$6</f>
        <v>0</v>
      </c>
      <c r="M92" s="6" t="str">
        <f t="shared" si="24"/>
        <v>HT2054|41</v>
      </c>
      <c r="N92" s="12">
        <f t="shared" si="25"/>
        <v>0</v>
      </c>
      <c r="O92" s="6"/>
      <c r="P92" s="6"/>
      <c r="Q92" s="6"/>
      <c r="R92" s="6"/>
      <c r="S92" s="6"/>
      <c r="T92" s="6"/>
    </row>
    <row r="93" spans="1:20">
      <c r="A93" s="6"/>
      <c r="B93" s="6" t="s">
        <v>72</v>
      </c>
      <c r="C93" s="6">
        <v>42</v>
      </c>
      <c r="D93" s="11">
        <f t="shared" si="27"/>
        <v>7</v>
      </c>
      <c r="E93" s="11">
        <f>SUMIFS(Production!$D$2:$D$337,Production!$A$2:$A$337,B93,Production!$B$2:$B$337,C93,Production!$C$2:$C$337,Controls!$B$7)</f>
        <v>1000</v>
      </c>
      <c r="F93" s="11">
        <f t="shared" si="19"/>
        <v>1007</v>
      </c>
      <c r="G93" s="11">
        <f>SUMIFS(Orders!$F$2:$F$2881,Orders!$B$2:$B$2881,B93,Orders!$I$2:$I$2881,C93)*Controls!$B$6</f>
        <v>0</v>
      </c>
      <c r="H93" s="11">
        <f t="shared" si="20"/>
        <v>0</v>
      </c>
      <c r="I93" s="11">
        <f t="shared" si="21"/>
        <v>1007</v>
      </c>
      <c r="J93" s="11">
        <f t="shared" si="22"/>
        <v>0</v>
      </c>
      <c r="K93" s="12" t="str">
        <f t="shared" si="23"/>
        <v>n.a.</v>
      </c>
      <c r="L93" s="13">
        <f>IF(G93=0,0,J93/G93*SUMIFS(Orders!$G$2:$G$2881,Orders!$B$2:$B$2881,B93,Orders!$I$2:$I$2881,C93))*Controls!$B$6</f>
        <v>0</v>
      </c>
      <c r="M93" s="6" t="str">
        <f t="shared" si="24"/>
        <v>HT2054|42</v>
      </c>
      <c r="N93" s="12">
        <f t="shared" si="25"/>
        <v>0</v>
      </c>
      <c r="O93" s="6"/>
      <c r="P93" s="6"/>
      <c r="Q93" s="6"/>
      <c r="R93" s="6"/>
      <c r="S93" s="6"/>
      <c r="T93" s="6"/>
    </row>
    <row r="94" spans="1:20">
      <c r="A94" s="6"/>
      <c r="B94" s="6" t="s">
        <v>72</v>
      </c>
      <c r="C94" s="6">
        <v>43</v>
      </c>
      <c r="D94" s="11">
        <f t="shared" si="27"/>
        <v>1007</v>
      </c>
      <c r="E94" s="11">
        <f>SUMIFS(Production!$D$2:$D$337,Production!$A$2:$A$337,B94,Production!$B$2:$B$337,C94,Production!$C$2:$C$337,Controls!$B$7)</f>
        <v>0</v>
      </c>
      <c r="F94" s="11">
        <f t="shared" si="19"/>
        <v>1007</v>
      </c>
      <c r="G94" s="11">
        <f>SUMIFS(Orders!$F$2:$F$2881,Orders!$B$2:$B$2881,B94,Orders!$I$2:$I$2881,C94)*Controls!$B$6</f>
        <v>60</v>
      </c>
      <c r="H94" s="11">
        <f t="shared" si="20"/>
        <v>60</v>
      </c>
      <c r="I94" s="11">
        <f t="shared" si="21"/>
        <v>947</v>
      </c>
      <c r="J94" s="11">
        <f t="shared" si="22"/>
        <v>0</v>
      </c>
      <c r="K94" s="12">
        <f t="shared" si="23"/>
        <v>1</v>
      </c>
      <c r="L94" s="13">
        <f>IF(G94=0,0,J94/G94*SUMIFS(Orders!$G$2:$G$2881,Orders!$B$2:$B$2881,B94,Orders!$I$2:$I$2881,C94))*Controls!$B$6</f>
        <v>0</v>
      </c>
      <c r="M94" s="6" t="str">
        <f t="shared" si="24"/>
        <v>HT2054|43</v>
      </c>
      <c r="N94" s="12">
        <f t="shared" si="25"/>
        <v>0</v>
      </c>
      <c r="O94" s="6"/>
      <c r="P94" s="6"/>
      <c r="Q94" s="6"/>
      <c r="R94" s="6"/>
      <c r="S94" s="6"/>
      <c r="T94" s="6"/>
    </row>
    <row r="95" spans="1:20">
      <c r="A95" s="6"/>
      <c r="B95" s="6" t="s">
        <v>72</v>
      </c>
      <c r="C95" s="6">
        <v>44</v>
      </c>
      <c r="D95" s="11">
        <f t="shared" si="27"/>
        <v>947</v>
      </c>
      <c r="E95" s="11">
        <f>SUMIFS(Production!$D$2:$D$337,Production!$A$2:$A$337,B95,Production!$B$2:$B$337,C95,Production!$C$2:$C$337,Controls!$B$7)</f>
        <v>0</v>
      </c>
      <c r="F95" s="11">
        <f t="shared" si="19"/>
        <v>947</v>
      </c>
      <c r="G95" s="11">
        <f>SUMIFS(Orders!$F$2:$F$2881,Orders!$B$2:$B$2881,B95,Orders!$I$2:$I$2881,C95)*Controls!$B$6</f>
        <v>0</v>
      </c>
      <c r="H95" s="11">
        <f t="shared" si="20"/>
        <v>0</v>
      </c>
      <c r="I95" s="11">
        <f t="shared" si="21"/>
        <v>947</v>
      </c>
      <c r="J95" s="11">
        <f t="shared" si="22"/>
        <v>0</v>
      </c>
      <c r="K95" s="12" t="str">
        <f t="shared" si="23"/>
        <v>n.a.</v>
      </c>
      <c r="L95" s="13">
        <f>IF(G95=0,0,J95/G95*SUMIFS(Orders!$G$2:$G$2881,Orders!$B$2:$B$2881,B95,Orders!$I$2:$I$2881,C95))*Controls!$B$6</f>
        <v>0</v>
      </c>
      <c r="M95" s="6" t="str">
        <f t="shared" si="24"/>
        <v>HT2054|44</v>
      </c>
      <c r="N95" s="12">
        <f t="shared" si="25"/>
        <v>0</v>
      </c>
      <c r="O95" s="6"/>
      <c r="P95" s="6"/>
      <c r="Q95" s="6"/>
      <c r="R95" s="6"/>
      <c r="S95" s="6"/>
      <c r="T95" s="6"/>
    </row>
    <row r="96" spans="1:20">
      <c r="A96" s="6"/>
      <c r="B96" s="6" t="s">
        <v>72</v>
      </c>
      <c r="C96" s="6">
        <v>45</v>
      </c>
      <c r="D96" s="11">
        <f t="shared" si="27"/>
        <v>947</v>
      </c>
      <c r="E96" s="11">
        <f>SUMIFS(Production!$D$2:$D$337,Production!$A$2:$A$337,B96,Production!$B$2:$B$337,C96,Production!$C$2:$C$337,Controls!$B$7)</f>
        <v>0</v>
      </c>
      <c r="F96" s="11">
        <f t="shared" si="19"/>
        <v>947</v>
      </c>
      <c r="G96" s="11">
        <f>SUMIFS(Orders!$F$2:$F$2881,Orders!$B$2:$B$2881,B96,Orders!$I$2:$I$2881,C96)*Controls!$B$6</f>
        <v>70</v>
      </c>
      <c r="H96" s="11">
        <f t="shared" si="20"/>
        <v>70</v>
      </c>
      <c r="I96" s="11">
        <f t="shared" si="21"/>
        <v>877</v>
      </c>
      <c r="J96" s="11">
        <f t="shared" si="22"/>
        <v>0</v>
      </c>
      <c r="K96" s="12">
        <f t="shared" si="23"/>
        <v>1</v>
      </c>
      <c r="L96" s="13">
        <f>IF(G96=0,0,J96/G96*SUMIFS(Orders!$G$2:$G$2881,Orders!$B$2:$B$2881,B96,Orders!$I$2:$I$2881,C96))*Controls!$B$6</f>
        <v>0</v>
      </c>
      <c r="M96" s="6" t="str">
        <f t="shared" si="24"/>
        <v>HT2054|45</v>
      </c>
      <c r="N96" s="12">
        <f t="shared" si="25"/>
        <v>0</v>
      </c>
      <c r="O96" s="6"/>
      <c r="P96" s="6"/>
      <c r="Q96" s="6"/>
      <c r="R96" s="6"/>
      <c r="S96" s="6"/>
      <c r="T96" s="6"/>
    </row>
    <row r="97" spans="1:20">
      <c r="A97" s="6"/>
      <c r="B97" s="6" t="s">
        <v>72</v>
      </c>
      <c r="C97" s="6">
        <v>46</v>
      </c>
      <c r="D97" s="11">
        <f t="shared" si="27"/>
        <v>877</v>
      </c>
      <c r="E97" s="11">
        <f>SUMIFS(Production!$D$2:$D$337,Production!$A$2:$A$337,B97,Production!$B$2:$B$337,C97,Production!$C$2:$C$337,Controls!$B$7)</f>
        <v>0</v>
      </c>
      <c r="F97" s="11">
        <f t="shared" si="19"/>
        <v>877</v>
      </c>
      <c r="G97" s="11">
        <f>SUMIFS(Orders!$F$2:$F$2881,Orders!$B$2:$B$2881,B97,Orders!$I$2:$I$2881,C97)*Controls!$B$6</f>
        <v>70</v>
      </c>
      <c r="H97" s="11">
        <f t="shared" si="20"/>
        <v>70</v>
      </c>
      <c r="I97" s="11">
        <f t="shared" si="21"/>
        <v>807</v>
      </c>
      <c r="J97" s="11">
        <f t="shared" si="22"/>
        <v>0</v>
      </c>
      <c r="K97" s="12">
        <f t="shared" si="23"/>
        <v>1</v>
      </c>
      <c r="L97" s="13">
        <f>IF(G97=0,0,J97/G97*SUMIFS(Orders!$G$2:$G$2881,Orders!$B$2:$B$2881,B97,Orders!$I$2:$I$2881,C97))*Controls!$B$6</f>
        <v>0</v>
      </c>
      <c r="M97" s="6" t="str">
        <f t="shared" si="24"/>
        <v>HT2054|46</v>
      </c>
      <c r="N97" s="12">
        <f t="shared" si="25"/>
        <v>0</v>
      </c>
      <c r="O97" s="6"/>
      <c r="P97" s="6"/>
      <c r="Q97" s="6"/>
      <c r="R97" s="6"/>
      <c r="S97" s="6"/>
      <c r="T97" s="6"/>
    </row>
    <row r="98" spans="1:20">
      <c r="A98" s="6"/>
      <c r="B98" s="6" t="s">
        <v>72</v>
      </c>
      <c r="C98" s="6">
        <v>47</v>
      </c>
      <c r="D98" s="11">
        <f t="shared" si="27"/>
        <v>807</v>
      </c>
      <c r="E98" s="11">
        <f>SUMIFS(Production!$D$2:$D$337,Production!$A$2:$A$337,B98,Production!$B$2:$B$337,C98,Production!$C$2:$C$337,Controls!$B$7)</f>
        <v>0</v>
      </c>
      <c r="F98" s="11">
        <f t="shared" si="19"/>
        <v>807</v>
      </c>
      <c r="G98" s="11">
        <f>SUMIFS(Orders!$F$2:$F$2881,Orders!$B$2:$B$2881,B98,Orders!$I$2:$I$2881,C98)*Controls!$B$6</f>
        <v>0</v>
      </c>
      <c r="H98" s="11">
        <f t="shared" si="20"/>
        <v>0</v>
      </c>
      <c r="I98" s="11">
        <f t="shared" si="21"/>
        <v>807</v>
      </c>
      <c r="J98" s="11">
        <f t="shared" si="22"/>
        <v>0</v>
      </c>
      <c r="K98" s="12" t="str">
        <f t="shared" si="23"/>
        <v>n.a.</v>
      </c>
      <c r="L98" s="13">
        <f>IF(G98=0,0,J98/G98*SUMIFS(Orders!$G$2:$G$2881,Orders!$B$2:$B$2881,B98,Orders!$I$2:$I$2881,C98))*Controls!$B$6</f>
        <v>0</v>
      </c>
      <c r="M98" s="6" t="str">
        <f t="shared" si="24"/>
        <v>HT2054|47</v>
      </c>
      <c r="N98" s="12">
        <f t="shared" si="25"/>
        <v>0</v>
      </c>
      <c r="O98" s="6"/>
      <c r="P98" s="6"/>
      <c r="Q98" s="6"/>
      <c r="R98" s="6"/>
      <c r="S98" s="6"/>
      <c r="T98" s="6"/>
    </row>
    <row r="99" spans="1:20">
      <c r="A99" s="6"/>
      <c r="B99" s="6" t="s">
        <v>72</v>
      </c>
      <c r="C99" s="6">
        <v>48</v>
      </c>
      <c r="D99" s="11">
        <f t="shared" si="27"/>
        <v>807</v>
      </c>
      <c r="E99" s="11">
        <f>SUMIFS(Production!$D$2:$D$337,Production!$A$2:$A$337,B99,Production!$B$2:$B$337,C99,Production!$C$2:$C$337,Controls!$B$7)</f>
        <v>0</v>
      </c>
      <c r="F99" s="11">
        <f t="shared" si="19"/>
        <v>807</v>
      </c>
      <c r="G99" s="11">
        <f>SUMIFS(Orders!$F$2:$F$2881,Orders!$B$2:$B$2881,B99,Orders!$I$2:$I$2881,C99)*Controls!$B$6</f>
        <v>402</v>
      </c>
      <c r="H99" s="11">
        <f t="shared" si="20"/>
        <v>402</v>
      </c>
      <c r="I99" s="11">
        <f t="shared" si="21"/>
        <v>405</v>
      </c>
      <c r="J99" s="11">
        <f t="shared" si="22"/>
        <v>0</v>
      </c>
      <c r="K99" s="12">
        <f t="shared" si="23"/>
        <v>1</v>
      </c>
      <c r="L99" s="13">
        <f>IF(G99=0,0,J99/G99*SUMIFS(Orders!$G$2:$G$2881,Orders!$B$2:$B$2881,B99,Orders!$I$2:$I$2881,C99))*Controls!$B$6</f>
        <v>0</v>
      </c>
      <c r="M99" s="6" t="str">
        <f t="shared" si="24"/>
        <v>HT2054|48</v>
      </c>
      <c r="N99" s="12">
        <f t="shared" si="25"/>
        <v>0</v>
      </c>
      <c r="O99" s="6"/>
      <c r="P99" s="6"/>
      <c r="Q99" s="6"/>
      <c r="R99" s="6"/>
      <c r="S99" s="6"/>
      <c r="T99" s="6"/>
    </row>
    <row r="100" spans="1:20">
      <c r="A100" s="6"/>
      <c r="B100" s="6" t="s">
        <v>72</v>
      </c>
      <c r="C100" s="6">
        <v>49</v>
      </c>
      <c r="D100" s="11">
        <f t="shared" si="27"/>
        <v>405</v>
      </c>
      <c r="E100" s="11">
        <f>SUMIFS(Production!$D$2:$D$337,Production!$A$2:$A$337,B100,Production!$B$2:$B$337,C100,Production!$C$2:$C$337,Controls!$B$7)</f>
        <v>0</v>
      </c>
      <c r="F100" s="11">
        <f t="shared" si="19"/>
        <v>405</v>
      </c>
      <c r="G100" s="11">
        <f>SUMIFS(Orders!$F$2:$F$2881,Orders!$B$2:$B$2881,B100,Orders!$I$2:$I$2881,C100)*Controls!$B$6</f>
        <v>90</v>
      </c>
      <c r="H100" s="11">
        <f t="shared" si="20"/>
        <v>90</v>
      </c>
      <c r="I100" s="11">
        <f t="shared" si="21"/>
        <v>315</v>
      </c>
      <c r="J100" s="11">
        <f t="shared" si="22"/>
        <v>0</v>
      </c>
      <c r="K100" s="12">
        <f t="shared" si="23"/>
        <v>1</v>
      </c>
      <c r="L100" s="13">
        <f>IF(G100=0,0,J100/G100*SUMIFS(Orders!$G$2:$G$2881,Orders!$B$2:$B$2881,B100,Orders!$I$2:$I$2881,C100))*Controls!$B$6</f>
        <v>0</v>
      </c>
      <c r="M100" s="6" t="str">
        <f t="shared" si="24"/>
        <v>HT2054|49</v>
      </c>
      <c r="N100" s="12">
        <f t="shared" si="25"/>
        <v>0</v>
      </c>
      <c r="O100" s="6"/>
      <c r="P100" s="6"/>
      <c r="Q100" s="6"/>
      <c r="R100" s="6"/>
      <c r="S100" s="6"/>
      <c r="T100" s="6"/>
    </row>
    <row r="101" spans="1:20">
      <c r="A101" s="6"/>
      <c r="B101" s="6" t="s">
        <v>72</v>
      </c>
      <c r="C101" s="6">
        <v>50</v>
      </c>
      <c r="D101" s="11">
        <f t="shared" si="27"/>
        <v>315</v>
      </c>
      <c r="E101" s="11">
        <f>SUMIFS(Production!$D$2:$D$337,Production!$A$2:$A$337,B101,Production!$B$2:$B$337,C101,Production!$C$2:$C$337,Controls!$B$7)</f>
        <v>0</v>
      </c>
      <c r="F101" s="11">
        <f t="shared" si="19"/>
        <v>315</v>
      </c>
      <c r="G101" s="11">
        <f>SUMIFS(Orders!$F$2:$F$2881,Orders!$B$2:$B$2881,B101,Orders!$I$2:$I$2881,C101)*Controls!$B$6</f>
        <v>0</v>
      </c>
      <c r="H101" s="11">
        <f t="shared" si="20"/>
        <v>0</v>
      </c>
      <c r="I101" s="11">
        <f t="shared" si="21"/>
        <v>315</v>
      </c>
      <c r="J101" s="11">
        <f t="shared" si="22"/>
        <v>0</v>
      </c>
      <c r="K101" s="12" t="str">
        <f t="shared" si="23"/>
        <v>n.a.</v>
      </c>
      <c r="L101" s="13">
        <f>IF(G101=0,0,J101/G101*SUMIFS(Orders!$G$2:$G$2881,Orders!$B$2:$B$2881,B101,Orders!$I$2:$I$2881,C101))*Controls!$B$6</f>
        <v>0</v>
      </c>
      <c r="M101" s="6" t="str">
        <f t="shared" si="24"/>
        <v>HT2054|50</v>
      </c>
      <c r="N101" s="12">
        <f t="shared" si="25"/>
        <v>0</v>
      </c>
      <c r="O101" s="6"/>
      <c r="P101" s="6"/>
      <c r="Q101" s="6"/>
      <c r="R101" s="6"/>
      <c r="S101" s="6"/>
      <c r="T101" s="6"/>
    </row>
    <row r="102" spans="1:20">
      <c r="A102" s="6"/>
      <c r="B102" s="6" t="s">
        <v>72</v>
      </c>
      <c r="C102" s="6">
        <v>51</v>
      </c>
      <c r="D102" s="11">
        <f t="shared" si="27"/>
        <v>315</v>
      </c>
      <c r="E102" s="11">
        <f>SUMIFS(Production!$D$2:$D$337,Production!$A$2:$A$337,B102,Production!$B$2:$B$337,C102,Production!$C$2:$C$337,Controls!$B$7)</f>
        <v>0</v>
      </c>
      <c r="F102" s="11">
        <f t="shared" ref="F102:F133" si="28">D102+E102</f>
        <v>315</v>
      </c>
      <c r="G102" s="11">
        <f>SUMIFS(Orders!$F$2:$F$2881,Orders!$B$2:$B$2881,B102,Orders!$I$2:$I$2881,C102)*Controls!$B$6</f>
        <v>222</v>
      </c>
      <c r="H102" s="11">
        <f t="shared" ref="H102:H133" si="29">MIN(F102,G102)</f>
        <v>222</v>
      </c>
      <c r="I102" s="11">
        <f t="shared" ref="I102:I133" si="30">F102-H102</f>
        <v>93</v>
      </c>
      <c r="J102" s="11">
        <f t="shared" ref="J102:J133" si="31">G102-H102</f>
        <v>0</v>
      </c>
      <c r="K102" s="12">
        <f t="shared" ref="K102:K133" si="32">IF(G102=0,"n.a.",H102/G102)</f>
        <v>1</v>
      </c>
      <c r="L102" s="13">
        <f>IF(G102=0,0,J102/G102*SUMIFS(Orders!$G$2:$G$2881,Orders!$B$2:$B$2881,B102,Orders!$I$2:$I$2881,C102))*Controls!$B$6</f>
        <v>0</v>
      </c>
      <c r="M102" s="6" t="str">
        <f t="shared" ref="M102:M133" si="33">B102&amp;"|"&amp;C102</f>
        <v>HT2054|51</v>
      </c>
      <c r="N102" s="12">
        <f t="shared" ref="N102:N133" si="34">IF(G102=0,0,J102/G102)</f>
        <v>0</v>
      </c>
      <c r="O102" s="6"/>
      <c r="P102" s="6"/>
      <c r="Q102" s="6"/>
      <c r="R102" s="6"/>
      <c r="S102" s="6"/>
      <c r="T102" s="6"/>
    </row>
    <row r="103" spans="1:20">
      <c r="A103" s="6"/>
      <c r="B103" s="6" t="s">
        <v>72</v>
      </c>
      <c r="C103" s="6">
        <v>52</v>
      </c>
      <c r="D103" s="11">
        <f t="shared" si="27"/>
        <v>93</v>
      </c>
      <c r="E103" s="11">
        <f>SUMIFS(Production!$D$2:$D$337,Production!$A$2:$A$337,B103,Production!$B$2:$B$337,C103,Production!$C$2:$C$337,Controls!$B$7)</f>
        <v>0</v>
      </c>
      <c r="F103" s="11">
        <f t="shared" si="28"/>
        <v>93</v>
      </c>
      <c r="G103" s="11">
        <f>SUMIFS(Orders!$F$2:$F$2881,Orders!$B$2:$B$2881,B103,Orders!$I$2:$I$2881,C103)*Controls!$B$6</f>
        <v>30</v>
      </c>
      <c r="H103" s="11">
        <f t="shared" si="29"/>
        <v>30</v>
      </c>
      <c r="I103" s="11">
        <f t="shared" si="30"/>
        <v>63</v>
      </c>
      <c r="J103" s="11">
        <f t="shared" si="31"/>
        <v>0</v>
      </c>
      <c r="K103" s="12">
        <f t="shared" si="32"/>
        <v>1</v>
      </c>
      <c r="L103" s="13">
        <f>IF(G103=0,0,J103/G103*SUMIFS(Orders!$G$2:$G$2881,Orders!$B$2:$B$2881,B103,Orders!$I$2:$I$2881,C103))*Controls!$B$6</f>
        <v>0</v>
      </c>
      <c r="M103" s="6" t="str">
        <f t="shared" si="33"/>
        <v>HT2054|52</v>
      </c>
      <c r="N103" s="12">
        <f t="shared" si="34"/>
        <v>0</v>
      </c>
      <c r="O103" s="6"/>
      <c r="P103" s="6"/>
      <c r="Q103" s="6"/>
      <c r="R103" s="6"/>
      <c r="S103" s="6"/>
      <c r="T103" s="6"/>
    </row>
    <row r="104" spans="1:20">
      <c r="A104" s="6"/>
      <c r="B104" s="6" t="s">
        <v>73</v>
      </c>
      <c r="C104" s="6">
        <v>39</v>
      </c>
      <c r="D104" s="11">
        <f>SUMIFS(Products!$D$2:$D$13,Products!$B$2:$B$13,B104)</f>
        <v>130</v>
      </c>
      <c r="E104" s="11">
        <f>SUMIFS(Production!$D$2:$D$337,Production!$A$2:$A$337,B104,Production!$B$2:$B$337,C104,Production!$C$2:$C$337,Controls!$B$7)</f>
        <v>0</v>
      </c>
      <c r="F104" s="11">
        <f t="shared" si="28"/>
        <v>130</v>
      </c>
      <c r="G104" s="11">
        <f>SUMIFS(Orders!$F$2:$F$2881,Orders!$B$2:$B$2881,B104,Orders!$I$2:$I$2881,C104)*Controls!$B$6</f>
        <v>0</v>
      </c>
      <c r="H104" s="11">
        <f t="shared" si="29"/>
        <v>0</v>
      </c>
      <c r="I104" s="11">
        <f t="shared" si="30"/>
        <v>130</v>
      </c>
      <c r="J104" s="11">
        <f t="shared" si="31"/>
        <v>0</v>
      </c>
      <c r="K104" s="12" t="str">
        <f t="shared" si="32"/>
        <v>n.a.</v>
      </c>
      <c r="L104" s="13">
        <f>IF(G104=0,0,J104/G104*SUMIFS(Orders!$G$2:$G$2881,Orders!$B$2:$B$2881,B104,Orders!$I$2:$I$2881,C104))*Controls!$B$6</f>
        <v>0</v>
      </c>
      <c r="M104" s="6" t="str">
        <f t="shared" si="33"/>
        <v>OB1265|39</v>
      </c>
      <c r="N104" s="12">
        <f t="shared" si="34"/>
        <v>0</v>
      </c>
      <c r="O104" s="6"/>
      <c r="P104" s="6"/>
      <c r="Q104" s="6"/>
      <c r="R104" s="6"/>
      <c r="S104" s="6"/>
      <c r="T104" s="6"/>
    </row>
    <row r="105" spans="1:20">
      <c r="A105" s="6"/>
      <c r="B105" s="6" t="s">
        <v>73</v>
      </c>
      <c r="C105" s="6">
        <v>40</v>
      </c>
      <c r="D105" s="11">
        <f t="shared" ref="D105:D117" si="35">I104</f>
        <v>130</v>
      </c>
      <c r="E105" s="11">
        <f>SUMIFS(Production!$D$2:$D$337,Production!$A$2:$A$337,B105,Production!$B$2:$B$337,C105,Production!$C$2:$C$337,Controls!$B$7)</f>
        <v>1000</v>
      </c>
      <c r="F105" s="11">
        <f t="shared" si="28"/>
        <v>1130</v>
      </c>
      <c r="G105" s="11">
        <f>SUMIFS(Orders!$F$2:$F$2881,Orders!$B$2:$B$2881,B105,Orders!$I$2:$I$2881,C105)*Controls!$B$6</f>
        <v>69</v>
      </c>
      <c r="H105" s="11">
        <f t="shared" si="29"/>
        <v>69</v>
      </c>
      <c r="I105" s="11">
        <f t="shared" si="30"/>
        <v>1061</v>
      </c>
      <c r="J105" s="11">
        <f t="shared" si="31"/>
        <v>0</v>
      </c>
      <c r="K105" s="12">
        <f t="shared" si="32"/>
        <v>1</v>
      </c>
      <c r="L105" s="13">
        <f>IF(G105=0,0,J105/G105*SUMIFS(Orders!$G$2:$G$2881,Orders!$B$2:$B$2881,B105,Orders!$I$2:$I$2881,C105))*Controls!$B$6</f>
        <v>0</v>
      </c>
      <c r="M105" s="6" t="str">
        <f t="shared" si="33"/>
        <v>OB1265|40</v>
      </c>
      <c r="N105" s="12">
        <f t="shared" si="34"/>
        <v>0</v>
      </c>
      <c r="O105" s="6"/>
      <c r="P105" s="6"/>
      <c r="Q105" s="6"/>
      <c r="R105" s="6"/>
      <c r="S105" s="6"/>
      <c r="T105" s="6"/>
    </row>
    <row r="106" spans="1:20">
      <c r="A106" s="6"/>
      <c r="B106" s="6" t="s">
        <v>73</v>
      </c>
      <c r="C106" s="6">
        <v>41</v>
      </c>
      <c r="D106" s="11">
        <f t="shared" si="35"/>
        <v>1061</v>
      </c>
      <c r="E106" s="11">
        <f>SUMIFS(Production!$D$2:$D$337,Production!$A$2:$A$337,B106,Production!$B$2:$B$337,C106,Production!$C$2:$C$337,Controls!$B$7)</f>
        <v>0</v>
      </c>
      <c r="F106" s="11">
        <f t="shared" si="28"/>
        <v>1061</v>
      </c>
      <c r="G106" s="11">
        <f>SUMIFS(Orders!$F$2:$F$2881,Orders!$B$2:$B$2881,B106,Orders!$I$2:$I$2881,C106)*Controls!$B$6</f>
        <v>71</v>
      </c>
      <c r="H106" s="11">
        <f t="shared" si="29"/>
        <v>71</v>
      </c>
      <c r="I106" s="11">
        <f t="shared" si="30"/>
        <v>990</v>
      </c>
      <c r="J106" s="11">
        <f t="shared" si="31"/>
        <v>0</v>
      </c>
      <c r="K106" s="12">
        <f t="shared" si="32"/>
        <v>1</v>
      </c>
      <c r="L106" s="13">
        <f>IF(G106=0,0,J106/G106*SUMIFS(Orders!$G$2:$G$2881,Orders!$B$2:$B$2881,B106,Orders!$I$2:$I$2881,C106))*Controls!$B$6</f>
        <v>0</v>
      </c>
      <c r="M106" s="6" t="str">
        <f t="shared" si="33"/>
        <v>OB1265|41</v>
      </c>
      <c r="N106" s="12">
        <f t="shared" si="34"/>
        <v>0</v>
      </c>
      <c r="O106" s="6"/>
      <c r="P106" s="6"/>
      <c r="Q106" s="6"/>
      <c r="R106" s="6"/>
      <c r="S106" s="6"/>
      <c r="T106" s="6"/>
    </row>
    <row r="107" spans="1:20">
      <c r="A107" s="6"/>
      <c r="B107" s="6" t="s">
        <v>73</v>
      </c>
      <c r="C107" s="6">
        <v>42</v>
      </c>
      <c r="D107" s="11">
        <f t="shared" si="35"/>
        <v>990</v>
      </c>
      <c r="E107" s="11">
        <f>SUMIFS(Production!$D$2:$D$337,Production!$A$2:$A$337,B107,Production!$B$2:$B$337,C107,Production!$C$2:$C$337,Controls!$B$7)</f>
        <v>0</v>
      </c>
      <c r="F107" s="11">
        <f t="shared" si="28"/>
        <v>990</v>
      </c>
      <c r="G107" s="11">
        <f>SUMIFS(Orders!$F$2:$F$2881,Orders!$B$2:$B$2881,B107,Orders!$I$2:$I$2881,C107)*Controls!$B$6</f>
        <v>94</v>
      </c>
      <c r="H107" s="11">
        <f t="shared" si="29"/>
        <v>94</v>
      </c>
      <c r="I107" s="11">
        <f t="shared" si="30"/>
        <v>896</v>
      </c>
      <c r="J107" s="11">
        <f t="shared" si="31"/>
        <v>0</v>
      </c>
      <c r="K107" s="12">
        <f t="shared" si="32"/>
        <v>1</v>
      </c>
      <c r="L107" s="13">
        <f>IF(G107=0,0,J107/G107*SUMIFS(Orders!$G$2:$G$2881,Orders!$B$2:$B$2881,B107,Orders!$I$2:$I$2881,C107))*Controls!$B$6</f>
        <v>0</v>
      </c>
      <c r="M107" s="6" t="str">
        <f t="shared" si="33"/>
        <v>OB1265|42</v>
      </c>
      <c r="N107" s="12">
        <f t="shared" si="34"/>
        <v>0</v>
      </c>
      <c r="O107" s="6"/>
      <c r="P107" s="6"/>
      <c r="Q107" s="6"/>
      <c r="R107" s="6"/>
      <c r="S107" s="6"/>
      <c r="T107" s="6"/>
    </row>
    <row r="108" spans="1:20">
      <c r="A108" s="6"/>
      <c r="B108" s="6" t="s">
        <v>73</v>
      </c>
      <c r="C108" s="6">
        <v>43</v>
      </c>
      <c r="D108" s="11">
        <f t="shared" si="35"/>
        <v>896</v>
      </c>
      <c r="E108" s="11">
        <f>SUMIFS(Production!$D$2:$D$337,Production!$A$2:$A$337,B108,Production!$B$2:$B$337,C108,Production!$C$2:$C$337,Controls!$B$7)</f>
        <v>0</v>
      </c>
      <c r="F108" s="11">
        <f t="shared" si="28"/>
        <v>896</v>
      </c>
      <c r="G108" s="11">
        <f>SUMIFS(Orders!$F$2:$F$2881,Orders!$B$2:$B$2881,B108,Orders!$I$2:$I$2881,C108)*Controls!$B$6</f>
        <v>36</v>
      </c>
      <c r="H108" s="11">
        <f t="shared" si="29"/>
        <v>36</v>
      </c>
      <c r="I108" s="11">
        <f t="shared" si="30"/>
        <v>860</v>
      </c>
      <c r="J108" s="11">
        <f t="shared" si="31"/>
        <v>0</v>
      </c>
      <c r="K108" s="12">
        <f t="shared" si="32"/>
        <v>1</v>
      </c>
      <c r="L108" s="13">
        <f>IF(G108=0,0,J108/G108*SUMIFS(Orders!$G$2:$G$2881,Orders!$B$2:$B$2881,B108,Orders!$I$2:$I$2881,C108))*Controls!$B$6</f>
        <v>0</v>
      </c>
      <c r="M108" s="6" t="str">
        <f t="shared" si="33"/>
        <v>OB1265|43</v>
      </c>
      <c r="N108" s="12">
        <f t="shared" si="34"/>
        <v>0</v>
      </c>
      <c r="O108" s="6"/>
      <c r="P108" s="6"/>
      <c r="Q108" s="6"/>
      <c r="R108" s="6"/>
      <c r="S108" s="6"/>
      <c r="T108" s="6"/>
    </row>
    <row r="109" spans="1:20">
      <c r="A109" s="6"/>
      <c r="B109" s="6" t="s">
        <v>73</v>
      </c>
      <c r="C109" s="6">
        <v>44</v>
      </c>
      <c r="D109" s="11">
        <f t="shared" si="35"/>
        <v>860</v>
      </c>
      <c r="E109" s="11">
        <f>SUMIFS(Production!$D$2:$D$337,Production!$A$2:$A$337,B109,Production!$B$2:$B$337,C109,Production!$C$2:$C$337,Controls!$B$7)</f>
        <v>0</v>
      </c>
      <c r="F109" s="11">
        <f t="shared" si="28"/>
        <v>860</v>
      </c>
      <c r="G109" s="11">
        <f>SUMIFS(Orders!$F$2:$F$2881,Orders!$B$2:$B$2881,B109,Orders!$I$2:$I$2881,C109)*Controls!$B$6</f>
        <v>40</v>
      </c>
      <c r="H109" s="11">
        <f t="shared" si="29"/>
        <v>40</v>
      </c>
      <c r="I109" s="11">
        <f t="shared" si="30"/>
        <v>820</v>
      </c>
      <c r="J109" s="11">
        <f t="shared" si="31"/>
        <v>0</v>
      </c>
      <c r="K109" s="12">
        <f t="shared" si="32"/>
        <v>1</v>
      </c>
      <c r="L109" s="13">
        <f>IF(G109=0,0,J109/G109*SUMIFS(Orders!$G$2:$G$2881,Orders!$B$2:$B$2881,B109,Orders!$I$2:$I$2881,C109))*Controls!$B$6</f>
        <v>0</v>
      </c>
      <c r="M109" s="6" t="str">
        <f t="shared" si="33"/>
        <v>OB1265|44</v>
      </c>
      <c r="N109" s="12">
        <f t="shared" si="34"/>
        <v>0</v>
      </c>
      <c r="O109" s="6"/>
      <c r="P109" s="6"/>
      <c r="Q109" s="6"/>
      <c r="R109" s="6"/>
      <c r="S109" s="6"/>
      <c r="T109" s="6"/>
    </row>
    <row r="110" spans="1:20">
      <c r="A110" s="6"/>
      <c r="B110" s="6" t="s">
        <v>73</v>
      </c>
      <c r="C110" s="6">
        <v>45</v>
      </c>
      <c r="D110" s="11">
        <f t="shared" si="35"/>
        <v>820</v>
      </c>
      <c r="E110" s="11">
        <f>SUMIFS(Production!$D$2:$D$337,Production!$A$2:$A$337,B110,Production!$B$2:$B$337,C110,Production!$C$2:$C$337,Controls!$B$7)</f>
        <v>0</v>
      </c>
      <c r="F110" s="11">
        <f t="shared" si="28"/>
        <v>820</v>
      </c>
      <c r="G110" s="11">
        <f>SUMIFS(Orders!$F$2:$F$2881,Orders!$B$2:$B$2881,B110,Orders!$I$2:$I$2881,C110)*Controls!$B$6</f>
        <v>158</v>
      </c>
      <c r="H110" s="11">
        <f t="shared" si="29"/>
        <v>158</v>
      </c>
      <c r="I110" s="11">
        <f t="shared" si="30"/>
        <v>662</v>
      </c>
      <c r="J110" s="11">
        <f t="shared" si="31"/>
        <v>0</v>
      </c>
      <c r="K110" s="12">
        <f t="shared" si="32"/>
        <v>1</v>
      </c>
      <c r="L110" s="13">
        <f>IF(G110=0,0,J110/G110*SUMIFS(Orders!$G$2:$G$2881,Orders!$B$2:$B$2881,B110,Orders!$I$2:$I$2881,C110))*Controls!$B$6</f>
        <v>0</v>
      </c>
      <c r="M110" s="6" t="str">
        <f t="shared" si="33"/>
        <v>OB1265|45</v>
      </c>
      <c r="N110" s="12">
        <f t="shared" si="34"/>
        <v>0</v>
      </c>
      <c r="O110" s="6"/>
      <c r="P110" s="6"/>
      <c r="Q110" s="6"/>
      <c r="R110" s="6"/>
      <c r="S110" s="6"/>
      <c r="T110" s="6"/>
    </row>
    <row r="111" spans="1:20">
      <c r="A111" s="6"/>
      <c r="B111" s="6" t="s">
        <v>73</v>
      </c>
      <c r="C111" s="6">
        <v>46</v>
      </c>
      <c r="D111" s="11">
        <f t="shared" si="35"/>
        <v>662</v>
      </c>
      <c r="E111" s="11">
        <f>SUMIFS(Production!$D$2:$D$337,Production!$A$2:$A$337,B111,Production!$B$2:$B$337,C111,Production!$C$2:$C$337,Controls!$B$7)</f>
        <v>0</v>
      </c>
      <c r="F111" s="11">
        <f t="shared" si="28"/>
        <v>662</v>
      </c>
      <c r="G111" s="11">
        <f>SUMIFS(Orders!$F$2:$F$2881,Orders!$B$2:$B$2881,B111,Orders!$I$2:$I$2881,C111)*Controls!$B$6</f>
        <v>68</v>
      </c>
      <c r="H111" s="11">
        <f t="shared" si="29"/>
        <v>68</v>
      </c>
      <c r="I111" s="11">
        <f t="shared" si="30"/>
        <v>594</v>
      </c>
      <c r="J111" s="11">
        <f t="shared" si="31"/>
        <v>0</v>
      </c>
      <c r="K111" s="12">
        <f t="shared" si="32"/>
        <v>1</v>
      </c>
      <c r="L111" s="13">
        <f>IF(G111=0,0,J111/G111*SUMIFS(Orders!$G$2:$G$2881,Orders!$B$2:$B$2881,B111,Orders!$I$2:$I$2881,C111))*Controls!$B$6</f>
        <v>0</v>
      </c>
      <c r="M111" s="6" t="str">
        <f t="shared" si="33"/>
        <v>OB1265|46</v>
      </c>
      <c r="N111" s="12">
        <f t="shared" si="34"/>
        <v>0</v>
      </c>
      <c r="O111" s="6"/>
      <c r="P111" s="6"/>
      <c r="Q111" s="6"/>
      <c r="R111" s="6"/>
      <c r="S111" s="6"/>
      <c r="T111" s="6"/>
    </row>
    <row r="112" spans="1:20">
      <c r="A112" s="6"/>
      <c r="B112" s="6" t="s">
        <v>73</v>
      </c>
      <c r="C112" s="6">
        <v>47</v>
      </c>
      <c r="D112" s="11">
        <f t="shared" si="35"/>
        <v>594</v>
      </c>
      <c r="E112" s="11">
        <f>SUMIFS(Production!$D$2:$D$337,Production!$A$2:$A$337,B112,Production!$B$2:$B$337,C112,Production!$C$2:$C$337,Controls!$B$7)</f>
        <v>0</v>
      </c>
      <c r="F112" s="11">
        <f t="shared" si="28"/>
        <v>594</v>
      </c>
      <c r="G112" s="11">
        <f>SUMIFS(Orders!$F$2:$F$2881,Orders!$B$2:$B$2881,B112,Orders!$I$2:$I$2881,C112)*Controls!$B$6</f>
        <v>82</v>
      </c>
      <c r="H112" s="11">
        <f t="shared" si="29"/>
        <v>82</v>
      </c>
      <c r="I112" s="11">
        <f t="shared" si="30"/>
        <v>512</v>
      </c>
      <c r="J112" s="11">
        <f t="shared" si="31"/>
        <v>0</v>
      </c>
      <c r="K112" s="12">
        <f t="shared" si="32"/>
        <v>1</v>
      </c>
      <c r="L112" s="13">
        <f>IF(G112=0,0,J112/G112*SUMIFS(Orders!$G$2:$G$2881,Orders!$B$2:$B$2881,B112,Orders!$I$2:$I$2881,C112))*Controls!$B$6</f>
        <v>0</v>
      </c>
      <c r="M112" s="6" t="str">
        <f t="shared" si="33"/>
        <v>OB1265|47</v>
      </c>
      <c r="N112" s="12">
        <f t="shared" si="34"/>
        <v>0</v>
      </c>
      <c r="O112" s="6"/>
      <c r="P112" s="6"/>
      <c r="Q112" s="6"/>
      <c r="R112" s="6"/>
      <c r="S112" s="6"/>
      <c r="T112" s="6"/>
    </row>
    <row r="113" spans="1:20">
      <c r="A113" s="6"/>
      <c r="B113" s="6" t="s">
        <v>73</v>
      </c>
      <c r="C113" s="6">
        <v>48</v>
      </c>
      <c r="D113" s="11">
        <f t="shared" si="35"/>
        <v>512</v>
      </c>
      <c r="E113" s="11">
        <f>SUMIFS(Production!$D$2:$D$337,Production!$A$2:$A$337,B113,Production!$B$2:$B$337,C113,Production!$C$2:$C$337,Controls!$B$7)</f>
        <v>0</v>
      </c>
      <c r="F113" s="11">
        <f t="shared" si="28"/>
        <v>512</v>
      </c>
      <c r="G113" s="11">
        <f>SUMIFS(Orders!$F$2:$F$2881,Orders!$B$2:$B$2881,B113,Orders!$I$2:$I$2881,C113)*Controls!$B$6</f>
        <v>13</v>
      </c>
      <c r="H113" s="11">
        <f t="shared" si="29"/>
        <v>13</v>
      </c>
      <c r="I113" s="11">
        <f t="shared" si="30"/>
        <v>499</v>
      </c>
      <c r="J113" s="11">
        <f t="shared" si="31"/>
        <v>0</v>
      </c>
      <c r="K113" s="12">
        <f t="shared" si="32"/>
        <v>1</v>
      </c>
      <c r="L113" s="13">
        <f>IF(G113=0,0,J113/G113*SUMIFS(Orders!$G$2:$G$2881,Orders!$B$2:$B$2881,B113,Orders!$I$2:$I$2881,C113))*Controls!$B$6</f>
        <v>0</v>
      </c>
      <c r="M113" s="6" t="str">
        <f t="shared" si="33"/>
        <v>OB1265|48</v>
      </c>
      <c r="N113" s="12">
        <f t="shared" si="34"/>
        <v>0</v>
      </c>
      <c r="O113" s="6"/>
      <c r="P113" s="6"/>
      <c r="Q113" s="6"/>
      <c r="R113" s="6"/>
      <c r="S113" s="6"/>
      <c r="T113" s="6"/>
    </row>
    <row r="114" spans="1:20">
      <c r="A114" s="6"/>
      <c r="B114" s="6" t="s">
        <v>73</v>
      </c>
      <c r="C114" s="6">
        <v>49</v>
      </c>
      <c r="D114" s="11">
        <f t="shared" si="35"/>
        <v>499</v>
      </c>
      <c r="E114" s="11">
        <f>SUMIFS(Production!$D$2:$D$337,Production!$A$2:$A$337,B114,Production!$B$2:$B$337,C114,Production!$C$2:$C$337,Controls!$B$7)</f>
        <v>0</v>
      </c>
      <c r="F114" s="11">
        <f t="shared" si="28"/>
        <v>499</v>
      </c>
      <c r="G114" s="11">
        <f>SUMIFS(Orders!$F$2:$F$2881,Orders!$B$2:$B$2881,B114,Orders!$I$2:$I$2881,C114)*Controls!$B$6</f>
        <v>6</v>
      </c>
      <c r="H114" s="11">
        <f t="shared" si="29"/>
        <v>6</v>
      </c>
      <c r="I114" s="11">
        <f t="shared" si="30"/>
        <v>493</v>
      </c>
      <c r="J114" s="11">
        <f t="shared" si="31"/>
        <v>0</v>
      </c>
      <c r="K114" s="12">
        <f t="shared" si="32"/>
        <v>1</v>
      </c>
      <c r="L114" s="13">
        <f>IF(G114=0,0,J114/G114*SUMIFS(Orders!$G$2:$G$2881,Orders!$B$2:$B$2881,B114,Orders!$I$2:$I$2881,C114))*Controls!$B$6</f>
        <v>0</v>
      </c>
      <c r="M114" s="6" t="str">
        <f t="shared" si="33"/>
        <v>OB1265|49</v>
      </c>
      <c r="N114" s="12">
        <f t="shared" si="34"/>
        <v>0</v>
      </c>
      <c r="O114" s="6"/>
      <c r="P114" s="6"/>
      <c r="Q114" s="6"/>
      <c r="R114" s="6"/>
      <c r="S114" s="6"/>
      <c r="T114" s="6"/>
    </row>
    <row r="115" spans="1:20">
      <c r="A115" s="6"/>
      <c r="B115" s="6" t="s">
        <v>73</v>
      </c>
      <c r="C115" s="6">
        <v>50</v>
      </c>
      <c r="D115" s="11">
        <f t="shared" si="35"/>
        <v>493</v>
      </c>
      <c r="E115" s="11">
        <f>SUMIFS(Production!$D$2:$D$337,Production!$A$2:$A$337,B115,Production!$B$2:$B$337,C115,Production!$C$2:$C$337,Controls!$B$7)</f>
        <v>0</v>
      </c>
      <c r="F115" s="11">
        <f t="shared" si="28"/>
        <v>493</v>
      </c>
      <c r="G115" s="11">
        <f>SUMIFS(Orders!$F$2:$F$2881,Orders!$B$2:$B$2881,B115,Orders!$I$2:$I$2881,C115)*Controls!$B$6</f>
        <v>36</v>
      </c>
      <c r="H115" s="11">
        <f t="shared" si="29"/>
        <v>36</v>
      </c>
      <c r="I115" s="11">
        <f t="shared" si="30"/>
        <v>457</v>
      </c>
      <c r="J115" s="11">
        <f t="shared" si="31"/>
        <v>0</v>
      </c>
      <c r="K115" s="12">
        <f t="shared" si="32"/>
        <v>1</v>
      </c>
      <c r="L115" s="13">
        <f>IF(G115=0,0,J115/G115*SUMIFS(Orders!$G$2:$G$2881,Orders!$B$2:$B$2881,B115,Orders!$I$2:$I$2881,C115))*Controls!$B$6</f>
        <v>0</v>
      </c>
      <c r="M115" s="6" t="str">
        <f t="shared" si="33"/>
        <v>OB1265|50</v>
      </c>
      <c r="N115" s="12">
        <f t="shared" si="34"/>
        <v>0</v>
      </c>
      <c r="O115" s="6"/>
      <c r="P115" s="6"/>
      <c r="Q115" s="6"/>
      <c r="R115" s="6"/>
      <c r="S115" s="6"/>
      <c r="T115" s="6"/>
    </row>
    <row r="116" spans="1:20">
      <c r="A116" s="6"/>
      <c r="B116" s="6" t="s">
        <v>73</v>
      </c>
      <c r="C116" s="6">
        <v>51</v>
      </c>
      <c r="D116" s="11">
        <f t="shared" si="35"/>
        <v>457</v>
      </c>
      <c r="E116" s="11">
        <f>SUMIFS(Production!$D$2:$D$337,Production!$A$2:$A$337,B116,Production!$B$2:$B$337,C116,Production!$C$2:$C$337,Controls!$B$7)</f>
        <v>0</v>
      </c>
      <c r="F116" s="11">
        <f t="shared" si="28"/>
        <v>457</v>
      </c>
      <c r="G116" s="11">
        <f>SUMIFS(Orders!$F$2:$F$2881,Orders!$B$2:$B$2881,B116,Orders!$I$2:$I$2881,C116)*Controls!$B$6</f>
        <v>96</v>
      </c>
      <c r="H116" s="11">
        <f t="shared" si="29"/>
        <v>96</v>
      </c>
      <c r="I116" s="11">
        <f t="shared" si="30"/>
        <v>361</v>
      </c>
      <c r="J116" s="11">
        <f t="shared" si="31"/>
        <v>0</v>
      </c>
      <c r="K116" s="12">
        <f t="shared" si="32"/>
        <v>1</v>
      </c>
      <c r="L116" s="13">
        <f>IF(G116=0,0,J116/G116*SUMIFS(Orders!$G$2:$G$2881,Orders!$B$2:$B$2881,B116,Orders!$I$2:$I$2881,C116))*Controls!$B$6</f>
        <v>0</v>
      </c>
      <c r="M116" s="6" t="str">
        <f t="shared" si="33"/>
        <v>OB1265|51</v>
      </c>
      <c r="N116" s="12">
        <f t="shared" si="34"/>
        <v>0</v>
      </c>
      <c r="O116" s="6"/>
      <c r="P116" s="6"/>
      <c r="Q116" s="6"/>
      <c r="R116" s="6"/>
      <c r="S116" s="6"/>
      <c r="T116" s="6"/>
    </row>
    <row r="117" spans="1:20">
      <c r="A117" s="6"/>
      <c r="B117" s="6" t="s">
        <v>73</v>
      </c>
      <c r="C117" s="6">
        <v>52</v>
      </c>
      <c r="D117" s="11">
        <f t="shared" si="35"/>
        <v>361</v>
      </c>
      <c r="E117" s="11">
        <f>SUMIFS(Production!$D$2:$D$337,Production!$A$2:$A$337,B117,Production!$B$2:$B$337,C117,Production!$C$2:$C$337,Controls!$B$7)</f>
        <v>0</v>
      </c>
      <c r="F117" s="11">
        <f t="shared" si="28"/>
        <v>361</v>
      </c>
      <c r="G117" s="11">
        <f>SUMIFS(Orders!$F$2:$F$2881,Orders!$B$2:$B$2881,B117,Orders!$I$2:$I$2881,C117)*Controls!$B$6</f>
        <v>11</v>
      </c>
      <c r="H117" s="11">
        <f t="shared" si="29"/>
        <v>11</v>
      </c>
      <c r="I117" s="11">
        <f t="shared" si="30"/>
        <v>350</v>
      </c>
      <c r="J117" s="11">
        <f t="shared" si="31"/>
        <v>0</v>
      </c>
      <c r="K117" s="12">
        <f t="shared" si="32"/>
        <v>1</v>
      </c>
      <c r="L117" s="13">
        <f>IF(G117=0,0,J117/G117*SUMIFS(Orders!$G$2:$G$2881,Orders!$B$2:$B$2881,B117,Orders!$I$2:$I$2881,C117))*Controls!$B$6</f>
        <v>0</v>
      </c>
      <c r="M117" s="6" t="str">
        <f t="shared" si="33"/>
        <v>OB1265|52</v>
      </c>
      <c r="N117" s="12">
        <f t="shared" si="34"/>
        <v>0</v>
      </c>
      <c r="O117" s="6"/>
      <c r="P117" s="6"/>
      <c r="Q117" s="6"/>
      <c r="R117" s="6"/>
      <c r="S117" s="6"/>
      <c r="T117" s="6"/>
    </row>
    <row r="118" spans="1:20">
      <c r="A118" s="6"/>
      <c r="B118" s="6" t="s">
        <v>74</v>
      </c>
      <c r="C118" s="6">
        <v>39</v>
      </c>
      <c r="D118" s="11">
        <f>SUMIFS(Products!$D$2:$D$13,Products!$B$2:$B$13,B118)</f>
        <v>32</v>
      </c>
      <c r="E118" s="11">
        <f>SUMIFS(Production!$D$2:$D$337,Production!$A$2:$A$337,B118,Production!$B$2:$B$337,C118,Production!$C$2:$C$337,Controls!$B$7)</f>
        <v>1000</v>
      </c>
      <c r="F118" s="11">
        <f t="shared" si="28"/>
        <v>1032</v>
      </c>
      <c r="G118" s="11">
        <f>SUMIFS(Orders!$F$2:$F$2881,Orders!$B$2:$B$2881,B118,Orders!$I$2:$I$2881,C118)*Controls!$B$6</f>
        <v>0</v>
      </c>
      <c r="H118" s="11">
        <f t="shared" si="29"/>
        <v>0</v>
      </c>
      <c r="I118" s="11">
        <f t="shared" si="30"/>
        <v>1032</v>
      </c>
      <c r="J118" s="11">
        <f t="shared" si="31"/>
        <v>0</v>
      </c>
      <c r="K118" s="12" t="str">
        <f t="shared" si="32"/>
        <v>n.a.</v>
      </c>
      <c r="L118" s="13">
        <f>IF(G118=0,0,J118/G118*SUMIFS(Orders!$G$2:$G$2881,Orders!$B$2:$B$2881,B118,Orders!$I$2:$I$2881,C118))*Controls!$B$6</f>
        <v>0</v>
      </c>
      <c r="M118" s="6" t="str">
        <f t="shared" si="33"/>
        <v>OF1060|39</v>
      </c>
      <c r="N118" s="12">
        <f t="shared" si="34"/>
        <v>0</v>
      </c>
      <c r="O118" s="6"/>
      <c r="P118" s="6"/>
      <c r="Q118" s="6"/>
      <c r="R118" s="6"/>
      <c r="S118" s="6"/>
      <c r="T118" s="6"/>
    </row>
    <row r="119" spans="1:20">
      <c r="A119" s="6"/>
      <c r="B119" s="6" t="s">
        <v>74</v>
      </c>
      <c r="C119" s="6">
        <v>40</v>
      </c>
      <c r="D119" s="11">
        <f t="shared" ref="D119:D131" si="36">I118</f>
        <v>1032</v>
      </c>
      <c r="E119" s="11">
        <f>SUMIFS(Production!$D$2:$D$337,Production!$A$2:$A$337,B119,Production!$B$2:$B$337,C119,Production!$C$2:$C$337,Controls!$B$7)</f>
        <v>0</v>
      </c>
      <c r="F119" s="11">
        <f t="shared" si="28"/>
        <v>1032</v>
      </c>
      <c r="G119" s="11">
        <f>SUMIFS(Orders!$F$2:$F$2881,Orders!$B$2:$B$2881,B119,Orders!$I$2:$I$2881,C119)*Controls!$B$6</f>
        <v>40</v>
      </c>
      <c r="H119" s="11">
        <f t="shared" si="29"/>
        <v>40</v>
      </c>
      <c r="I119" s="11">
        <f t="shared" si="30"/>
        <v>992</v>
      </c>
      <c r="J119" s="11">
        <f t="shared" si="31"/>
        <v>0</v>
      </c>
      <c r="K119" s="12">
        <f t="shared" si="32"/>
        <v>1</v>
      </c>
      <c r="L119" s="13">
        <f>IF(G119=0,0,J119/G119*SUMIFS(Orders!$G$2:$G$2881,Orders!$B$2:$B$2881,B119,Orders!$I$2:$I$2881,C119))*Controls!$B$6</f>
        <v>0</v>
      </c>
      <c r="M119" s="6" t="str">
        <f t="shared" si="33"/>
        <v>OF1060|40</v>
      </c>
      <c r="N119" s="12">
        <f t="shared" si="34"/>
        <v>0</v>
      </c>
      <c r="O119" s="6"/>
      <c r="P119" s="6"/>
      <c r="Q119" s="6"/>
      <c r="R119" s="6"/>
      <c r="S119" s="6"/>
      <c r="T119" s="6"/>
    </row>
    <row r="120" spans="1:20">
      <c r="A120" s="6"/>
      <c r="B120" s="6" t="s">
        <v>74</v>
      </c>
      <c r="C120" s="6">
        <v>41</v>
      </c>
      <c r="D120" s="11">
        <f t="shared" si="36"/>
        <v>992</v>
      </c>
      <c r="E120" s="11">
        <f>SUMIFS(Production!$D$2:$D$337,Production!$A$2:$A$337,B120,Production!$B$2:$B$337,C120,Production!$C$2:$C$337,Controls!$B$7)</f>
        <v>0</v>
      </c>
      <c r="F120" s="11">
        <f t="shared" si="28"/>
        <v>992</v>
      </c>
      <c r="G120" s="11">
        <f>SUMIFS(Orders!$F$2:$F$2881,Orders!$B$2:$B$2881,B120,Orders!$I$2:$I$2881,C120)*Controls!$B$6</f>
        <v>0</v>
      </c>
      <c r="H120" s="11">
        <f t="shared" si="29"/>
        <v>0</v>
      </c>
      <c r="I120" s="11">
        <f t="shared" si="30"/>
        <v>992</v>
      </c>
      <c r="J120" s="11">
        <f t="shared" si="31"/>
        <v>0</v>
      </c>
      <c r="K120" s="12" t="str">
        <f t="shared" si="32"/>
        <v>n.a.</v>
      </c>
      <c r="L120" s="13">
        <f>IF(G120=0,0,J120/G120*SUMIFS(Orders!$G$2:$G$2881,Orders!$B$2:$B$2881,B120,Orders!$I$2:$I$2881,C120))*Controls!$B$6</f>
        <v>0</v>
      </c>
      <c r="M120" s="6" t="str">
        <f t="shared" si="33"/>
        <v>OF1060|41</v>
      </c>
      <c r="N120" s="12">
        <f t="shared" si="34"/>
        <v>0</v>
      </c>
      <c r="O120" s="6"/>
      <c r="P120" s="6"/>
      <c r="Q120" s="6"/>
      <c r="R120" s="6"/>
      <c r="S120" s="6"/>
      <c r="T120" s="6"/>
    </row>
    <row r="121" spans="1:20">
      <c r="A121" s="6"/>
      <c r="B121" s="6" t="s">
        <v>74</v>
      </c>
      <c r="C121" s="6">
        <v>42</v>
      </c>
      <c r="D121" s="11">
        <f t="shared" si="36"/>
        <v>992</v>
      </c>
      <c r="E121" s="11">
        <f>SUMIFS(Production!$D$2:$D$337,Production!$A$2:$A$337,B121,Production!$B$2:$B$337,C121,Production!$C$2:$C$337,Controls!$B$7)</f>
        <v>0</v>
      </c>
      <c r="F121" s="11">
        <f t="shared" si="28"/>
        <v>992</v>
      </c>
      <c r="G121" s="11">
        <f>SUMIFS(Orders!$F$2:$F$2881,Orders!$B$2:$B$2881,B121,Orders!$I$2:$I$2881,C121)*Controls!$B$6</f>
        <v>12</v>
      </c>
      <c r="H121" s="11">
        <f t="shared" si="29"/>
        <v>12</v>
      </c>
      <c r="I121" s="11">
        <f t="shared" si="30"/>
        <v>980</v>
      </c>
      <c r="J121" s="11">
        <f t="shared" si="31"/>
        <v>0</v>
      </c>
      <c r="K121" s="12">
        <f t="shared" si="32"/>
        <v>1</v>
      </c>
      <c r="L121" s="13">
        <f>IF(G121=0,0,J121/G121*SUMIFS(Orders!$G$2:$G$2881,Orders!$B$2:$B$2881,B121,Orders!$I$2:$I$2881,C121))*Controls!$B$6</f>
        <v>0</v>
      </c>
      <c r="M121" s="6" t="str">
        <f t="shared" si="33"/>
        <v>OF1060|42</v>
      </c>
      <c r="N121" s="12">
        <f t="shared" si="34"/>
        <v>0</v>
      </c>
      <c r="O121" s="6"/>
      <c r="P121" s="6"/>
      <c r="Q121" s="6"/>
      <c r="R121" s="6"/>
      <c r="S121" s="6"/>
      <c r="T121" s="6"/>
    </row>
    <row r="122" spans="1:20">
      <c r="A122" s="6"/>
      <c r="B122" s="6" t="s">
        <v>74</v>
      </c>
      <c r="C122" s="6">
        <v>43</v>
      </c>
      <c r="D122" s="11">
        <f t="shared" si="36"/>
        <v>980</v>
      </c>
      <c r="E122" s="11">
        <f>SUMIFS(Production!$D$2:$D$337,Production!$A$2:$A$337,B122,Production!$B$2:$B$337,C122,Production!$C$2:$C$337,Controls!$B$7)</f>
        <v>0</v>
      </c>
      <c r="F122" s="11">
        <f t="shared" si="28"/>
        <v>980</v>
      </c>
      <c r="G122" s="11">
        <f>SUMIFS(Orders!$F$2:$F$2881,Orders!$B$2:$B$2881,B122,Orders!$I$2:$I$2881,C122)*Controls!$B$6</f>
        <v>17</v>
      </c>
      <c r="H122" s="11">
        <f t="shared" si="29"/>
        <v>17</v>
      </c>
      <c r="I122" s="11">
        <f t="shared" si="30"/>
        <v>963</v>
      </c>
      <c r="J122" s="11">
        <f t="shared" si="31"/>
        <v>0</v>
      </c>
      <c r="K122" s="12">
        <f t="shared" si="32"/>
        <v>1</v>
      </c>
      <c r="L122" s="13">
        <f>IF(G122=0,0,J122/G122*SUMIFS(Orders!$G$2:$G$2881,Orders!$B$2:$B$2881,B122,Orders!$I$2:$I$2881,C122))*Controls!$B$6</f>
        <v>0</v>
      </c>
      <c r="M122" s="6" t="str">
        <f t="shared" si="33"/>
        <v>OF1060|43</v>
      </c>
      <c r="N122" s="12">
        <f t="shared" si="34"/>
        <v>0</v>
      </c>
      <c r="O122" s="6"/>
      <c r="P122" s="6"/>
      <c r="Q122" s="6"/>
      <c r="R122" s="6"/>
      <c r="S122" s="6"/>
      <c r="T122" s="6"/>
    </row>
    <row r="123" spans="1:20">
      <c r="A123" s="6"/>
      <c r="B123" s="6" t="s">
        <v>74</v>
      </c>
      <c r="C123" s="6">
        <v>44</v>
      </c>
      <c r="D123" s="11">
        <f t="shared" si="36"/>
        <v>963</v>
      </c>
      <c r="E123" s="11">
        <f>SUMIFS(Production!$D$2:$D$337,Production!$A$2:$A$337,B123,Production!$B$2:$B$337,C123,Production!$C$2:$C$337,Controls!$B$7)</f>
        <v>0</v>
      </c>
      <c r="F123" s="11">
        <f t="shared" si="28"/>
        <v>963</v>
      </c>
      <c r="G123" s="11">
        <f>SUMIFS(Orders!$F$2:$F$2881,Orders!$B$2:$B$2881,B123,Orders!$I$2:$I$2881,C123)*Controls!$B$6</f>
        <v>0</v>
      </c>
      <c r="H123" s="11">
        <f t="shared" si="29"/>
        <v>0</v>
      </c>
      <c r="I123" s="11">
        <f t="shared" si="30"/>
        <v>963</v>
      </c>
      <c r="J123" s="11">
        <f t="shared" si="31"/>
        <v>0</v>
      </c>
      <c r="K123" s="12" t="str">
        <f t="shared" si="32"/>
        <v>n.a.</v>
      </c>
      <c r="L123" s="13">
        <f>IF(G123=0,0,J123/G123*SUMIFS(Orders!$G$2:$G$2881,Orders!$B$2:$B$2881,B123,Orders!$I$2:$I$2881,C123))*Controls!$B$6</f>
        <v>0</v>
      </c>
      <c r="M123" s="6" t="str">
        <f t="shared" si="33"/>
        <v>OF1060|44</v>
      </c>
      <c r="N123" s="12">
        <f t="shared" si="34"/>
        <v>0</v>
      </c>
      <c r="O123" s="6"/>
      <c r="P123" s="6"/>
      <c r="Q123" s="6"/>
      <c r="R123" s="6"/>
      <c r="S123" s="6"/>
      <c r="T123" s="6"/>
    </row>
    <row r="124" spans="1:20">
      <c r="A124" s="6"/>
      <c r="B124" s="6" t="s">
        <v>74</v>
      </c>
      <c r="C124" s="6">
        <v>45</v>
      </c>
      <c r="D124" s="11">
        <f t="shared" si="36"/>
        <v>963</v>
      </c>
      <c r="E124" s="11">
        <f>SUMIFS(Production!$D$2:$D$337,Production!$A$2:$A$337,B124,Production!$B$2:$B$337,C124,Production!$C$2:$C$337,Controls!$B$7)</f>
        <v>0</v>
      </c>
      <c r="F124" s="11">
        <f t="shared" si="28"/>
        <v>963</v>
      </c>
      <c r="G124" s="11">
        <f>SUMIFS(Orders!$F$2:$F$2881,Orders!$B$2:$B$2881,B124,Orders!$I$2:$I$2881,C124)*Controls!$B$6</f>
        <v>37</v>
      </c>
      <c r="H124" s="11">
        <f t="shared" si="29"/>
        <v>37</v>
      </c>
      <c r="I124" s="11">
        <f t="shared" si="30"/>
        <v>926</v>
      </c>
      <c r="J124" s="11">
        <f t="shared" si="31"/>
        <v>0</v>
      </c>
      <c r="K124" s="12">
        <f t="shared" si="32"/>
        <v>1</v>
      </c>
      <c r="L124" s="13">
        <f>IF(G124=0,0,J124/G124*SUMIFS(Orders!$G$2:$G$2881,Orders!$B$2:$B$2881,B124,Orders!$I$2:$I$2881,C124))*Controls!$B$6</f>
        <v>0</v>
      </c>
      <c r="M124" s="6" t="str">
        <f t="shared" si="33"/>
        <v>OF1060|45</v>
      </c>
      <c r="N124" s="12">
        <f t="shared" si="34"/>
        <v>0</v>
      </c>
      <c r="O124" s="6"/>
      <c r="P124" s="6"/>
      <c r="Q124" s="6"/>
      <c r="R124" s="6"/>
      <c r="S124" s="6"/>
      <c r="T124" s="6"/>
    </row>
    <row r="125" spans="1:20">
      <c r="A125" s="6"/>
      <c r="B125" s="6" t="s">
        <v>74</v>
      </c>
      <c r="C125" s="6">
        <v>46</v>
      </c>
      <c r="D125" s="11">
        <f t="shared" si="36"/>
        <v>926</v>
      </c>
      <c r="E125" s="11">
        <f>SUMIFS(Production!$D$2:$D$337,Production!$A$2:$A$337,B125,Production!$B$2:$B$337,C125,Production!$C$2:$C$337,Controls!$B$7)</f>
        <v>0</v>
      </c>
      <c r="F125" s="11">
        <f t="shared" si="28"/>
        <v>926</v>
      </c>
      <c r="G125" s="11">
        <f>SUMIFS(Orders!$F$2:$F$2881,Orders!$B$2:$B$2881,B125,Orders!$I$2:$I$2881,C125)*Controls!$B$6</f>
        <v>0</v>
      </c>
      <c r="H125" s="11">
        <f t="shared" si="29"/>
        <v>0</v>
      </c>
      <c r="I125" s="11">
        <f t="shared" si="30"/>
        <v>926</v>
      </c>
      <c r="J125" s="11">
        <f t="shared" si="31"/>
        <v>0</v>
      </c>
      <c r="K125" s="12" t="str">
        <f t="shared" si="32"/>
        <v>n.a.</v>
      </c>
      <c r="L125" s="13">
        <f>IF(G125=0,0,J125/G125*SUMIFS(Orders!$G$2:$G$2881,Orders!$B$2:$B$2881,B125,Orders!$I$2:$I$2881,C125))*Controls!$B$6</f>
        <v>0</v>
      </c>
      <c r="M125" s="6" t="str">
        <f t="shared" si="33"/>
        <v>OF1060|46</v>
      </c>
      <c r="N125" s="12">
        <f t="shared" si="34"/>
        <v>0</v>
      </c>
      <c r="O125" s="6"/>
      <c r="P125" s="6"/>
      <c r="Q125" s="6"/>
      <c r="R125" s="6"/>
      <c r="S125" s="6"/>
      <c r="T125" s="6"/>
    </row>
    <row r="126" spans="1:20">
      <c r="A126" s="6"/>
      <c r="B126" s="6" t="s">
        <v>74</v>
      </c>
      <c r="C126" s="6">
        <v>47</v>
      </c>
      <c r="D126" s="11">
        <f t="shared" si="36"/>
        <v>926</v>
      </c>
      <c r="E126" s="11">
        <f>SUMIFS(Production!$D$2:$D$337,Production!$A$2:$A$337,B126,Production!$B$2:$B$337,C126,Production!$C$2:$C$337,Controls!$B$7)</f>
        <v>0</v>
      </c>
      <c r="F126" s="11">
        <f t="shared" si="28"/>
        <v>926</v>
      </c>
      <c r="G126" s="11">
        <f>SUMIFS(Orders!$F$2:$F$2881,Orders!$B$2:$B$2881,B126,Orders!$I$2:$I$2881,C126)*Controls!$B$6</f>
        <v>0</v>
      </c>
      <c r="H126" s="11">
        <f t="shared" si="29"/>
        <v>0</v>
      </c>
      <c r="I126" s="11">
        <f t="shared" si="30"/>
        <v>926</v>
      </c>
      <c r="J126" s="11">
        <f t="shared" si="31"/>
        <v>0</v>
      </c>
      <c r="K126" s="12" t="str">
        <f t="shared" si="32"/>
        <v>n.a.</v>
      </c>
      <c r="L126" s="13">
        <f>IF(G126=0,0,J126/G126*SUMIFS(Orders!$G$2:$G$2881,Orders!$B$2:$B$2881,B126,Orders!$I$2:$I$2881,C126))*Controls!$B$6</f>
        <v>0</v>
      </c>
      <c r="M126" s="26" t="str">
        <f t="shared" si="33"/>
        <v>OF1060|47</v>
      </c>
      <c r="N126" s="27">
        <f t="shared" si="34"/>
        <v>0</v>
      </c>
      <c r="O126" s="6"/>
      <c r="P126" s="6"/>
      <c r="Q126" s="6"/>
      <c r="R126" s="6"/>
      <c r="S126" s="6"/>
      <c r="T126" s="6"/>
    </row>
    <row r="127" spans="1:20">
      <c r="A127" s="6"/>
      <c r="B127" s="6" t="s">
        <v>74</v>
      </c>
      <c r="C127" s="6">
        <v>48</v>
      </c>
      <c r="D127" s="11">
        <f t="shared" si="36"/>
        <v>926</v>
      </c>
      <c r="E127" s="11">
        <f>SUMIFS(Production!$D$2:$D$337,Production!$A$2:$A$337,B127,Production!$B$2:$B$337,C127,Production!$C$2:$C$337,Controls!$B$7)</f>
        <v>0</v>
      </c>
      <c r="F127" s="11">
        <f t="shared" si="28"/>
        <v>926</v>
      </c>
      <c r="G127" s="11">
        <f>SUMIFS(Orders!$F$2:$F$2881,Orders!$B$2:$B$2881,B127,Orders!$I$2:$I$2881,C127)*Controls!$B$6</f>
        <v>0</v>
      </c>
      <c r="H127" s="11">
        <f t="shared" si="29"/>
        <v>0</v>
      </c>
      <c r="I127" s="11">
        <f t="shared" si="30"/>
        <v>926</v>
      </c>
      <c r="J127" s="11">
        <f t="shared" si="31"/>
        <v>0</v>
      </c>
      <c r="K127" s="12" t="str">
        <f t="shared" si="32"/>
        <v>n.a.</v>
      </c>
      <c r="L127" s="13">
        <f>IF(G127=0,0,J127/G127*SUMIFS(Orders!$G$2:$G$2881,Orders!$B$2:$B$2881,B127,Orders!$I$2:$I$2881,C127))*Controls!$B$6</f>
        <v>0</v>
      </c>
      <c r="M127" s="26" t="str">
        <f t="shared" si="33"/>
        <v>OF1060|48</v>
      </c>
      <c r="N127" s="27">
        <f t="shared" si="34"/>
        <v>0</v>
      </c>
      <c r="O127" s="6"/>
      <c r="P127" s="6"/>
      <c r="Q127" s="6"/>
      <c r="R127" s="6"/>
      <c r="S127" s="6"/>
      <c r="T127" s="6"/>
    </row>
    <row r="128" spans="1:20">
      <c r="A128" s="6"/>
      <c r="B128" s="6" t="s">
        <v>74</v>
      </c>
      <c r="C128" s="6">
        <v>49</v>
      </c>
      <c r="D128" s="11">
        <f t="shared" si="36"/>
        <v>926</v>
      </c>
      <c r="E128" s="11">
        <f>SUMIFS(Production!$D$2:$D$337,Production!$A$2:$A$337,B128,Production!$B$2:$B$337,C128,Production!$C$2:$C$337,Controls!$B$7)</f>
        <v>0</v>
      </c>
      <c r="F128" s="11">
        <f t="shared" si="28"/>
        <v>926</v>
      </c>
      <c r="G128" s="11">
        <f>SUMIFS(Orders!$F$2:$F$2881,Orders!$B$2:$B$2881,B128,Orders!$I$2:$I$2881,C128)*Controls!$B$6</f>
        <v>39</v>
      </c>
      <c r="H128" s="11">
        <f t="shared" si="29"/>
        <v>39</v>
      </c>
      <c r="I128" s="11">
        <f t="shared" si="30"/>
        <v>887</v>
      </c>
      <c r="J128" s="11">
        <f t="shared" si="31"/>
        <v>0</v>
      </c>
      <c r="K128" s="12">
        <f t="shared" si="32"/>
        <v>1</v>
      </c>
      <c r="L128" s="13">
        <f>IF(G128=0,0,J128/G128*SUMIFS(Orders!$G$2:$G$2881,Orders!$B$2:$B$2881,B128,Orders!$I$2:$I$2881,C128))*Controls!$B$6</f>
        <v>0</v>
      </c>
      <c r="M128" s="26" t="str">
        <f t="shared" si="33"/>
        <v>OF1060|49</v>
      </c>
      <c r="N128" s="27">
        <f t="shared" si="34"/>
        <v>0</v>
      </c>
      <c r="O128" s="6"/>
      <c r="P128" s="6"/>
      <c r="Q128" s="6"/>
      <c r="R128" s="6"/>
      <c r="S128" s="6"/>
      <c r="T128" s="6"/>
    </row>
    <row r="129" spans="1:20">
      <c r="A129" s="6"/>
      <c r="B129" s="6" t="s">
        <v>74</v>
      </c>
      <c r="C129" s="6">
        <v>50</v>
      </c>
      <c r="D129" s="11">
        <f t="shared" si="36"/>
        <v>887</v>
      </c>
      <c r="E129" s="11">
        <f>SUMIFS(Production!$D$2:$D$337,Production!$A$2:$A$337,B129,Production!$B$2:$B$337,C129,Production!$C$2:$C$337,Controls!$B$7)</f>
        <v>0</v>
      </c>
      <c r="F129" s="11">
        <f t="shared" si="28"/>
        <v>887</v>
      </c>
      <c r="G129" s="11">
        <f>SUMIFS(Orders!$F$2:$F$2881,Orders!$B$2:$B$2881,B129,Orders!$I$2:$I$2881,C129)*Controls!$B$6</f>
        <v>0</v>
      </c>
      <c r="H129" s="11">
        <f t="shared" si="29"/>
        <v>0</v>
      </c>
      <c r="I129" s="11">
        <f t="shared" si="30"/>
        <v>887</v>
      </c>
      <c r="J129" s="11">
        <f t="shared" si="31"/>
        <v>0</v>
      </c>
      <c r="K129" s="12" t="str">
        <f t="shared" si="32"/>
        <v>n.a.</v>
      </c>
      <c r="L129" s="13">
        <f>IF(G129=0,0,J129/G129*SUMIFS(Orders!$G$2:$G$2881,Orders!$B$2:$B$2881,B129,Orders!$I$2:$I$2881,C129))*Controls!$B$6</f>
        <v>0</v>
      </c>
      <c r="M129" s="26" t="str">
        <f t="shared" si="33"/>
        <v>OF1060|50</v>
      </c>
      <c r="N129" s="27">
        <f t="shared" si="34"/>
        <v>0</v>
      </c>
      <c r="O129" s="6"/>
      <c r="P129" s="6"/>
      <c r="Q129" s="6"/>
      <c r="R129" s="6"/>
      <c r="S129" s="6"/>
      <c r="T129" s="6"/>
    </row>
    <row r="130" spans="1:20">
      <c r="A130" s="6"/>
      <c r="B130" s="6" t="s">
        <v>74</v>
      </c>
      <c r="C130" s="6">
        <v>51</v>
      </c>
      <c r="D130" s="11">
        <f t="shared" si="36"/>
        <v>887</v>
      </c>
      <c r="E130" s="11">
        <f>SUMIFS(Production!$D$2:$D$337,Production!$A$2:$A$337,B130,Production!$B$2:$B$337,C130,Production!$C$2:$C$337,Controls!$B$7)</f>
        <v>0</v>
      </c>
      <c r="F130" s="11">
        <f t="shared" si="28"/>
        <v>887</v>
      </c>
      <c r="G130" s="11">
        <f>SUMIFS(Orders!$F$2:$F$2881,Orders!$B$2:$B$2881,B130,Orders!$I$2:$I$2881,C130)*Controls!$B$6</f>
        <v>48</v>
      </c>
      <c r="H130" s="11">
        <f t="shared" si="29"/>
        <v>48</v>
      </c>
      <c r="I130" s="11">
        <f t="shared" si="30"/>
        <v>839</v>
      </c>
      <c r="J130" s="11">
        <f t="shared" si="31"/>
        <v>0</v>
      </c>
      <c r="K130" s="12">
        <f t="shared" si="32"/>
        <v>1</v>
      </c>
      <c r="L130" s="13">
        <f>IF(G130=0,0,J130/G130*SUMIFS(Orders!$G$2:$G$2881,Orders!$B$2:$B$2881,B130,Orders!$I$2:$I$2881,C130))*Controls!$B$6</f>
        <v>0</v>
      </c>
      <c r="M130" s="26" t="str">
        <f t="shared" si="33"/>
        <v>OF1060|51</v>
      </c>
      <c r="N130" s="27">
        <f t="shared" si="34"/>
        <v>0</v>
      </c>
      <c r="O130" s="6"/>
      <c r="P130" s="6"/>
      <c r="Q130" s="6"/>
      <c r="R130" s="6"/>
      <c r="S130" s="6"/>
      <c r="T130" s="6"/>
    </row>
    <row r="131" spans="1:20">
      <c r="A131" s="6"/>
      <c r="B131" s="6" t="s">
        <v>74</v>
      </c>
      <c r="C131" s="6">
        <v>52</v>
      </c>
      <c r="D131" s="11">
        <f t="shared" si="36"/>
        <v>839</v>
      </c>
      <c r="E131" s="11">
        <f>SUMIFS(Production!$D$2:$D$337,Production!$A$2:$A$337,B131,Production!$B$2:$B$337,C131,Production!$C$2:$C$337,Controls!$B$7)</f>
        <v>0</v>
      </c>
      <c r="F131" s="11">
        <f t="shared" si="28"/>
        <v>839</v>
      </c>
      <c r="G131" s="11">
        <f>SUMIFS(Orders!$F$2:$F$2881,Orders!$B$2:$B$2881,B131,Orders!$I$2:$I$2881,C131)*Controls!$B$6</f>
        <v>0</v>
      </c>
      <c r="H131" s="11">
        <f t="shared" si="29"/>
        <v>0</v>
      </c>
      <c r="I131" s="11">
        <f t="shared" si="30"/>
        <v>839</v>
      </c>
      <c r="J131" s="11">
        <f t="shared" si="31"/>
        <v>0</v>
      </c>
      <c r="K131" s="12" t="str">
        <f t="shared" si="32"/>
        <v>n.a.</v>
      </c>
      <c r="L131" s="13">
        <f>IF(G131=0,0,J131/G131*SUMIFS(Orders!$G$2:$G$2881,Orders!$B$2:$B$2881,B131,Orders!$I$2:$I$2881,C131))*Controls!$B$6</f>
        <v>0</v>
      </c>
      <c r="M131" s="26" t="str">
        <f t="shared" si="33"/>
        <v>OF1060|52</v>
      </c>
      <c r="N131" s="27">
        <f t="shared" si="34"/>
        <v>0</v>
      </c>
      <c r="O131" s="6"/>
      <c r="P131" s="6"/>
      <c r="Q131" s="6"/>
      <c r="R131" s="6"/>
      <c r="S131" s="6"/>
      <c r="T131" s="6"/>
    </row>
    <row r="132" spans="1:20">
      <c r="A132" s="6"/>
      <c r="B132" s="6" t="s">
        <v>75</v>
      </c>
      <c r="C132" s="6">
        <v>39</v>
      </c>
      <c r="D132" s="11">
        <f>SUMIFS(Products!$D$2:$D$13,Products!$B$2:$B$13,B132)</f>
        <v>185</v>
      </c>
      <c r="E132" s="11">
        <f>SUMIFS(Production!$D$2:$D$337,Production!$A$2:$A$337,B132,Production!$B$2:$B$337,C132,Production!$C$2:$C$337,Controls!$B$7)</f>
        <v>0</v>
      </c>
      <c r="F132" s="11">
        <f t="shared" si="28"/>
        <v>185</v>
      </c>
      <c r="G132" s="11">
        <f>SUMIFS(Orders!$F$2:$F$2881,Orders!$B$2:$B$2881,B132,Orders!$I$2:$I$2881,C132)*Controls!$B$6</f>
        <v>0</v>
      </c>
      <c r="H132" s="11">
        <f t="shared" si="29"/>
        <v>0</v>
      </c>
      <c r="I132" s="11">
        <f t="shared" si="30"/>
        <v>185</v>
      </c>
      <c r="J132" s="11">
        <f t="shared" si="31"/>
        <v>0</v>
      </c>
      <c r="K132" s="12" t="str">
        <f t="shared" si="32"/>
        <v>n.a.</v>
      </c>
      <c r="L132" s="13">
        <f>IF(G132=0,0,J132/G132*SUMIFS(Orders!$G$2:$G$2881,Orders!$B$2:$B$2881,B132,Orders!$I$2:$I$2881,C132))*Controls!$B$6</f>
        <v>0</v>
      </c>
      <c r="M132" s="26" t="str">
        <f t="shared" si="33"/>
        <v>OF2035|39</v>
      </c>
      <c r="N132" s="27">
        <f t="shared" si="34"/>
        <v>0</v>
      </c>
      <c r="O132" s="6"/>
      <c r="P132" s="6"/>
      <c r="Q132" s="6"/>
      <c r="R132" s="6"/>
      <c r="S132" s="6"/>
      <c r="T132" s="6"/>
    </row>
    <row r="133" spans="1:20">
      <c r="A133" s="6"/>
      <c r="B133" s="6" t="s">
        <v>75</v>
      </c>
      <c r="C133" s="6">
        <v>40</v>
      </c>
      <c r="D133" s="11">
        <f t="shared" ref="D133:D145" si="37">I132</f>
        <v>185</v>
      </c>
      <c r="E133" s="11">
        <f>SUMIFS(Production!$D$2:$D$337,Production!$A$2:$A$337,B133,Production!$B$2:$B$337,C133,Production!$C$2:$C$337,Controls!$B$7)</f>
        <v>0</v>
      </c>
      <c r="F133" s="11">
        <f t="shared" si="28"/>
        <v>185</v>
      </c>
      <c r="G133" s="11">
        <f>SUMIFS(Orders!$F$2:$F$2881,Orders!$B$2:$B$2881,B133,Orders!$I$2:$I$2881,C133)*Controls!$B$6</f>
        <v>25</v>
      </c>
      <c r="H133" s="11">
        <f t="shared" si="29"/>
        <v>25</v>
      </c>
      <c r="I133" s="11">
        <f t="shared" si="30"/>
        <v>160</v>
      </c>
      <c r="J133" s="11">
        <f t="shared" si="31"/>
        <v>0</v>
      </c>
      <c r="K133" s="12">
        <f t="shared" si="32"/>
        <v>1</v>
      </c>
      <c r="L133" s="13">
        <f>IF(G133=0,0,J133/G133*SUMIFS(Orders!$G$2:$G$2881,Orders!$B$2:$B$2881,B133,Orders!$I$2:$I$2881,C133))*Controls!$B$6</f>
        <v>0</v>
      </c>
      <c r="M133" s="26" t="str">
        <f t="shared" si="33"/>
        <v>OF2035|40</v>
      </c>
      <c r="N133" s="27">
        <f t="shared" si="34"/>
        <v>0</v>
      </c>
      <c r="O133" s="6"/>
      <c r="P133" s="6"/>
      <c r="Q133" s="6"/>
      <c r="R133" s="6"/>
      <c r="S133" s="6"/>
      <c r="T133" s="6"/>
    </row>
    <row r="134" spans="1:20">
      <c r="A134" s="6"/>
      <c r="B134" s="6" t="s">
        <v>75</v>
      </c>
      <c r="C134" s="6">
        <v>41</v>
      </c>
      <c r="D134" s="11">
        <f t="shared" si="37"/>
        <v>160</v>
      </c>
      <c r="E134" s="11">
        <f>SUMIFS(Production!$D$2:$D$337,Production!$A$2:$A$337,B134,Production!$B$2:$B$337,C134,Production!$C$2:$C$337,Controls!$B$7)</f>
        <v>1000</v>
      </c>
      <c r="F134" s="11">
        <f t="shared" ref="F134:F165" si="38">D134+E134</f>
        <v>1160</v>
      </c>
      <c r="G134" s="11">
        <f>SUMIFS(Orders!$F$2:$F$2881,Orders!$B$2:$B$2881,B134,Orders!$I$2:$I$2881,C134)*Controls!$B$6</f>
        <v>140</v>
      </c>
      <c r="H134" s="11">
        <f t="shared" ref="H134:H165" si="39">MIN(F134,G134)</f>
        <v>140</v>
      </c>
      <c r="I134" s="11">
        <f t="shared" ref="I134:I165" si="40">F134-H134</f>
        <v>1020</v>
      </c>
      <c r="J134" s="11">
        <f t="shared" ref="J134:J165" si="41">G134-H134</f>
        <v>0</v>
      </c>
      <c r="K134" s="12">
        <f t="shared" ref="K134:K165" si="42">IF(G134=0,"n.a.",H134/G134)</f>
        <v>1</v>
      </c>
      <c r="L134" s="13">
        <f>IF(G134=0,0,J134/G134*SUMIFS(Orders!$G$2:$G$2881,Orders!$B$2:$B$2881,B134,Orders!$I$2:$I$2881,C134))*Controls!$B$6</f>
        <v>0</v>
      </c>
      <c r="M134" s="26" t="str">
        <f t="shared" ref="M134:M165" si="43">B134&amp;"|"&amp;C134</f>
        <v>OF2035|41</v>
      </c>
      <c r="N134" s="27">
        <f t="shared" ref="N134:N165" si="44">IF(G134=0,0,J134/G134)</f>
        <v>0</v>
      </c>
      <c r="O134" s="6"/>
      <c r="P134" s="6"/>
      <c r="Q134" s="6"/>
      <c r="R134" s="6"/>
      <c r="S134" s="6"/>
      <c r="T134" s="6"/>
    </row>
    <row r="135" spans="1:20">
      <c r="A135" s="6"/>
      <c r="B135" s="6" t="s">
        <v>75</v>
      </c>
      <c r="C135" s="6">
        <v>42</v>
      </c>
      <c r="D135" s="11">
        <f t="shared" si="37"/>
        <v>1020</v>
      </c>
      <c r="E135" s="11">
        <f>SUMIFS(Production!$D$2:$D$337,Production!$A$2:$A$337,B135,Production!$B$2:$B$337,C135,Production!$C$2:$C$337,Controls!$B$7)</f>
        <v>0</v>
      </c>
      <c r="F135" s="11">
        <f t="shared" si="38"/>
        <v>1020</v>
      </c>
      <c r="G135" s="11">
        <f>SUMIFS(Orders!$F$2:$F$2881,Orders!$B$2:$B$2881,B135,Orders!$I$2:$I$2881,C135)*Controls!$B$6</f>
        <v>75</v>
      </c>
      <c r="H135" s="11">
        <f t="shared" si="39"/>
        <v>75</v>
      </c>
      <c r="I135" s="11">
        <f t="shared" si="40"/>
        <v>945</v>
      </c>
      <c r="J135" s="11">
        <f t="shared" si="41"/>
        <v>0</v>
      </c>
      <c r="K135" s="12">
        <f t="shared" si="42"/>
        <v>1</v>
      </c>
      <c r="L135" s="13">
        <f>IF(G135=0,0,J135/G135*SUMIFS(Orders!$G$2:$G$2881,Orders!$B$2:$B$2881,B135,Orders!$I$2:$I$2881,C135))*Controls!$B$6</f>
        <v>0</v>
      </c>
      <c r="M135" s="26" t="str">
        <f t="shared" si="43"/>
        <v>OF2035|42</v>
      </c>
      <c r="N135" s="27">
        <f t="shared" si="44"/>
        <v>0</v>
      </c>
      <c r="O135" s="6"/>
      <c r="P135" s="6"/>
      <c r="Q135" s="6"/>
      <c r="R135" s="6"/>
      <c r="S135" s="6"/>
      <c r="T135" s="6"/>
    </row>
    <row r="136" spans="1:20">
      <c r="A136" s="6"/>
      <c r="B136" s="6" t="s">
        <v>75</v>
      </c>
      <c r="C136" s="6">
        <v>43</v>
      </c>
      <c r="D136" s="11">
        <f t="shared" si="37"/>
        <v>945</v>
      </c>
      <c r="E136" s="11">
        <f>SUMIFS(Production!$D$2:$D$337,Production!$A$2:$A$337,B136,Production!$B$2:$B$337,C136,Production!$C$2:$C$337,Controls!$B$7)</f>
        <v>0</v>
      </c>
      <c r="F136" s="11">
        <f t="shared" si="38"/>
        <v>945</v>
      </c>
      <c r="G136" s="11">
        <f>SUMIFS(Orders!$F$2:$F$2881,Orders!$B$2:$B$2881,B136,Orders!$I$2:$I$2881,C136)*Controls!$B$6</f>
        <v>206</v>
      </c>
      <c r="H136" s="11">
        <f t="shared" si="39"/>
        <v>206</v>
      </c>
      <c r="I136" s="11">
        <f t="shared" si="40"/>
        <v>739</v>
      </c>
      <c r="J136" s="11">
        <f t="shared" si="41"/>
        <v>0</v>
      </c>
      <c r="K136" s="12">
        <f t="shared" si="42"/>
        <v>1</v>
      </c>
      <c r="L136" s="13">
        <f>IF(G136=0,0,J136/G136*SUMIFS(Orders!$G$2:$G$2881,Orders!$B$2:$B$2881,B136,Orders!$I$2:$I$2881,C136))*Controls!$B$6</f>
        <v>0</v>
      </c>
      <c r="M136" s="26" t="str">
        <f t="shared" si="43"/>
        <v>OF2035|43</v>
      </c>
      <c r="N136" s="27">
        <f t="shared" si="44"/>
        <v>0</v>
      </c>
      <c r="O136" s="6"/>
      <c r="P136" s="6"/>
      <c r="Q136" s="6"/>
      <c r="R136" s="6"/>
      <c r="S136" s="6"/>
      <c r="T136" s="6"/>
    </row>
    <row r="137" spans="1:20">
      <c r="A137" s="6"/>
      <c r="B137" s="6" t="s">
        <v>75</v>
      </c>
      <c r="C137" s="6">
        <v>44</v>
      </c>
      <c r="D137" s="11">
        <f t="shared" si="37"/>
        <v>739</v>
      </c>
      <c r="E137" s="11">
        <f>SUMIFS(Production!$D$2:$D$337,Production!$A$2:$A$337,B137,Production!$B$2:$B$337,C137,Production!$C$2:$C$337,Controls!$B$7)</f>
        <v>0</v>
      </c>
      <c r="F137" s="11">
        <f t="shared" si="38"/>
        <v>739</v>
      </c>
      <c r="G137" s="11">
        <f>SUMIFS(Orders!$F$2:$F$2881,Orders!$B$2:$B$2881,B137,Orders!$I$2:$I$2881,C137)*Controls!$B$6</f>
        <v>31</v>
      </c>
      <c r="H137" s="11">
        <f t="shared" si="39"/>
        <v>31</v>
      </c>
      <c r="I137" s="11">
        <f t="shared" si="40"/>
        <v>708</v>
      </c>
      <c r="J137" s="11">
        <f t="shared" si="41"/>
        <v>0</v>
      </c>
      <c r="K137" s="12">
        <f t="shared" si="42"/>
        <v>1</v>
      </c>
      <c r="L137" s="13">
        <f>IF(G137=0,0,J137/G137*SUMIFS(Orders!$G$2:$G$2881,Orders!$B$2:$B$2881,B137,Orders!$I$2:$I$2881,C137))*Controls!$B$6</f>
        <v>0</v>
      </c>
      <c r="M137" s="26" t="str">
        <f t="shared" si="43"/>
        <v>OF2035|44</v>
      </c>
      <c r="N137" s="27">
        <f t="shared" si="44"/>
        <v>0</v>
      </c>
      <c r="O137" s="6"/>
      <c r="P137" s="6"/>
      <c r="Q137" s="6"/>
      <c r="R137" s="6"/>
      <c r="S137" s="6"/>
      <c r="T137" s="6"/>
    </row>
    <row r="138" spans="1:20">
      <c r="A138" s="6"/>
      <c r="B138" s="6" t="s">
        <v>75</v>
      </c>
      <c r="C138" s="6">
        <v>45</v>
      </c>
      <c r="D138" s="11">
        <f t="shared" si="37"/>
        <v>708</v>
      </c>
      <c r="E138" s="11">
        <f>SUMIFS(Production!$D$2:$D$337,Production!$A$2:$A$337,B138,Production!$B$2:$B$337,C138,Production!$C$2:$C$337,Controls!$B$7)</f>
        <v>0</v>
      </c>
      <c r="F138" s="11">
        <f t="shared" si="38"/>
        <v>708</v>
      </c>
      <c r="G138" s="11">
        <f>SUMIFS(Orders!$F$2:$F$2881,Orders!$B$2:$B$2881,B138,Orders!$I$2:$I$2881,C138)*Controls!$B$6</f>
        <v>98</v>
      </c>
      <c r="H138" s="11">
        <f t="shared" si="39"/>
        <v>98</v>
      </c>
      <c r="I138" s="11">
        <f t="shared" si="40"/>
        <v>610</v>
      </c>
      <c r="J138" s="11">
        <f t="shared" si="41"/>
        <v>0</v>
      </c>
      <c r="K138" s="12">
        <f t="shared" si="42"/>
        <v>1</v>
      </c>
      <c r="L138" s="13">
        <f>IF(G138=0,0,J138/G138*SUMIFS(Orders!$G$2:$G$2881,Orders!$B$2:$B$2881,B138,Orders!$I$2:$I$2881,C138))*Controls!$B$6</f>
        <v>0</v>
      </c>
      <c r="M138" s="26" t="str">
        <f t="shared" si="43"/>
        <v>OF2035|45</v>
      </c>
      <c r="N138" s="27">
        <f t="shared" si="44"/>
        <v>0</v>
      </c>
      <c r="O138" s="6"/>
      <c r="P138" s="6"/>
      <c r="Q138" s="6"/>
      <c r="R138" s="6"/>
      <c r="S138" s="6"/>
      <c r="T138" s="6"/>
    </row>
    <row r="139" spans="1:20">
      <c r="A139" s="6"/>
      <c r="B139" s="6" t="s">
        <v>75</v>
      </c>
      <c r="C139" s="6">
        <v>46</v>
      </c>
      <c r="D139" s="11">
        <f t="shared" si="37"/>
        <v>610</v>
      </c>
      <c r="E139" s="11">
        <f>SUMIFS(Production!$D$2:$D$337,Production!$A$2:$A$337,B139,Production!$B$2:$B$337,C139,Production!$C$2:$C$337,Controls!$B$7)</f>
        <v>0</v>
      </c>
      <c r="F139" s="11">
        <f t="shared" si="38"/>
        <v>610</v>
      </c>
      <c r="G139" s="11">
        <f>SUMIFS(Orders!$F$2:$F$2881,Orders!$B$2:$B$2881,B139,Orders!$I$2:$I$2881,C139)*Controls!$B$6</f>
        <v>241</v>
      </c>
      <c r="H139" s="11">
        <f t="shared" si="39"/>
        <v>241</v>
      </c>
      <c r="I139" s="11">
        <f t="shared" si="40"/>
        <v>369</v>
      </c>
      <c r="J139" s="11">
        <f t="shared" si="41"/>
        <v>0</v>
      </c>
      <c r="K139" s="12">
        <f t="shared" si="42"/>
        <v>1</v>
      </c>
      <c r="L139" s="13">
        <f>IF(G139=0,0,J139/G139*SUMIFS(Orders!$G$2:$G$2881,Orders!$B$2:$B$2881,B139,Orders!$I$2:$I$2881,C139))*Controls!$B$6</f>
        <v>0</v>
      </c>
      <c r="M139" s="26" t="str">
        <f t="shared" si="43"/>
        <v>OF2035|46</v>
      </c>
      <c r="N139" s="27">
        <f t="shared" si="44"/>
        <v>0</v>
      </c>
      <c r="O139" s="6"/>
      <c r="P139" s="6"/>
      <c r="Q139" s="6"/>
      <c r="R139" s="6"/>
      <c r="S139" s="6"/>
      <c r="T139" s="6"/>
    </row>
    <row r="140" spans="1:20">
      <c r="A140" s="6"/>
      <c r="B140" s="6" t="s">
        <v>75</v>
      </c>
      <c r="C140" s="6">
        <v>47</v>
      </c>
      <c r="D140" s="11">
        <f t="shared" si="37"/>
        <v>369</v>
      </c>
      <c r="E140" s="11">
        <f>SUMIFS(Production!$D$2:$D$337,Production!$A$2:$A$337,B140,Production!$B$2:$B$337,C140,Production!$C$2:$C$337,Controls!$B$7)</f>
        <v>0</v>
      </c>
      <c r="F140" s="11">
        <f t="shared" si="38"/>
        <v>369</v>
      </c>
      <c r="G140" s="11">
        <f>SUMIFS(Orders!$F$2:$F$2881,Orders!$B$2:$B$2881,B140,Orders!$I$2:$I$2881,C140)*Controls!$B$6</f>
        <v>26</v>
      </c>
      <c r="H140" s="11">
        <f t="shared" si="39"/>
        <v>26</v>
      </c>
      <c r="I140" s="11">
        <f t="shared" si="40"/>
        <v>343</v>
      </c>
      <c r="J140" s="11">
        <f t="shared" si="41"/>
        <v>0</v>
      </c>
      <c r="K140" s="12">
        <f t="shared" si="42"/>
        <v>1</v>
      </c>
      <c r="L140" s="13">
        <f>IF(G140=0,0,J140/G140*SUMIFS(Orders!$G$2:$G$2881,Orders!$B$2:$B$2881,B140,Orders!$I$2:$I$2881,C140))*Controls!$B$6</f>
        <v>0</v>
      </c>
      <c r="M140" s="26" t="str">
        <f t="shared" si="43"/>
        <v>OF2035|47</v>
      </c>
      <c r="N140" s="27">
        <f t="shared" si="44"/>
        <v>0</v>
      </c>
      <c r="O140" s="6"/>
      <c r="P140" s="6"/>
      <c r="Q140" s="6"/>
      <c r="R140" s="6"/>
      <c r="S140" s="6"/>
      <c r="T140" s="6"/>
    </row>
    <row r="141" spans="1:20">
      <c r="A141" s="6"/>
      <c r="B141" s="6" t="s">
        <v>75</v>
      </c>
      <c r="C141" s="6">
        <v>48</v>
      </c>
      <c r="D141" s="11">
        <f t="shared" si="37"/>
        <v>343</v>
      </c>
      <c r="E141" s="11">
        <f>SUMIFS(Production!$D$2:$D$337,Production!$A$2:$A$337,B141,Production!$B$2:$B$337,C141,Production!$C$2:$C$337,Controls!$B$7)</f>
        <v>0</v>
      </c>
      <c r="F141" s="11">
        <f t="shared" si="38"/>
        <v>343</v>
      </c>
      <c r="G141" s="11">
        <f>SUMIFS(Orders!$F$2:$F$2881,Orders!$B$2:$B$2881,B141,Orders!$I$2:$I$2881,C141)*Controls!$B$6</f>
        <v>34</v>
      </c>
      <c r="H141" s="11">
        <f t="shared" si="39"/>
        <v>34</v>
      </c>
      <c r="I141" s="11">
        <f t="shared" si="40"/>
        <v>309</v>
      </c>
      <c r="J141" s="11">
        <f t="shared" si="41"/>
        <v>0</v>
      </c>
      <c r="K141" s="12">
        <f t="shared" si="42"/>
        <v>1</v>
      </c>
      <c r="L141" s="13">
        <f>IF(G141=0,0,J141/G141*SUMIFS(Orders!$G$2:$G$2881,Orders!$B$2:$B$2881,B141,Orders!$I$2:$I$2881,C141))*Controls!$B$6</f>
        <v>0</v>
      </c>
      <c r="M141" s="26" t="str">
        <f t="shared" si="43"/>
        <v>OF2035|48</v>
      </c>
      <c r="N141" s="27">
        <f t="shared" si="44"/>
        <v>0</v>
      </c>
      <c r="O141" s="6"/>
      <c r="P141" s="6"/>
      <c r="Q141" s="6"/>
      <c r="R141" s="6"/>
      <c r="S141" s="6"/>
      <c r="T141" s="6"/>
    </row>
    <row r="142" spans="1:20">
      <c r="A142" s="6"/>
      <c r="B142" s="6" t="s">
        <v>75</v>
      </c>
      <c r="C142" s="6">
        <v>49</v>
      </c>
      <c r="D142" s="11">
        <f t="shared" si="37"/>
        <v>309</v>
      </c>
      <c r="E142" s="11">
        <f>SUMIFS(Production!$D$2:$D$337,Production!$A$2:$A$337,B142,Production!$B$2:$B$337,C142,Production!$C$2:$C$337,Controls!$B$7)</f>
        <v>0</v>
      </c>
      <c r="F142" s="11">
        <f t="shared" si="38"/>
        <v>309</v>
      </c>
      <c r="G142" s="11">
        <f>SUMIFS(Orders!$F$2:$F$2881,Orders!$B$2:$B$2881,B142,Orders!$I$2:$I$2881,C142)*Controls!$B$6</f>
        <v>72</v>
      </c>
      <c r="H142" s="11">
        <f t="shared" si="39"/>
        <v>72</v>
      </c>
      <c r="I142" s="11">
        <f t="shared" si="40"/>
        <v>237</v>
      </c>
      <c r="J142" s="11">
        <f t="shared" si="41"/>
        <v>0</v>
      </c>
      <c r="K142" s="12">
        <f t="shared" si="42"/>
        <v>1</v>
      </c>
      <c r="L142" s="13">
        <f>IF(G142=0,0,J142/G142*SUMIFS(Orders!$G$2:$G$2881,Orders!$B$2:$B$2881,B142,Orders!$I$2:$I$2881,C142))*Controls!$B$6</f>
        <v>0</v>
      </c>
      <c r="M142" s="26" t="str">
        <f t="shared" si="43"/>
        <v>OF2035|49</v>
      </c>
      <c r="N142" s="27">
        <f t="shared" si="44"/>
        <v>0</v>
      </c>
      <c r="O142" s="6"/>
      <c r="P142" s="6"/>
      <c r="Q142" s="6"/>
      <c r="R142" s="6"/>
      <c r="S142" s="6"/>
      <c r="T142" s="6"/>
    </row>
    <row r="143" spans="1:20">
      <c r="A143" s="6"/>
      <c r="B143" s="6" t="s">
        <v>75</v>
      </c>
      <c r="C143" s="6">
        <v>50</v>
      </c>
      <c r="D143" s="11">
        <f t="shared" si="37"/>
        <v>237</v>
      </c>
      <c r="E143" s="11">
        <f>SUMIFS(Production!$D$2:$D$337,Production!$A$2:$A$337,B143,Production!$B$2:$B$337,C143,Production!$C$2:$C$337,Controls!$B$7)</f>
        <v>0</v>
      </c>
      <c r="F143" s="11">
        <f t="shared" si="38"/>
        <v>237</v>
      </c>
      <c r="G143" s="11">
        <f>SUMIFS(Orders!$F$2:$F$2881,Orders!$B$2:$B$2881,B143,Orders!$I$2:$I$2881,C143)*Controls!$B$6</f>
        <v>80</v>
      </c>
      <c r="H143" s="11">
        <f t="shared" si="39"/>
        <v>80</v>
      </c>
      <c r="I143" s="11">
        <f t="shared" si="40"/>
        <v>157</v>
      </c>
      <c r="J143" s="11">
        <f t="shared" si="41"/>
        <v>0</v>
      </c>
      <c r="K143" s="12">
        <f t="shared" si="42"/>
        <v>1</v>
      </c>
      <c r="L143" s="13">
        <f>IF(G143=0,0,J143/G143*SUMIFS(Orders!$G$2:$G$2881,Orders!$B$2:$B$2881,B143,Orders!$I$2:$I$2881,C143))*Controls!$B$6</f>
        <v>0</v>
      </c>
      <c r="M143" s="26" t="str">
        <f t="shared" si="43"/>
        <v>OF2035|50</v>
      </c>
      <c r="N143" s="27">
        <f t="shared" si="44"/>
        <v>0</v>
      </c>
      <c r="O143" s="6"/>
      <c r="P143" s="6"/>
      <c r="Q143" s="6"/>
      <c r="R143" s="6"/>
      <c r="S143" s="6"/>
      <c r="T143" s="6"/>
    </row>
    <row r="144" spans="1:20">
      <c r="A144" s="6"/>
      <c r="B144" s="6" t="s">
        <v>75</v>
      </c>
      <c r="C144" s="6">
        <v>51</v>
      </c>
      <c r="D144" s="11">
        <f t="shared" si="37"/>
        <v>157</v>
      </c>
      <c r="E144" s="11">
        <f>SUMIFS(Production!$D$2:$D$337,Production!$A$2:$A$337,B144,Production!$B$2:$B$337,C144,Production!$C$2:$C$337,Controls!$B$7)</f>
        <v>0</v>
      </c>
      <c r="F144" s="11">
        <f t="shared" si="38"/>
        <v>157</v>
      </c>
      <c r="G144" s="11">
        <f>SUMIFS(Orders!$F$2:$F$2881,Orders!$B$2:$B$2881,B144,Orders!$I$2:$I$2881,C144)*Controls!$B$6</f>
        <v>40</v>
      </c>
      <c r="H144" s="11">
        <f t="shared" si="39"/>
        <v>40</v>
      </c>
      <c r="I144" s="11">
        <f t="shared" si="40"/>
        <v>117</v>
      </c>
      <c r="J144" s="11">
        <f t="shared" si="41"/>
        <v>0</v>
      </c>
      <c r="K144" s="12">
        <f t="shared" si="42"/>
        <v>1</v>
      </c>
      <c r="L144" s="13">
        <f>IF(G144=0,0,J144/G144*SUMIFS(Orders!$G$2:$G$2881,Orders!$B$2:$B$2881,B144,Orders!$I$2:$I$2881,C144))*Controls!$B$6</f>
        <v>0</v>
      </c>
      <c r="M144" s="26" t="str">
        <f t="shared" si="43"/>
        <v>OF2035|51</v>
      </c>
      <c r="N144" s="27">
        <f t="shared" si="44"/>
        <v>0</v>
      </c>
      <c r="O144" s="6"/>
      <c r="P144" s="6"/>
      <c r="Q144" s="6"/>
      <c r="R144" s="6"/>
      <c r="S144" s="6"/>
      <c r="T144" s="6"/>
    </row>
    <row r="145" spans="1:20">
      <c r="A145" s="6"/>
      <c r="B145" s="6" t="s">
        <v>75</v>
      </c>
      <c r="C145" s="6">
        <v>52</v>
      </c>
      <c r="D145" s="11">
        <f t="shared" si="37"/>
        <v>117</v>
      </c>
      <c r="E145" s="11">
        <f>SUMIFS(Production!$D$2:$D$337,Production!$A$2:$A$337,B145,Production!$B$2:$B$337,C145,Production!$C$2:$C$337,Controls!$B$7)</f>
        <v>0</v>
      </c>
      <c r="F145" s="11">
        <f t="shared" si="38"/>
        <v>117</v>
      </c>
      <c r="G145" s="11">
        <f>SUMIFS(Orders!$F$2:$F$2881,Orders!$B$2:$B$2881,B145,Orders!$I$2:$I$2881,C145)*Controls!$B$6</f>
        <v>42</v>
      </c>
      <c r="H145" s="11">
        <f t="shared" si="39"/>
        <v>42</v>
      </c>
      <c r="I145" s="11">
        <f t="shared" si="40"/>
        <v>75</v>
      </c>
      <c r="J145" s="11">
        <f t="shared" si="41"/>
        <v>0</v>
      </c>
      <c r="K145" s="12">
        <f t="shared" si="42"/>
        <v>1</v>
      </c>
      <c r="L145" s="13">
        <f>IF(G145=0,0,J145/G145*SUMIFS(Orders!$G$2:$G$2881,Orders!$B$2:$B$2881,B145,Orders!$I$2:$I$2881,C145))*Controls!$B$6</f>
        <v>0</v>
      </c>
      <c r="M145" s="26" t="str">
        <f t="shared" si="43"/>
        <v>OF2035|52</v>
      </c>
      <c r="N145" s="27">
        <f t="shared" si="44"/>
        <v>0</v>
      </c>
      <c r="O145" s="6"/>
      <c r="P145" s="6"/>
      <c r="Q145" s="6"/>
      <c r="R145" s="6"/>
      <c r="S145" s="6"/>
      <c r="T145" s="6"/>
    </row>
    <row r="146" spans="1:20">
      <c r="A146" s="6"/>
      <c r="B146" s="6" t="s">
        <v>76</v>
      </c>
      <c r="C146" s="6">
        <v>39</v>
      </c>
      <c r="D146" s="11">
        <f>SUMIFS(Products!$D$2:$D$13,Products!$B$2:$B$13,B146)</f>
        <v>2073</v>
      </c>
      <c r="E146" s="11">
        <f>SUMIFS(Production!$D$2:$D$337,Production!$A$2:$A$337,B146,Production!$B$2:$B$337,C146,Production!$C$2:$C$337,Controls!$B$7)</f>
        <v>0</v>
      </c>
      <c r="F146" s="11">
        <f t="shared" si="38"/>
        <v>2073</v>
      </c>
      <c r="G146" s="11">
        <f>SUMIFS(Orders!$F$2:$F$2881,Orders!$B$2:$B$2881,B146,Orders!$I$2:$I$2881,C146)*Controls!$B$6</f>
        <v>0</v>
      </c>
      <c r="H146" s="11">
        <f t="shared" si="39"/>
        <v>0</v>
      </c>
      <c r="I146" s="11">
        <f t="shared" si="40"/>
        <v>2073</v>
      </c>
      <c r="J146" s="11">
        <f t="shared" si="41"/>
        <v>0</v>
      </c>
      <c r="K146" s="12" t="str">
        <f t="shared" si="42"/>
        <v>n.a.</v>
      </c>
      <c r="L146" s="13">
        <f>IF(G146=0,0,J146/G146*SUMIFS(Orders!$G$2:$G$2881,Orders!$B$2:$B$2881,B146,Orders!$I$2:$I$2881,C146))*Controls!$B$6</f>
        <v>0</v>
      </c>
      <c r="M146" s="26" t="str">
        <f t="shared" si="43"/>
        <v>OP8025|39</v>
      </c>
      <c r="N146" s="27">
        <f t="shared" si="44"/>
        <v>0</v>
      </c>
      <c r="O146" s="6"/>
      <c r="P146" s="6"/>
      <c r="Q146" s="6"/>
      <c r="R146" s="6"/>
      <c r="S146" s="6"/>
      <c r="T146" s="6"/>
    </row>
    <row r="147" spans="1:20">
      <c r="A147" s="6"/>
      <c r="B147" s="6" t="s">
        <v>76</v>
      </c>
      <c r="C147" s="6">
        <v>40</v>
      </c>
      <c r="D147" s="11">
        <f t="shared" ref="D147:D159" si="45">I146</f>
        <v>2073</v>
      </c>
      <c r="E147" s="11">
        <f>SUMIFS(Production!$D$2:$D$337,Production!$A$2:$A$337,B147,Production!$B$2:$B$337,C147,Production!$C$2:$C$337,Controls!$B$7)</f>
        <v>1000</v>
      </c>
      <c r="F147" s="11">
        <f t="shared" si="38"/>
        <v>3073</v>
      </c>
      <c r="G147" s="11">
        <f>SUMIFS(Orders!$F$2:$F$2881,Orders!$B$2:$B$2881,B147,Orders!$I$2:$I$2881,C147)*Controls!$B$6</f>
        <v>324</v>
      </c>
      <c r="H147" s="11">
        <f t="shared" si="39"/>
        <v>324</v>
      </c>
      <c r="I147" s="11">
        <f t="shared" si="40"/>
        <v>2749</v>
      </c>
      <c r="J147" s="11">
        <f t="shared" si="41"/>
        <v>0</v>
      </c>
      <c r="K147" s="12">
        <f t="shared" si="42"/>
        <v>1</v>
      </c>
      <c r="L147" s="13">
        <f>IF(G147=0,0,J147/G147*SUMIFS(Orders!$G$2:$G$2881,Orders!$B$2:$B$2881,B147,Orders!$I$2:$I$2881,C147))*Controls!$B$6</f>
        <v>0</v>
      </c>
      <c r="M147" s="26" t="str">
        <f t="shared" si="43"/>
        <v>OP8025|40</v>
      </c>
      <c r="N147" s="27">
        <f t="shared" si="44"/>
        <v>0</v>
      </c>
      <c r="O147" s="6"/>
      <c r="P147" s="6"/>
      <c r="Q147" s="6"/>
      <c r="R147" s="6"/>
      <c r="S147" s="6"/>
      <c r="T147" s="6"/>
    </row>
    <row r="148" spans="1:20">
      <c r="A148" s="6"/>
      <c r="B148" s="6" t="s">
        <v>76</v>
      </c>
      <c r="C148" s="6">
        <v>41</v>
      </c>
      <c r="D148" s="11">
        <f t="shared" si="45"/>
        <v>2749</v>
      </c>
      <c r="E148" s="11">
        <f>SUMIFS(Production!$D$2:$D$337,Production!$A$2:$A$337,B148,Production!$B$2:$B$337,C148,Production!$C$2:$C$337,Controls!$B$7)</f>
        <v>0</v>
      </c>
      <c r="F148" s="11">
        <f t="shared" si="38"/>
        <v>2749</v>
      </c>
      <c r="G148" s="11">
        <f>SUMIFS(Orders!$F$2:$F$2881,Orders!$B$2:$B$2881,B148,Orders!$I$2:$I$2881,C148)*Controls!$B$6</f>
        <v>1946</v>
      </c>
      <c r="H148" s="11">
        <f t="shared" si="39"/>
        <v>1946</v>
      </c>
      <c r="I148" s="11">
        <f t="shared" si="40"/>
        <v>803</v>
      </c>
      <c r="J148" s="11">
        <f t="shared" si="41"/>
        <v>0</v>
      </c>
      <c r="K148" s="12">
        <f t="shared" si="42"/>
        <v>1</v>
      </c>
      <c r="L148" s="13">
        <f>IF(G148=0,0,J148/G148*SUMIFS(Orders!$G$2:$G$2881,Orders!$B$2:$B$2881,B148,Orders!$I$2:$I$2881,C148))*Controls!$B$6</f>
        <v>0</v>
      </c>
      <c r="M148" s="26" t="str">
        <f t="shared" si="43"/>
        <v>OP8025|41</v>
      </c>
      <c r="N148" s="27">
        <f t="shared" si="44"/>
        <v>0</v>
      </c>
      <c r="O148" s="6"/>
      <c r="P148" s="6"/>
      <c r="Q148" s="6"/>
      <c r="R148" s="6"/>
      <c r="S148" s="6"/>
      <c r="T148" s="6"/>
    </row>
    <row r="149" spans="1:20">
      <c r="A149" s="6"/>
      <c r="B149" s="6" t="s">
        <v>76</v>
      </c>
      <c r="C149" s="6">
        <v>42</v>
      </c>
      <c r="D149" s="11">
        <f t="shared" si="45"/>
        <v>803</v>
      </c>
      <c r="E149" s="11">
        <f>SUMIFS(Production!$D$2:$D$337,Production!$A$2:$A$337,B149,Production!$B$2:$B$337,C149,Production!$C$2:$C$337,Controls!$B$7)</f>
        <v>1000</v>
      </c>
      <c r="F149" s="11">
        <f t="shared" si="38"/>
        <v>1803</v>
      </c>
      <c r="G149" s="11">
        <f>SUMIFS(Orders!$F$2:$F$2881,Orders!$B$2:$B$2881,B149,Orders!$I$2:$I$2881,C149)*Controls!$B$6</f>
        <v>592</v>
      </c>
      <c r="H149" s="11">
        <f t="shared" si="39"/>
        <v>592</v>
      </c>
      <c r="I149" s="11">
        <f t="shared" si="40"/>
        <v>1211</v>
      </c>
      <c r="J149" s="11">
        <f t="shared" si="41"/>
        <v>0</v>
      </c>
      <c r="K149" s="12">
        <f t="shared" si="42"/>
        <v>1</v>
      </c>
      <c r="L149" s="13">
        <f>IF(G149=0,0,J149/G149*SUMIFS(Orders!$G$2:$G$2881,Orders!$B$2:$B$2881,B149,Orders!$I$2:$I$2881,C149))*Controls!$B$6</f>
        <v>0</v>
      </c>
      <c r="M149" s="26" t="str">
        <f t="shared" si="43"/>
        <v>OP8025|42</v>
      </c>
      <c r="N149" s="27">
        <f t="shared" si="44"/>
        <v>0</v>
      </c>
      <c r="O149" s="6"/>
      <c r="P149" s="6"/>
      <c r="Q149" s="6"/>
      <c r="R149" s="6"/>
      <c r="S149" s="6"/>
      <c r="T149" s="6"/>
    </row>
    <row r="150" spans="1:20">
      <c r="A150" s="6"/>
      <c r="B150" s="6" t="s">
        <v>76</v>
      </c>
      <c r="C150" s="6">
        <v>43</v>
      </c>
      <c r="D150" s="11">
        <f t="shared" si="45"/>
        <v>1211</v>
      </c>
      <c r="E150" s="11">
        <f>SUMIFS(Production!$D$2:$D$337,Production!$A$2:$A$337,B150,Production!$B$2:$B$337,C150,Production!$C$2:$C$337,Controls!$B$7)</f>
        <v>0</v>
      </c>
      <c r="F150" s="11">
        <f t="shared" si="38"/>
        <v>1211</v>
      </c>
      <c r="G150" s="11">
        <f>SUMIFS(Orders!$F$2:$F$2881,Orders!$B$2:$B$2881,B150,Orders!$I$2:$I$2881,C150)*Controls!$B$6</f>
        <v>540</v>
      </c>
      <c r="H150" s="11">
        <f t="shared" si="39"/>
        <v>540</v>
      </c>
      <c r="I150" s="11">
        <f t="shared" si="40"/>
        <v>671</v>
      </c>
      <c r="J150" s="11">
        <f t="shared" si="41"/>
        <v>0</v>
      </c>
      <c r="K150" s="12">
        <f t="shared" si="42"/>
        <v>1</v>
      </c>
      <c r="L150" s="13">
        <f>IF(G150=0,0,J150/G150*SUMIFS(Orders!$G$2:$G$2881,Orders!$B$2:$B$2881,B150,Orders!$I$2:$I$2881,C150))*Controls!$B$6</f>
        <v>0</v>
      </c>
      <c r="M150" s="26" t="str">
        <f t="shared" si="43"/>
        <v>OP8025|43</v>
      </c>
      <c r="N150" s="27">
        <f t="shared" si="44"/>
        <v>0</v>
      </c>
      <c r="O150" s="6"/>
      <c r="P150" s="6"/>
      <c r="Q150" s="6"/>
      <c r="R150" s="6"/>
      <c r="S150" s="6"/>
      <c r="T150" s="6"/>
    </row>
    <row r="151" spans="1:20">
      <c r="A151" s="6"/>
      <c r="B151" s="6" t="s">
        <v>76</v>
      </c>
      <c r="C151" s="6">
        <v>44</v>
      </c>
      <c r="D151" s="11">
        <f t="shared" si="45"/>
        <v>671</v>
      </c>
      <c r="E151" s="11">
        <f>SUMIFS(Production!$D$2:$D$337,Production!$A$2:$A$337,B151,Production!$B$2:$B$337,C151,Production!$C$2:$C$337,Controls!$B$7)</f>
        <v>2000</v>
      </c>
      <c r="F151" s="11">
        <f t="shared" si="38"/>
        <v>2671</v>
      </c>
      <c r="G151" s="11">
        <f>SUMIFS(Orders!$F$2:$F$2881,Orders!$B$2:$B$2881,B151,Orders!$I$2:$I$2881,C151)*Controls!$B$6</f>
        <v>445</v>
      </c>
      <c r="H151" s="11">
        <f t="shared" si="39"/>
        <v>445</v>
      </c>
      <c r="I151" s="11">
        <f t="shared" si="40"/>
        <v>2226</v>
      </c>
      <c r="J151" s="11">
        <f t="shared" si="41"/>
        <v>0</v>
      </c>
      <c r="K151" s="12">
        <f t="shared" si="42"/>
        <v>1</v>
      </c>
      <c r="L151" s="13">
        <f>IF(G151=0,0,J151/G151*SUMIFS(Orders!$G$2:$G$2881,Orders!$B$2:$B$2881,B151,Orders!$I$2:$I$2881,C151))*Controls!$B$6</f>
        <v>0</v>
      </c>
      <c r="M151" s="26" t="str">
        <f t="shared" si="43"/>
        <v>OP8025|44</v>
      </c>
      <c r="N151" s="27">
        <f t="shared" si="44"/>
        <v>0</v>
      </c>
      <c r="O151" s="6"/>
      <c r="P151" s="6"/>
      <c r="Q151" s="6"/>
      <c r="R151" s="6"/>
      <c r="S151" s="6"/>
      <c r="T151" s="6"/>
    </row>
    <row r="152" spans="1:20">
      <c r="A152" s="6"/>
      <c r="B152" s="6" t="s">
        <v>76</v>
      </c>
      <c r="C152" s="6">
        <v>45</v>
      </c>
      <c r="D152" s="11">
        <f t="shared" si="45"/>
        <v>2226</v>
      </c>
      <c r="E152" s="11">
        <f>SUMIFS(Production!$D$2:$D$337,Production!$A$2:$A$337,B152,Production!$B$2:$B$337,C152,Production!$C$2:$C$337,Controls!$B$7)</f>
        <v>1000</v>
      </c>
      <c r="F152" s="11">
        <f t="shared" si="38"/>
        <v>3226</v>
      </c>
      <c r="G152" s="11">
        <f>SUMIFS(Orders!$F$2:$F$2881,Orders!$B$2:$B$2881,B152,Orders!$I$2:$I$2881,C152)*Controls!$B$6</f>
        <v>1287</v>
      </c>
      <c r="H152" s="11">
        <f t="shared" si="39"/>
        <v>1287</v>
      </c>
      <c r="I152" s="11">
        <f t="shared" si="40"/>
        <v>1939</v>
      </c>
      <c r="J152" s="11">
        <f t="shared" si="41"/>
        <v>0</v>
      </c>
      <c r="K152" s="12">
        <f t="shared" si="42"/>
        <v>1</v>
      </c>
      <c r="L152" s="13">
        <f>IF(G152=0,0,J152/G152*SUMIFS(Orders!$G$2:$G$2881,Orders!$B$2:$B$2881,B152,Orders!$I$2:$I$2881,C152))*Controls!$B$6</f>
        <v>0</v>
      </c>
      <c r="M152" s="26" t="str">
        <f t="shared" si="43"/>
        <v>OP8025|45</v>
      </c>
      <c r="N152" s="27">
        <f t="shared" si="44"/>
        <v>0</v>
      </c>
      <c r="O152" s="6"/>
      <c r="P152" s="6"/>
      <c r="Q152" s="6"/>
      <c r="R152" s="6"/>
      <c r="S152" s="6"/>
      <c r="T152" s="6"/>
    </row>
    <row r="153" spans="1:20">
      <c r="A153" s="6"/>
      <c r="B153" s="6" t="s">
        <v>76</v>
      </c>
      <c r="C153" s="6">
        <v>46</v>
      </c>
      <c r="D153" s="11">
        <f t="shared" si="45"/>
        <v>1939</v>
      </c>
      <c r="E153" s="11">
        <f>SUMIFS(Production!$D$2:$D$337,Production!$A$2:$A$337,B153,Production!$B$2:$B$337,C153,Production!$C$2:$C$337,Controls!$B$7)</f>
        <v>1000</v>
      </c>
      <c r="F153" s="11">
        <f t="shared" si="38"/>
        <v>2939</v>
      </c>
      <c r="G153" s="11">
        <f>SUMIFS(Orders!$F$2:$F$2881,Orders!$B$2:$B$2881,B153,Orders!$I$2:$I$2881,C153)*Controls!$B$6</f>
        <v>1706</v>
      </c>
      <c r="H153" s="11">
        <f t="shared" si="39"/>
        <v>1706</v>
      </c>
      <c r="I153" s="11">
        <f t="shared" si="40"/>
        <v>1233</v>
      </c>
      <c r="J153" s="11">
        <f t="shared" si="41"/>
        <v>0</v>
      </c>
      <c r="K153" s="12">
        <f t="shared" si="42"/>
        <v>1</v>
      </c>
      <c r="L153" s="13">
        <f>IF(G153=0,0,J153/G153*SUMIFS(Orders!$G$2:$G$2881,Orders!$B$2:$B$2881,B153,Orders!$I$2:$I$2881,C153))*Controls!$B$6</f>
        <v>0</v>
      </c>
      <c r="M153" s="26" t="str">
        <f t="shared" si="43"/>
        <v>OP8025|46</v>
      </c>
      <c r="N153" s="27">
        <f t="shared" si="44"/>
        <v>0</v>
      </c>
      <c r="O153" s="6"/>
      <c r="P153" s="6"/>
      <c r="Q153" s="6"/>
      <c r="R153" s="6"/>
      <c r="S153" s="6"/>
      <c r="T153" s="6"/>
    </row>
    <row r="154" spans="1:20">
      <c r="A154" s="6"/>
      <c r="B154" s="6" t="s">
        <v>76</v>
      </c>
      <c r="C154" s="6">
        <v>47</v>
      </c>
      <c r="D154" s="11">
        <f t="shared" si="45"/>
        <v>1233</v>
      </c>
      <c r="E154" s="11">
        <f>SUMIFS(Production!$D$2:$D$337,Production!$A$2:$A$337,B154,Production!$B$2:$B$337,C154,Production!$C$2:$C$337,Controls!$B$7)</f>
        <v>2000</v>
      </c>
      <c r="F154" s="11">
        <f t="shared" si="38"/>
        <v>3233</v>
      </c>
      <c r="G154" s="11">
        <f>SUMIFS(Orders!$F$2:$F$2881,Orders!$B$2:$B$2881,B154,Orders!$I$2:$I$2881,C154)*Controls!$B$6</f>
        <v>683</v>
      </c>
      <c r="H154" s="11">
        <f t="shared" si="39"/>
        <v>683</v>
      </c>
      <c r="I154" s="11">
        <f t="shared" si="40"/>
        <v>2550</v>
      </c>
      <c r="J154" s="11">
        <f t="shared" si="41"/>
        <v>0</v>
      </c>
      <c r="K154" s="12">
        <f t="shared" si="42"/>
        <v>1</v>
      </c>
      <c r="L154" s="13">
        <f>IF(G154=0,0,J154/G154*SUMIFS(Orders!$G$2:$G$2881,Orders!$B$2:$B$2881,B154,Orders!$I$2:$I$2881,C154))*Controls!$B$6</f>
        <v>0</v>
      </c>
      <c r="M154" s="26" t="str">
        <f t="shared" si="43"/>
        <v>OP8025|47</v>
      </c>
      <c r="N154" s="27">
        <f t="shared" si="44"/>
        <v>0</v>
      </c>
      <c r="O154" s="6"/>
      <c r="P154" s="6"/>
      <c r="Q154" s="6"/>
      <c r="R154" s="6"/>
      <c r="S154" s="6"/>
      <c r="T154" s="6"/>
    </row>
    <row r="155" spans="1:20">
      <c r="A155" s="6"/>
      <c r="B155" s="6" t="s">
        <v>76</v>
      </c>
      <c r="C155" s="6">
        <v>48</v>
      </c>
      <c r="D155" s="11">
        <f t="shared" si="45"/>
        <v>2550</v>
      </c>
      <c r="E155" s="11">
        <f>SUMIFS(Production!$D$2:$D$337,Production!$A$2:$A$337,B155,Production!$B$2:$B$337,C155,Production!$C$2:$C$337,Controls!$B$7)</f>
        <v>1000</v>
      </c>
      <c r="F155" s="11">
        <f t="shared" si="38"/>
        <v>3550</v>
      </c>
      <c r="G155" s="11">
        <f>SUMIFS(Orders!$F$2:$F$2881,Orders!$B$2:$B$2881,B155,Orders!$I$2:$I$2881,C155)*Controls!$B$6</f>
        <v>2437</v>
      </c>
      <c r="H155" s="11">
        <f t="shared" si="39"/>
        <v>2437</v>
      </c>
      <c r="I155" s="11">
        <f t="shared" si="40"/>
        <v>1113</v>
      </c>
      <c r="J155" s="11">
        <f t="shared" si="41"/>
        <v>0</v>
      </c>
      <c r="K155" s="12">
        <f t="shared" si="42"/>
        <v>1</v>
      </c>
      <c r="L155" s="13">
        <f>IF(G155=0,0,J155/G155*SUMIFS(Orders!$G$2:$G$2881,Orders!$B$2:$B$2881,B155,Orders!$I$2:$I$2881,C155))*Controls!$B$6</f>
        <v>0</v>
      </c>
      <c r="M155" s="26" t="str">
        <f t="shared" si="43"/>
        <v>OP8025|48</v>
      </c>
      <c r="N155" s="27">
        <f t="shared" si="44"/>
        <v>0</v>
      </c>
      <c r="O155" s="6"/>
      <c r="P155" s="6"/>
      <c r="Q155" s="6"/>
      <c r="R155" s="6"/>
      <c r="S155" s="6"/>
      <c r="T155" s="6"/>
    </row>
    <row r="156" spans="1:20">
      <c r="A156" s="6"/>
      <c r="B156" s="6" t="s">
        <v>76</v>
      </c>
      <c r="C156" s="6">
        <v>49</v>
      </c>
      <c r="D156" s="11">
        <f t="shared" si="45"/>
        <v>1113</v>
      </c>
      <c r="E156" s="11">
        <f>SUMIFS(Production!$D$2:$D$337,Production!$A$2:$A$337,B156,Production!$B$2:$B$337,C156,Production!$C$2:$C$337,Controls!$B$7)</f>
        <v>0</v>
      </c>
      <c r="F156" s="11">
        <f t="shared" si="38"/>
        <v>1113</v>
      </c>
      <c r="G156" s="11">
        <f>SUMIFS(Orders!$F$2:$F$2881,Orders!$B$2:$B$2881,B156,Orders!$I$2:$I$2881,C156)*Controls!$B$6</f>
        <v>253</v>
      </c>
      <c r="H156" s="11">
        <f t="shared" si="39"/>
        <v>253</v>
      </c>
      <c r="I156" s="11">
        <f t="shared" si="40"/>
        <v>860</v>
      </c>
      <c r="J156" s="11">
        <f t="shared" si="41"/>
        <v>0</v>
      </c>
      <c r="K156" s="12">
        <f t="shared" si="42"/>
        <v>1</v>
      </c>
      <c r="L156" s="13">
        <f>IF(G156=0,0,J156/G156*SUMIFS(Orders!$G$2:$G$2881,Orders!$B$2:$B$2881,B156,Orders!$I$2:$I$2881,C156))*Controls!$B$6</f>
        <v>0</v>
      </c>
      <c r="M156" s="26" t="str">
        <f t="shared" si="43"/>
        <v>OP8025|49</v>
      </c>
      <c r="N156" s="27">
        <f t="shared" si="44"/>
        <v>0</v>
      </c>
      <c r="O156" s="6"/>
      <c r="P156" s="6"/>
      <c r="Q156" s="6"/>
      <c r="R156" s="6"/>
      <c r="S156" s="6"/>
      <c r="T156" s="6"/>
    </row>
    <row r="157" spans="1:20">
      <c r="A157" s="6"/>
      <c r="B157" s="6" t="s">
        <v>76</v>
      </c>
      <c r="C157" s="6">
        <v>50</v>
      </c>
      <c r="D157" s="11">
        <f t="shared" si="45"/>
        <v>860</v>
      </c>
      <c r="E157" s="11">
        <f>SUMIFS(Production!$D$2:$D$337,Production!$A$2:$A$337,B157,Production!$B$2:$B$337,C157,Production!$C$2:$C$337,Controls!$B$7)</f>
        <v>1000</v>
      </c>
      <c r="F157" s="11">
        <f t="shared" si="38"/>
        <v>1860</v>
      </c>
      <c r="G157" s="11">
        <f>SUMIFS(Orders!$F$2:$F$2881,Orders!$B$2:$B$2881,B157,Orders!$I$2:$I$2881,C157)*Controls!$B$6</f>
        <v>565</v>
      </c>
      <c r="H157" s="11">
        <f t="shared" si="39"/>
        <v>565</v>
      </c>
      <c r="I157" s="11">
        <f t="shared" si="40"/>
        <v>1295</v>
      </c>
      <c r="J157" s="11">
        <f t="shared" si="41"/>
        <v>0</v>
      </c>
      <c r="K157" s="12">
        <f t="shared" si="42"/>
        <v>1</v>
      </c>
      <c r="L157" s="13">
        <f>IF(G157=0,0,J157/G157*SUMIFS(Orders!$G$2:$G$2881,Orders!$B$2:$B$2881,B157,Orders!$I$2:$I$2881,C157))*Controls!$B$6</f>
        <v>0</v>
      </c>
      <c r="M157" s="26" t="str">
        <f t="shared" si="43"/>
        <v>OP8025|50</v>
      </c>
      <c r="N157" s="27">
        <f t="shared" si="44"/>
        <v>0</v>
      </c>
      <c r="O157" s="6"/>
      <c r="P157" s="6"/>
      <c r="Q157" s="6"/>
      <c r="R157" s="6"/>
      <c r="S157" s="6"/>
      <c r="T157" s="6"/>
    </row>
    <row r="158" spans="1:20">
      <c r="A158" s="6"/>
      <c r="B158" s="6" t="s">
        <v>76</v>
      </c>
      <c r="C158" s="6">
        <v>51</v>
      </c>
      <c r="D158" s="11">
        <f t="shared" si="45"/>
        <v>1295</v>
      </c>
      <c r="E158" s="11">
        <f>SUMIFS(Production!$D$2:$D$337,Production!$A$2:$A$337,B158,Production!$B$2:$B$337,C158,Production!$C$2:$C$337,Controls!$B$7)</f>
        <v>1000</v>
      </c>
      <c r="F158" s="11">
        <f t="shared" si="38"/>
        <v>2295</v>
      </c>
      <c r="G158" s="11">
        <f>SUMIFS(Orders!$F$2:$F$2881,Orders!$B$2:$B$2881,B158,Orders!$I$2:$I$2881,C158)*Controls!$B$6</f>
        <v>792</v>
      </c>
      <c r="H158" s="11">
        <f t="shared" si="39"/>
        <v>792</v>
      </c>
      <c r="I158" s="11">
        <f t="shared" si="40"/>
        <v>1503</v>
      </c>
      <c r="J158" s="11">
        <f t="shared" si="41"/>
        <v>0</v>
      </c>
      <c r="K158" s="12">
        <f t="shared" si="42"/>
        <v>1</v>
      </c>
      <c r="L158" s="13">
        <f>IF(G158=0,0,J158/G158*SUMIFS(Orders!$G$2:$G$2881,Orders!$B$2:$B$2881,B158,Orders!$I$2:$I$2881,C158))*Controls!$B$6</f>
        <v>0</v>
      </c>
      <c r="M158" s="26" t="str">
        <f t="shared" si="43"/>
        <v>OP8025|51</v>
      </c>
      <c r="N158" s="27">
        <f t="shared" si="44"/>
        <v>0</v>
      </c>
      <c r="O158" s="6"/>
      <c r="P158" s="6"/>
      <c r="Q158" s="6"/>
      <c r="R158" s="6"/>
      <c r="S158" s="6"/>
      <c r="T158" s="6"/>
    </row>
    <row r="159" spans="1:20">
      <c r="A159" s="6"/>
      <c r="B159" s="6" t="s">
        <v>76</v>
      </c>
      <c r="C159" s="6">
        <v>52</v>
      </c>
      <c r="D159" s="11">
        <f t="shared" si="45"/>
        <v>1503</v>
      </c>
      <c r="E159" s="11">
        <f>SUMIFS(Production!$D$2:$D$337,Production!$A$2:$A$337,B159,Production!$B$2:$B$337,C159,Production!$C$2:$C$337,Controls!$B$7)</f>
        <v>0</v>
      </c>
      <c r="F159" s="11">
        <f t="shared" si="38"/>
        <v>1503</v>
      </c>
      <c r="G159" s="11">
        <f>SUMIFS(Orders!$F$2:$F$2881,Orders!$B$2:$B$2881,B159,Orders!$I$2:$I$2881,C159)*Controls!$B$6</f>
        <v>870</v>
      </c>
      <c r="H159" s="11">
        <f t="shared" si="39"/>
        <v>870</v>
      </c>
      <c r="I159" s="11">
        <f t="shared" si="40"/>
        <v>633</v>
      </c>
      <c r="J159" s="11">
        <f t="shared" si="41"/>
        <v>0</v>
      </c>
      <c r="K159" s="12">
        <f t="shared" si="42"/>
        <v>1</v>
      </c>
      <c r="L159" s="13">
        <f>IF(G159=0,0,J159/G159*SUMIFS(Orders!$G$2:$G$2881,Orders!$B$2:$B$2881,B159,Orders!$I$2:$I$2881,C159))*Controls!$B$6</f>
        <v>0</v>
      </c>
      <c r="M159" s="26" t="str">
        <f t="shared" si="43"/>
        <v>OP8025|52</v>
      </c>
      <c r="N159" s="27">
        <f t="shared" si="44"/>
        <v>0</v>
      </c>
      <c r="O159" s="6"/>
      <c r="P159" s="6"/>
      <c r="Q159" s="6"/>
      <c r="R159" s="6"/>
      <c r="S159" s="6"/>
      <c r="T159" s="6"/>
    </row>
    <row r="160" spans="1:20">
      <c r="A160" s="6"/>
      <c r="B160" s="6" t="s">
        <v>77</v>
      </c>
      <c r="C160" s="6">
        <v>39</v>
      </c>
      <c r="D160" s="11">
        <f>SUMIFS(Products!$D$2:$D$13,Products!$B$2:$B$13,B160)</f>
        <v>4250</v>
      </c>
      <c r="E160" s="11">
        <f>SUMIFS(Production!$D$2:$D$337,Production!$A$2:$A$337,B160,Production!$B$2:$B$337,C160,Production!$C$2:$C$337,Controls!$B$7)</f>
        <v>0</v>
      </c>
      <c r="F160" s="11">
        <f t="shared" si="38"/>
        <v>4250</v>
      </c>
      <c r="G160" s="11">
        <f>SUMIFS(Orders!$F$2:$F$2881,Orders!$B$2:$B$2881,B160,Orders!$I$2:$I$2881,C160)*Controls!$B$6</f>
        <v>0</v>
      </c>
      <c r="H160" s="11">
        <f t="shared" si="39"/>
        <v>0</v>
      </c>
      <c r="I160" s="11">
        <f t="shared" si="40"/>
        <v>4250</v>
      </c>
      <c r="J160" s="11">
        <f t="shared" si="41"/>
        <v>0</v>
      </c>
      <c r="K160" s="12" t="str">
        <f t="shared" si="42"/>
        <v>n.a.</v>
      </c>
      <c r="L160" s="13">
        <f>IF(G160=0,0,J160/G160*SUMIFS(Orders!$G$2:$G$2881,Orders!$B$2:$B$2881,B160,Orders!$I$2:$I$2881,C160))*Controls!$B$6</f>
        <v>0</v>
      </c>
      <c r="M160" s="26" t="str">
        <f t="shared" si="43"/>
        <v>OY2545|39</v>
      </c>
      <c r="N160" s="27">
        <f t="shared" si="44"/>
        <v>0</v>
      </c>
      <c r="O160" s="6"/>
      <c r="P160" s="6"/>
      <c r="Q160" s="6"/>
      <c r="R160" s="6"/>
      <c r="S160" s="6"/>
      <c r="T160" s="6"/>
    </row>
    <row r="161" spans="1:20">
      <c r="A161" s="6"/>
      <c r="B161" s="6" t="s">
        <v>77</v>
      </c>
      <c r="C161" s="6">
        <v>40</v>
      </c>
      <c r="D161" s="11">
        <f t="shared" ref="D161:D173" si="46">I160</f>
        <v>4250</v>
      </c>
      <c r="E161" s="11">
        <f>SUMIFS(Production!$D$2:$D$337,Production!$A$2:$A$337,B161,Production!$B$2:$B$337,C161,Production!$C$2:$C$337,Controls!$B$7)</f>
        <v>0</v>
      </c>
      <c r="F161" s="11">
        <f t="shared" si="38"/>
        <v>4250</v>
      </c>
      <c r="G161" s="11">
        <f>SUMIFS(Orders!$F$2:$F$2881,Orders!$B$2:$B$2881,B161,Orders!$I$2:$I$2881,C161)*Controls!$B$6</f>
        <v>1721</v>
      </c>
      <c r="H161" s="11">
        <f t="shared" si="39"/>
        <v>1721</v>
      </c>
      <c r="I161" s="11">
        <f t="shared" si="40"/>
        <v>2529</v>
      </c>
      <c r="J161" s="11">
        <f t="shared" si="41"/>
        <v>0</v>
      </c>
      <c r="K161" s="12">
        <f t="shared" si="42"/>
        <v>1</v>
      </c>
      <c r="L161" s="13">
        <f>IF(G161=0,0,J161/G161*SUMIFS(Orders!$G$2:$G$2881,Orders!$B$2:$B$2881,B161,Orders!$I$2:$I$2881,C161))*Controls!$B$6</f>
        <v>0</v>
      </c>
      <c r="M161" s="26" t="str">
        <f t="shared" si="43"/>
        <v>OY2545|40</v>
      </c>
      <c r="N161" s="27">
        <f t="shared" si="44"/>
        <v>0</v>
      </c>
      <c r="O161" s="6"/>
      <c r="P161" s="6"/>
      <c r="Q161" s="6"/>
      <c r="R161" s="6"/>
      <c r="S161" s="6"/>
      <c r="T161" s="6"/>
    </row>
    <row r="162" spans="1:20">
      <c r="A162" s="6"/>
      <c r="B162" s="6" t="s">
        <v>77</v>
      </c>
      <c r="C162" s="6">
        <v>41</v>
      </c>
      <c r="D162" s="11">
        <f t="shared" si="46"/>
        <v>2529</v>
      </c>
      <c r="E162" s="11">
        <f>SUMIFS(Production!$D$2:$D$337,Production!$A$2:$A$337,B162,Production!$B$2:$B$337,C162,Production!$C$2:$C$337,Controls!$B$7)</f>
        <v>2000</v>
      </c>
      <c r="F162" s="11">
        <f t="shared" si="38"/>
        <v>4529</v>
      </c>
      <c r="G162" s="11">
        <f>SUMIFS(Orders!$F$2:$F$2881,Orders!$B$2:$B$2881,B162,Orders!$I$2:$I$2881,C162)*Controls!$B$6</f>
        <v>1463</v>
      </c>
      <c r="H162" s="11">
        <f t="shared" si="39"/>
        <v>1463</v>
      </c>
      <c r="I162" s="11">
        <f t="shared" si="40"/>
        <v>3066</v>
      </c>
      <c r="J162" s="11">
        <f t="shared" si="41"/>
        <v>0</v>
      </c>
      <c r="K162" s="12">
        <f t="shared" si="42"/>
        <v>1</v>
      </c>
      <c r="L162" s="13">
        <f>IF(G162=0,0,J162/G162*SUMIFS(Orders!$G$2:$G$2881,Orders!$B$2:$B$2881,B162,Orders!$I$2:$I$2881,C162))*Controls!$B$6</f>
        <v>0</v>
      </c>
      <c r="M162" s="26" t="str">
        <f t="shared" si="43"/>
        <v>OY2545|41</v>
      </c>
      <c r="N162" s="27">
        <f t="shared" si="44"/>
        <v>0</v>
      </c>
      <c r="O162" s="6"/>
      <c r="P162" s="6"/>
      <c r="Q162" s="6"/>
      <c r="R162" s="6"/>
      <c r="S162" s="6"/>
      <c r="T162" s="6"/>
    </row>
    <row r="163" spans="1:20">
      <c r="A163" s="6"/>
      <c r="B163" s="6" t="s">
        <v>77</v>
      </c>
      <c r="C163" s="6">
        <v>42</v>
      </c>
      <c r="D163" s="11">
        <f t="shared" si="46"/>
        <v>3066</v>
      </c>
      <c r="E163" s="11">
        <f>SUMIFS(Production!$D$2:$D$337,Production!$A$2:$A$337,B163,Production!$B$2:$B$337,C163,Production!$C$2:$C$337,Controls!$B$7)</f>
        <v>2000</v>
      </c>
      <c r="F163" s="11">
        <f t="shared" si="38"/>
        <v>5066</v>
      </c>
      <c r="G163" s="11">
        <f>SUMIFS(Orders!$F$2:$F$2881,Orders!$B$2:$B$2881,B163,Orders!$I$2:$I$2881,C163)*Controls!$B$6</f>
        <v>2811</v>
      </c>
      <c r="H163" s="11">
        <f t="shared" si="39"/>
        <v>2811</v>
      </c>
      <c r="I163" s="11">
        <f t="shared" si="40"/>
        <v>2255</v>
      </c>
      <c r="J163" s="11">
        <f t="shared" si="41"/>
        <v>0</v>
      </c>
      <c r="K163" s="12">
        <f t="shared" si="42"/>
        <v>1</v>
      </c>
      <c r="L163" s="13">
        <f>IF(G163=0,0,J163/G163*SUMIFS(Orders!$G$2:$G$2881,Orders!$B$2:$B$2881,B163,Orders!$I$2:$I$2881,C163))*Controls!$B$6</f>
        <v>0</v>
      </c>
      <c r="M163" s="26" t="str">
        <f t="shared" si="43"/>
        <v>OY2545|42</v>
      </c>
      <c r="N163" s="27">
        <f t="shared" si="44"/>
        <v>0</v>
      </c>
      <c r="O163" s="6"/>
      <c r="P163" s="6"/>
      <c r="Q163" s="6"/>
      <c r="R163" s="6"/>
      <c r="S163" s="6"/>
      <c r="T163" s="6"/>
    </row>
    <row r="164" spans="1:20">
      <c r="A164" s="6"/>
      <c r="B164" s="6" t="s">
        <v>77</v>
      </c>
      <c r="C164" s="6">
        <v>43</v>
      </c>
      <c r="D164" s="11">
        <f t="shared" si="46"/>
        <v>2255</v>
      </c>
      <c r="E164" s="11">
        <f>SUMIFS(Production!$D$2:$D$337,Production!$A$2:$A$337,B164,Production!$B$2:$B$337,C164,Production!$C$2:$C$337,Controls!$B$7)</f>
        <v>1000</v>
      </c>
      <c r="F164" s="11">
        <f t="shared" si="38"/>
        <v>3255</v>
      </c>
      <c r="G164" s="11">
        <f>SUMIFS(Orders!$F$2:$F$2881,Orders!$B$2:$B$2881,B164,Orders!$I$2:$I$2881,C164)*Controls!$B$6</f>
        <v>1685</v>
      </c>
      <c r="H164" s="11">
        <f t="shared" si="39"/>
        <v>1685</v>
      </c>
      <c r="I164" s="11">
        <f t="shared" si="40"/>
        <v>1570</v>
      </c>
      <c r="J164" s="11">
        <f t="shared" si="41"/>
        <v>0</v>
      </c>
      <c r="K164" s="12">
        <f t="shared" si="42"/>
        <v>1</v>
      </c>
      <c r="L164" s="13">
        <f>IF(G164=0,0,J164/G164*SUMIFS(Orders!$G$2:$G$2881,Orders!$B$2:$B$2881,B164,Orders!$I$2:$I$2881,C164))*Controls!$B$6</f>
        <v>0</v>
      </c>
      <c r="M164" s="26" t="str">
        <f t="shared" si="43"/>
        <v>OY2545|43</v>
      </c>
      <c r="N164" s="27">
        <f t="shared" si="44"/>
        <v>0</v>
      </c>
      <c r="O164" s="6"/>
      <c r="P164" s="6"/>
      <c r="Q164" s="6"/>
      <c r="R164" s="6"/>
      <c r="S164" s="6"/>
      <c r="T164" s="6"/>
    </row>
    <row r="165" spans="1:20">
      <c r="A165" s="6"/>
      <c r="B165" s="6" t="s">
        <v>77</v>
      </c>
      <c r="C165" s="6">
        <v>44</v>
      </c>
      <c r="D165" s="11">
        <f t="shared" si="46"/>
        <v>1570</v>
      </c>
      <c r="E165" s="11">
        <f>SUMIFS(Production!$D$2:$D$337,Production!$A$2:$A$337,B165,Production!$B$2:$B$337,C165,Production!$C$2:$C$337,Controls!$B$7)</f>
        <v>2000</v>
      </c>
      <c r="F165" s="11">
        <f t="shared" si="38"/>
        <v>3570</v>
      </c>
      <c r="G165" s="11">
        <f>SUMIFS(Orders!$F$2:$F$2881,Orders!$B$2:$B$2881,B165,Orders!$I$2:$I$2881,C165)*Controls!$B$6</f>
        <v>1472</v>
      </c>
      <c r="H165" s="11">
        <f t="shared" si="39"/>
        <v>1472</v>
      </c>
      <c r="I165" s="11">
        <f t="shared" si="40"/>
        <v>2098</v>
      </c>
      <c r="J165" s="11">
        <f t="shared" si="41"/>
        <v>0</v>
      </c>
      <c r="K165" s="12">
        <f t="shared" si="42"/>
        <v>1</v>
      </c>
      <c r="L165" s="13">
        <f>IF(G165=0,0,J165/G165*SUMIFS(Orders!$G$2:$G$2881,Orders!$B$2:$B$2881,B165,Orders!$I$2:$I$2881,C165))*Controls!$B$6</f>
        <v>0</v>
      </c>
      <c r="M165" s="26" t="str">
        <f t="shared" si="43"/>
        <v>OY2545|44</v>
      </c>
      <c r="N165" s="27">
        <f t="shared" si="44"/>
        <v>0</v>
      </c>
      <c r="O165" s="6"/>
      <c r="P165" s="6"/>
      <c r="Q165" s="6"/>
      <c r="R165" s="6"/>
      <c r="S165" s="6"/>
      <c r="T165" s="6"/>
    </row>
    <row r="166" spans="1:20">
      <c r="A166" s="6"/>
      <c r="B166" s="6" t="s">
        <v>77</v>
      </c>
      <c r="C166" s="6">
        <v>45</v>
      </c>
      <c r="D166" s="11">
        <f t="shared" si="46"/>
        <v>2098</v>
      </c>
      <c r="E166" s="11">
        <f>SUMIFS(Production!$D$2:$D$337,Production!$A$2:$A$337,B166,Production!$B$2:$B$337,C166,Production!$C$2:$C$337,Controls!$B$7)</f>
        <v>2000</v>
      </c>
      <c r="F166" s="11">
        <f t="shared" ref="F166:F173" si="47">D166+E166</f>
        <v>4098</v>
      </c>
      <c r="G166" s="11">
        <f>SUMIFS(Orders!$F$2:$F$2881,Orders!$B$2:$B$2881,B166,Orders!$I$2:$I$2881,C166)*Controls!$B$6</f>
        <v>1690</v>
      </c>
      <c r="H166" s="11">
        <f t="shared" ref="H166:H173" si="48">MIN(F166,G166)</f>
        <v>1690</v>
      </c>
      <c r="I166" s="11">
        <f t="shared" ref="I166:I173" si="49">F166-H166</f>
        <v>2408</v>
      </c>
      <c r="J166" s="11">
        <f t="shared" ref="J166:J173" si="50">G166-H166</f>
        <v>0</v>
      </c>
      <c r="K166" s="12">
        <f t="shared" ref="K166:K173" si="51">IF(G166=0,"n.a.",H166/G166)</f>
        <v>1</v>
      </c>
      <c r="L166" s="13">
        <f>IF(G166=0,0,J166/G166*SUMIFS(Orders!$G$2:$G$2881,Orders!$B$2:$B$2881,B166,Orders!$I$2:$I$2881,C166))*Controls!$B$6</f>
        <v>0</v>
      </c>
      <c r="M166" s="26" t="str">
        <f t="shared" ref="M166:M173" si="52">B166&amp;"|"&amp;C166</f>
        <v>OY2545|45</v>
      </c>
      <c r="N166" s="27">
        <f t="shared" ref="N166:N173" si="53">IF(G166=0,0,J166/G166)</f>
        <v>0</v>
      </c>
      <c r="O166" s="6"/>
      <c r="P166" s="6"/>
      <c r="Q166" s="6"/>
      <c r="R166" s="6"/>
      <c r="S166" s="6"/>
      <c r="T166" s="6"/>
    </row>
    <row r="167" spans="1:20">
      <c r="A167" s="6"/>
      <c r="B167" s="6" t="s">
        <v>77</v>
      </c>
      <c r="C167" s="6">
        <v>46</v>
      </c>
      <c r="D167" s="11">
        <f t="shared" si="46"/>
        <v>2408</v>
      </c>
      <c r="E167" s="11">
        <f>SUMIFS(Production!$D$2:$D$337,Production!$A$2:$A$337,B167,Production!$B$2:$B$337,C167,Production!$C$2:$C$337,Controls!$B$7)</f>
        <v>2000</v>
      </c>
      <c r="F167" s="11">
        <f t="shared" si="47"/>
        <v>4408</v>
      </c>
      <c r="G167" s="11">
        <f>SUMIFS(Orders!$F$2:$F$2881,Orders!$B$2:$B$2881,B167,Orders!$I$2:$I$2881,C167)*Controls!$B$6</f>
        <v>1875</v>
      </c>
      <c r="H167" s="11">
        <f t="shared" si="48"/>
        <v>1875</v>
      </c>
      <c r="I167" s="11">
        <f t="shared" si="49"/>
        <v>2533</v>
      </c>
      <c r="J167" s="11">
        <f t="shared" si="50"/>
        <v>0</v>
      </c>
      <c r="K167" s="12">
        <f t="shared" si="51"/>
        <v>1</v>
      </c>
      <c r="L167" s="13">
        <f>IF(G167=0,0,J167/G167*SUMIFS(Orders!$G$2:$G$2881,Orders!$B$2:$B$2881,B167,Orders!$I$2:$I$2881,C167))*Controls!$B$6</f>
        <v>0</v>
      </c>
      <c r="M167" s="26" t="str">
        <f t="shared" si="52"/>
        <v>OY2545|46</v>
      </c>
      <c r="N167" s="27">
        <f t="shared" si="53"/>
        <v>0</v>
      </c>
      <c r="O167" s="6"/>
      <c r="P167" s="6"/>
      <c r="Q167" s="6"/>
      <c r="R167" s="6"/>
      <c r="S167" s="6"/>
      <c r="T167" s="6"/>
    </row>
    <row r="168" spans="1:20">
      <c r="A168" s="6"/>
      <c r="B168" s="6" t="s">
        <v>77</v>
      </c>
      <c r="C168" s="6">
        <v>47</v>
      </c>
      <c r="D168" s="11">
        <f t="shared" si="46"/>
        <v>2533</v>
      </c>
      <c r="E168" s="11">
        <f>SUMIFS(Production!$D$2:$D$337,Production!$A$2:$A$337,B168,Production!$B$2:$B$337,C168,Production!$C$2:$C$337,Controls!$B$7)</f>
        <v>2000</v>
      </c>
      <c r="F168" s="11">
        <f t="shared" si="47"/>
        <v>4533</v>
      </c>
      <c r="G168" s="11">
        <f>SUMIFS(Orders!$F$2:$F$2881,Orders!$B$2:$B$2881,B168,Orders!$I$2:$I$2881,C168)*Controls!$B$6</f>
        <v>1812</v>
      </c>
      <c r="H168" s="11">
        <f t="shared" si="48"/>
        <v>1812</v>
      </c>
      <c r="I168" s="11">
        <f t="shared" si="49"/>
        <v>2721</v>
      </c>
      <c r="J168" s="11">
        <f t="shared" si="50"/>
        <v>0</v>
      </c>
      <c r="K168" s="12">
        <f t="shared" si="51"/>
        <v>1</v>
      </c>
      <c r="L168" s="13">
        <f>IF(G168=0,0,J168/G168*SUMIFS(Orders!$G$2:$G$2881,Orders!$B$2:$B$2881,B168,Orders!$I$2:$I$2881,C168))*Controls!$B$6</f>
        <v>0</v>
      </c>
      <c r="M168" s="26" t="str">
        <f t="shared" si="52"/>
        <v>OY2545|47</v>
      </c>
      <c r="N168" s="27">
        <f t="shared" si="53"/>
        <v>0</v>
      </c>
      <c r="O168" s="6"/>
      <c r="P168" s="6"/>
      <c r="Q168" s="6"/>
      <c r="R168" s="6"/>
      <c r="S168" s="6"/>
      <c r="T168" s="6"/>
    </row>
    <row r="169" spans="1:20">
      <c r="A169" s="6"/>
      <c r="B169" s="6" t="s">
        <v>77</v>
      </c>
      <c r="C169" s="6">
        <v>48</v>
      </c>
      <c r="D169" s="11">
        <f t="shared" si="46"/>
        <v>2721</v>
      </c>
      <c r="E169" s="11">
        <f>SUMIFS(Production!$D$2:$D$337,Production!$A$2:$A$337,B169,Production!$B$2:$B$337,C169,Production!$C$2:$C$337,Controls!$B$7)</f>
        <v>2000</v>
      </c>
      <c r="F169" s="11">
        <f t="shared" si="47"/>
        <v>4721</v>
      </c>
      <c r="G169" s="11">
        <f>SUMIFS(Orders!$F$2:$F$2881,Orders!$B$2:$B$2881,B169,Orders!$I$2:$I$2881,C169)*Controls!$B$6</f>
        <v>2306</v>
      </c>
      <c r="H169" s="11">
        <f t="shared" si="48"/>
        <v>2306</v>
      </c>
      <c r="I169" s="11">
        <f t="shared" si="49"/>
        <v>2415</v>
      </c>
      <c r="J169" s="11">
        <f t="shared" si="50"/>
        <v>0</v>
      </c>
      <c r="K169" s="12">
        <f t="shared" si="51"/>
        <v>1</v>
      </c>
      <c r="L169" s="13">
        <f>IF(G169=0,0,J169/G169*SUMIFS(Orders!$G$2:$G$2881,Orders!$B$2:$B$2881,B169,Orders!$I$2:$I$2881,C169))*Controls!$B$6</f>
        <v>0</v>
      </c>
      <c r="M169" s="26" t="str">
        <f t="shared" si="52"/>
        <v>OY2545|48</v>
      </c>
      <c r="N169" s="27">
        <f t="shared" si="53"/>
        <v>0</v>
      </c>
      <c r="O169" s="6"/>
      <c r="P169" s="6"/>
      <c r="Q169" s="6"/>
      <c r="R169" s="6"/>
      <c r="S169" s="6"/>
      <c r="T169" s="6"/>
    </row>
    <row r="170" spans="1:20">
      <c r="A170" s="6"/>
      <c r="B170" s="6" t="s">
        <v>77</v>
      </c>
      <c r="C170" s="6">
        <v>49</v>
      </c>
      <c r="D170" s="11">
        <f t="shared" si="46"/>
        <v>2415</v>
      </c>
      <c r="E170" s="11">
        <f>SUMIFS(Production!$D$2:$D$337,Production!$A$2:$A$337,B170,Production!$B$2:$B$337,C170,Production!$C$2:$C$337,Controls!$B$7)</f>
        <v>3000</v>
      </c>
      <c r="F170" s="11">
        <f t="shared" si="47"/>
        <v>5415</v>
      </c>
      <c r="G170" s="11">
        <f>SUMIFS(Orders!$F$2:$F$2881,Orders!$B$2:$B$2881,B170,Orders!$I$2:$I$2881,C170)*Controls!$B$6</f>
        <v>2315</v>
      </c>
      <c r="H170" s="11">
        <f t="shared" si="48"/>
        <v>2315</v>
      </c>
      <c r="I170" s="11">
        <f t="shared" si="49"/>
        <v>3100</v>
      </c>
      <c r="J170" s="11">
        <f t="shared" si="50"/>
        <v>0</v>
      </c>
      <c r="K170" s="12">
        <f t="shared" si="51"/>
        <v>1</v>
      </c>
      <c r="L170" s="13">
        <f>IF(G170=0,0,J170/G170*SUMIFS(Orders!$G$2:$G$2881,Orders!$B$2:$B$2881,B170,Orders!$I$2:$I$2881,C170))*Controls!$B$6</f>
        <v>0</v>
      </c>
      <c r="M170" s="26" t="str">
        <f t="shared" si="52"/>
        <v>OY2545|49</v>
      </c>
      <c r="N170" s="27">
        <f t="shared" si="53"/>
        <v>0</v>
      </c>
      <c r="O170" s="6"/>
      <c r="P170" s="6"/>
      <c r="Q170" s="6"/>
      <c r="R170" s="6"/>
      <c r="S170" s="6"/>
      <c r="T170" s="6"/>
    </row>
    <row r="171" spans="1:20">
      <c r="A171" s="6"/>
      <c r="B171" s="6" t="s">
        <v>77</v>
      </c>
      <c r="C171" s="6">
        <v>50</v>
      </c>
      <c r="D171" s="11">
        <f t="shared" si="46"/>
        <v>3100</v>
      </c>
      <c r="E171" s="11">
        <f>SUMIFS(Production!$D$2:$D$337,Production!$A$2:$A$337,B171,Production!$B$2:$B$337,C171,Production!$C$2:$C$337,Controls!$B$7)</f>
        <v>1000</v>
      </c>
      <c r="F171" s="11">
        <f t="shared" si="47"/>
        <v>4100</v>
      </c>
      <c r="G171" s="11">
        <f>SUMIFS(Orders!$F$2:$F$2881,Orders!$B$2:$B$2881,B171,Orders!$I$2:$I$2881,C171)*Controls!$B$6</f>
        <v>2168</v>
      </c>
      <c r="H171" s="11">
        <f t="shared" si="48"/>
        <v>2168</v>
      </c>
      <c r="I171" s="11">
        <f t="shared" si="49"/>
        <v>1932</v>
      </c>
      <c r="J171" s="11">
        <f t="shared" si="50"/>
        <v>0</v>
      </c>
      <c r="K171" s="12">
        <f t="shared" si="51"/>
        <v>1</v>
      </c>
      <c r="L171" s="13">
        <f>IF(G171=0,0,J171/G171*SUMIFS(Orders!$G$2:$G$2881,Orders!$B$2:$B$2881,B171,Orders!$I$2:$I$2881,C171))*Controls!$B$6</f>
        <v>0</v>
      </c>
      <c r="M171" s="26" t="str">
        <f t="shared" si="52"/>
        <v>OY2545|50</v>
      </c>
      <c r="N171" s="27">
        <f t="shared" si="53"/>
        <v>0</v>
      </c>
      <c r="O171" s="6"/>
      <c r="P171" s="6"/>
      <c r="Q171" s="6"/>
      <c r="R171" s="6"/>
      <c r="S171" s="6"/>
      <c r="T171" s="6"/>
    </row>
    <row r="172" spans="1:20">
      <c r="A172" s="6"/>
      <c r="B172" s="6" t="s">
        <v>77</v>
      </c>
      <c r="C172" s="6">
        <v>51</v>
      </c>
      <c r="D172" s="11">
        <f t="shared" si="46"/>
        <v>1932</v>
      </c>
      <c r="E172" s="11">
        <f>SUMIFS(Production!$D$2:$D$337,Production!$A$2:$A$337,B172,Production!$B$2:$B$337,C172,Production!$C$2:$C$337,Controls!$B$7)</f>
        <v>3000</v>
      </c>
      <c r="F172" s="11">
        <f t="shared" si="47"/>
        <v>4932</v>
      </c>
      <c r="G172" s="11">
        <f>SUMIFS(Orders!$F$2:$F$2881,Orders!$B$2:$B$2881,B172,Orders!$I$2:$I$2881,C172)*Controls!$B$6</f>
        <v>1670</v>
      </c>
      <c r="H172" s="11">
        <f t="shared" si="48"/>
        <v>1670</v>
      </c>
      <c r="I172" s="11">
        <f t="shared" si="49"/>
        <v>3262</v>
      </c>
      <c r="J172" s="11">
        <f t="shared" si="50"/>
        <v>0</v>
      </c>
      <c r="K172" s="12">
        <f t="shared" si="51"/>
        <v>1</v>
      </c>
      <c r="L172" s="13">
        <f>IF(G172=0,0,J172/G172*SUMIFS(Orders!$G$2:$G$2881,Orders!$B$2:$B$2881,B172,Orders!$I$2:$I$2881,C172))*Controls!$B$6</f>
        <v>0</v>
      </c>
      <c r="M172" s="26" t="str">
        <f t="shared" si="52"/>
        <v>OY2545|51</v>
      </c>
      <c r="N172" s="27">
        <f t="shared" si="53"/>
        <v>0</v>
      </c>
      <c r="O172" s="6"/>
      <c r="P172" s="6"/>
      <c r="Q172" s="6"/>
      <c r="R172" s="6"/>
      <c r="S172" s="6"/>
      <c r="T172" s="6"/>
    </row>
    <row r="173" spans="1:20">
      <c r="A173" s="6"/>
      <c r="B173" s="6" t="s">
        <v>77</v>
      </c>
      <c r="C173" s="6">
        <v>52</v>
      </c>
      <c r="D173" s="11">
        <f t="shared" si="46"/>
        <v>3262</v>
      </c>
      <c r="E173" s="11">
        <f>SUMIFS(Production!$D$2:$D$337,Production!$A$2:$A$337,B173,Production!$B$2:$B$337,C173,Production!$C$2:$C$337,Controls!$B$7)</f>
        <v>0</v>
      </c>
      <c r="F173" s="11">
        <f t="shared" si="47"/>
        <v>3262</v>
      </c>
      <c r="G173" s="11">
        <f>SUMIFS(Orders!$F$2:$F$2881,Orders!$B$2:$B$2881,B173,Orders!$I$2:$I$2881,C173)*Controls!$B$6</f>
        <v>2510</v>
      </c>
      <c r="H173" s="11">
        <f t="shared" si="48"/>
        <v>2510</v>
      </c>
      <c r="I173" s="11">
        <f t="shared" si="49"/>
        <v>752</v>
      </c>
      <c r="J173" s="11">
        <f t="shared" si="50"/>
        <v>0</v>
      </c>
      <c r="K173" s="12">
        <f t="shared" si="51"/>
        <v>1</v>
      </c>
      <c r="L173" s="13">
        <f>IF(G173=0,0,J173/G173*SUMIFS(Orders!$G$2:$G$2881,Orders!$B$2:$B$2881,B173,Orders!$I$2:$I$2881,C173))*Controls!$B$6</f>
        <v>0</v>
      </c>
      <c r="M173" s="26" t="str">
        <f t="shared" si="52"/>
        <v>OY2545|52</v>
      </c>
      <c r="N173" s="27">
        <f t="shared" si="53"/>
        <v>0</v>
      </c>
      <c r="O173" s="6"/>
      <c r="P173" s="6"/>
      <c r="Q173" s="6"/>
      <c r="R173" s="6"/>
      <c r="S173" s="6"/>
      <c r="T173" s="6"/>
    </row>
  </sheetData>
  <conditionalFormatting sqref="J6:J173">
    <cfRule type="cellIs" dxfId="2" priority="1" operator="greater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8344D"/>
  </sheetPr>
  <dimension ref="A1:T20"/>
  <sheetViews>
    <sheetView showGridLines="0" workbookViewId="0"/>
  </sheetViews>
  <sheetFormatPr defaultRowHeight="13.8"/>
  <cols>
    <col min="1" max="1" width="3" customWidth="1"/>
    <col min="2" max="8" width="15" customWidth="1"/>
    <col min="9" max="9" width="49" customWidth="1"/>
    <col min="10" max="20" width="15" customWidth="1"/>
  </cols>
  <sheetData>
    <row r="1" spans="1:20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0" ht="21">
      <c r="A2" s="1"/>
      <c r="B2" s="2" t="s">
        <v>78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spans="1:20">
      <c r="A3" s="1"/>
      <c r="B3" s="1" t="s">
        <v>79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</row>
    <row r="4" spans="1:20">
      <c r="A4" s="1"/>
      <c r="B4" s="1" t="s">
        <v>2</v>
      </c>
      <c r="C4" s="1"/>
      <c r="D4" s="1" t="str">
        <f>Controls!B7</f>
        <v>Delayed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spans="1:20" ht="30" customHeight="1">
      <c r="A5" s="1"/>
      <c r="B5" s="17" t="s">
        <v>57</v>
      </c>
      <c r="C5" s="17" t="s">
        <v>58</v>
      </c>
      <c r="D5" s="17" t="s">
        <v>13</v>
      </c>
      <c r="E5" s="17" t="s">
        <v>60</v>
      </c>
      <c r="F5" s="17" t="s">
        <v>16</v>
      </c>
      <c r="G5" s="17" t="s">
        <v>80</v>
      </c>
      <c r="H5" s="17" t="s">
        <v>81</v>
      </c>
      <c r="I5" s="17" t="s">
        <v>82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</row>
    <row r="6" spans="1:20">
      <c r="A6" s="1"/>
      <c r="B6" s="1" t="s">
        <v>66</v>
      </c>
      <c r="C6" s="10">
        <f>SUMIFS(Products!$D$2:$D$13,Products!$B$2:$B$13,B6)</f>
        <v>4063</v>
      </c>
      <c r="D6" s="10">
        <f>SUMIFS('PSI Plan'!$G$6:$G$173,'PSI Plan'!$B$6:$B$173,B6)</f>
        <v>24379</v>
      </c>
      <c r="E6" s="10">
        <f>SUMIFS('PSI Plan'!$H$6:$H$173,'PSI Plan'!$B$6:$B$173,B6)</f>
        <v>22096</v>
      </c>
      <c r="F6" s="10">
        <f>SUMIFS('PSI Plan'!$J$6:$J$173,'PSI Plan'!$B$6:$B$173,B6)</f>
        <v>2283</v>
      </c>
      <c r="G6" s="10">
        <f>SUMIFS('PSI Plan'!$I$6:$I$173,'PSI Plan'!$B$6:$B$173,B6,'PSI Plan'!$C$6:$C$173,52)</f>
        <v>2967</v>
      </c>
      <c r="H6" s="14">
        <f t="shared" ref="H6:H17" si="0">IF(D6=0,"n.a.",G6/(D6/13))</f>
        <v>1.5821403667090528</v>
      </c>
      <c r="I6" s="1" t="str">
        <f t="shared" ref="I6:I17" si="1">IF(F6&gt;0,"Review shortage weeks",IF(D6=0,"Review stock without demand","Review future demand before replenishment"))</f>
        <v>Review shortage weeks</v>
      </c>
      <c r="J6" s="1"/>
      <c r="K6" s="1"/>
      <c r="L6" s="1"/>
      <c r="M6" s="1"/>
      <c r="N6" s="1"/>
      <c r="O6" s="1"/>
      <c r="P6" s="1"/>
      <c r="Q6" s="1"/>
      <c r="R6" s="1"/>
      <c r="S6" s="1"/>
      <c r="T6" s="1"/>
    </row>
    <row r="7" spans="1:20">
      <c r="A7" s="1"/>
      <c r="B7" s="1" t="s">
        <v>67</v>
      </c>
      <c r="C7" s="10">
        <f>SUMIFS(Products!$D$2:$D$13,Products!$B$2:$B$13,B7)</f>
        <v>2032</v>
      </c>
      <c r="D7" s="10">
        <f>SUMIFS('PSI Plan'!$G$6:$G$173,'PSI Plan'!$B$6:$B$173,B7)</f>
        <v>12190</v>
      </c>
      <c r="E7" s="10">
        <f>SUMIFS('PSI Plan'!$H$6:$H$173,'PSI Plan'!$B$6:$B$173,B7)</f>
        <v>12190</v>
      </c>
      <c r="F7" s="10">
        <f>SUMIFS('PSI Plan'!$J$6:$J$173,'PSI Plan'!$B$6:$B$173,B7)</f>
        <v>0</v>
      </c>
      <c r="G7" s="10">
        <f>SUMIFS('PSI Plan'!$I$6:$I$173,'PSI Plan'!$B$6:$B$173,B7,'PSI Plan'!$C$6:$C$173,52)</f>
        <v>842</v>
      </c>
      <c r="H7" s="14">
        <f t="shared" si="0"/>
        <v>0.89794913863822801</v>
      </c>
      <c r="I7" s="1" t="str">
        <f t="shared" si="1"/>
        <v>Review future demand before replenishment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</row>
    <row r="8" spans="1:20">
      <c r="A8" s="1"/>
      <c r="B8" s="1" t="s">
        <v>68</v>
      </c>
      <c r="C8" s="10">
        <f>SUMIFS(Products!$D$2:$D$13,Products!$B$2:$B$13,B8)</f>
        <v>148</v>
      </c>
      <c r="D8" s="10">
        <f>SUMIFS('PSI Plan'!$G$6:$G$173,'PSI Plan'!$B$6:$B$173,B8)</f>
        <v>886</v>
      </c>
      <c r="E8" s="10">
        <f>SUMIFS('PSI Plan'!$H$6:$H$173,'PSI Plan'!$B$6:$B$173,B8)</f>
        <v>886</v>
      </c>
      <c r="F8" s="10">
        <f>SUMIFS('PSI Plan'!$J$6:$J$173,'PSI Plan'!$B$6:$B$173,B8)</f>
        <v>0</v>
      </c>
      <c r="G8" s="10">
        <f>SUMIFS('PSI Plan'!$I$6:$I$173,'PSI Plan'!$B$6:$B$173,B8,'PSI Plan'!$C$6:$C$173,52)</f>
        <v>262</v>
      </c>
      <c r="H8" s="14">
        <f t="shared" si="0"/>
        <v>3.8442437923250559</v>
      </c>
      <c r="I8" s="1" t="str">
        <f t="shared" si="1"/>
        <v>Review future demand before replenishment</v>
      </c>
      <c r="J8" s="1"/>
      <c r="K8" s="1"/>
      <c r="L8" s="1"/>
      <c r="M8" s="1"/>
      <c r="N8" s="1"/>
      <c r="O8" s="1"/>
      <c r="P8" s="1"/>
      <c r="Q8" s="1"/>
      <c r="R8" s="1"/>
      <c r="S8" s="1"/>
      <c r="T8" s="1"/>
    </row>
    <row r="9" spans="1:20">
      <c r="A9" s="1"/>
      <c r="B9" s="1" t="s">
        <v>69</v>
      </c>
      <c r="C9" s="10">
        <f>SUMIFS(Products!$D$2:$D$13,Products!$B$2:$B$13,B9)</f>
        <v>4974</v>
      </c>
      <c r="D9" s="10">
        <f>SUMIFS('PSI Plan'!$G$6:$G$173,'PSI Plan'!$B$6:$B$173,B9)</f>
        <v>29842</v>
      </c>
      <c r="E9" s="10">
        <f>SUMIFS('PSI Plan'!$H$6:$H$173,'PSI Plan'!$B$6:$B$173,B9)</f>
        <v>29842</v>
      </c>
      <c r="F9" s="10">
        <f>SUMIFS('PSI Plan'!$J$6:$J$173,'PSI Plan'!$B$6:$B$173,B9)</f>
        <v>0</v>
      </c>
      <c r="G9" s="10">
        <f>SUMIFS('PSI Plan'!$I$6:$I$173,'PSI Plan'!$B$6:$B$173,B9,'PSI Plan'!$C$6:$C$173,52)</f>
        <v>132</v>
      </c>
      <c r="H9" s="14">
        <f t="shared" si="0"/>
        <v>5.7502848334562026E-2</v>
      </c>
      <c r="I9" s="1" t="str">
        <f t="shared" si="1"/>
        <v>Review future demand before replenishment</v>
      </c>
      <c r="J9" s="1"/>
      <c r="K9" s="1"/>
      <c r="L9" s="1"/>
      <c r="M9" s="1"/>
      <c r="N9" s="1"/>
      <c r="O9" s="1"/>
      <c r="P9" s="1"/>
      <c r="Q9" s="1"/>
      <c r="R9" s="1"/>
      <c r="S9" s="1"/>
      <c r="T9" s="1"/>
    </row>
    <row r="10" spans="1:20">
      <c r="A10" s="1"/>
      <c r="B10" s="1" t="s">
        <v>70</v>
      </c>
      <c r="C10" s="10">
        <f>SUMIFS(Products!$D$2:$D$13,Products!$B$2:$B$13,B10)</f>
        <v>121</v>
      </c>
      <c r="D10" s="10">
        <f>SUMIFS('PSI Plan'!$G$6:$G$173,'PSI Plan'!$B$6:$B$173,B10)</f>
        <v>724</v>
      </c>
      <c r="E10" s="10">
        <f>SUMIFS('PSI Plan'!$H$6:$H$173,'PSI Plan'!$B$6:$B$173,B10)</f>
        <v>724</v>
      </c>
      <c r="F10" s="10">
        <f>SUMIFS('PSI Plan'!$J$6:$J$173,'PSI Plan'!$B$6:$B$173,B10)</f>
        <v>0</v>
      </c>
      <c r="G10" s="10">
        <f>SUMIFS('PSI Plan'!$I$6:$I$173,'PSI Plan'!$B$6:$B$173,B10,'PSI Plan'!$C$6:$C$173,52)</f>
        <v>397</v>
      </c>
      <c r="H10" s="14">
        <f t="shared" si="0"/>
        <v>7.1284530386740332</v>
      </c>
      <c r="I10" s="1" t="str">
        <f t="shared" si="1"/>
        <v>Review future demand before replenishment</v>
      </c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</row>
    <row r="11" spans="1:20">
      <c r="A11" s="1"/>
      <c r="B11" s="1" t="s">
        <v>71</v>
      </c>
      <c r="C11" s="10">
        <f>SUMIFS(Products!$D$2:$D$13,Products!$B$2:$B$13,B11)</f>
        <v>138</v>
      </c>
      <c r="D11" s="10">
        <f>SUMIFS('PSI Plan'!$G$6:$G$173,'PSI Plan'!$B$6:$B$173,B11)</f>
        <v>828</v>
      </c>
      <c r="E11" s="10">
        <f>SUMIFS('PSI Plan'!$H$6:$H$173,'PSI Plan'!$B$6:$B$173,B11)</f>
        <v>828</v>
      </c>
      <c r="F11" s="10">
        <f>SUMIFS('PSI Plan'!$J$6:$J$173,'PSI Plan'!$B$6:$B$173,B11)</f>
        <v>0</v>
      </c>
      <c r="G11" s="10">
        <f>SUMIFS('PSI Plan'!$I$6:$I$173,'PSI Plan'!$B$6:$B$173,B11,'PSI Plan'!$C$6:$C$173,52)</f>
        <v>310</v>
      </c>
      <c r="H11" s="14">
        <f t="shared" si="0"/>
        <v>4.8671497584541061</v>
      </c>
      <c r="I11" s="1" t="str">
        <f t="shared" si="1"/>
        <v>Review future demand before replenishment</v>
      </c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20">
      <c r="A12" s="1"/>
      <c r="B12" s="1" t="s">
        <v>72</v>
      </c>
      <c r="C12" s="10">
        <f>SUMIFS(Products!$D$2:$D$13,Products!$B$2:$B$13,B12)</f>
        <v>187</v>
      </c>
      <c r="D12" s="10">
        <f>SUMIFS('PSI Plan'!$G$6:$G$173,'PSI Plan'!$B$6:$B$173,B12)</f>
        <v>1124</v>
      </c>
      <c r="E12" s="10">
        <f>SUMIFS('PSI Plan'!$H$6:$H$173,'PSI Plan'!$B$6:$B$173,B12)</f>
        <v>1124</v>
      </c>
      <c r="F12" s="10">
        <f>SUMIFS('PSI Plan'!$J$6:$J$173,'PSI Plan'!$B$6:$B$173,B12)</f>
        <v>0</v>
      </c>
      <c r="G12" s="10">
        <f>SUMIFS('PSI Plan'!$I$6:$I$173,'PSI Plan'!$B$6:$B$173,B12,'PSI Plan'!$C$6:$C$173,52)</f>
        <v>63</v>
      </c>
      <c r="H12" s="14">
        <f t="shared" si="0"/>
        <v>0.72864768683274017</v>
      </c>
      <c r="I12" s="1" t="str">
        <f t="shared" si="1"/>
        <v>Review future demand before replenishment</v>
      </c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</row>
    <row r="13" spans="1:20">
      <c r="A13" s="1"/>
      <c r="B13" s="1" t="s">
        <v>73</v>
      </c>
      <c r="C13" s="10">
        <f>SUMIFS(Products!$D$2:$D$13,Products!$B$2:$B$13,B13)</f>
        <v>130</v>
      </c>
      <c r="D13" s="10">
        <f>SUMIFS('PSI Plan'!$G$6:$G$173,'PSI Plan'!$B$6:$B$173,B13)</f>
        <v>780</v>
      </c>
      <c r="E13" s="10">
        <f>SUMIFS('PSI Plan'!$H$6:$H$173,'PSI Plan'!$B$6:$B$173,B13)</f>
        <v>780</v>
      </c>
      <c r="F13" s="10">
        <f>SUMIFS('PSI Plan'!$J$6:$J$173,'PSI Plan'!$B$6:$B$173,B13)</f>
        <v>0</v>
      </c>
      <c r="G13" s="10">
        <f>SUMIFS('PSI Plan'!$I$6:$I$173,'PSI Plan'!$B$6:$B$173,B13,'PSI Plan'!$C$6:$C$173,52)</f>
        <v>350</v>
      </c>
      <c r="H13" s="14">
        <f t="shared" si="0"/>
        <v>5.833333333333333</v>
      </c>
      <c r="I13" s="1" t="str">
        <f t="shared" si="1"/>
        <v>Review future demand before replenishment</v>
      </c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</row>
    <row r="14" spans="1:20">
      <c r="A14" s="1"/>
      <c r="B14" s="1" t="s">
        <v>74</v>
      </c>
      <c r="C14" s="10">
        <f>SUMIFS(Products!$D$2:$D$13,Products!$B$2:$B$13,B14)</f>
        <v>32</v>
      </c>
      <c r="D14" s="10">
        <f>SUMIFS('PSI Plan'!$G$6:$G$173,'PSI Plan'!$B$6:$B$173,B14)</f>
        <v>193</v>
      </c>
      <c r="E14" s="10">
        <f>SUMIFS('PSI Plan'!$H$6:$H$173,'PSI Plan'!$B$6:$B$173,B14)</f>
        <v>193</v>
      </c>
      <c r="F14" s="10">
        <f>SUMIFS('PSI Plan'!$J$6:$J$173,'PSI Plan'!$B$6:$B$173,B14)</f>
        <v>0</v>
      </c>
      <c r="G14" s="10">
        <f>SUMIFS('PSI Plan'!$I$6:$I$173,'PSI Plan'!$B$6:$B$173,B14,'PSI Plan'!$C$6:$C$173,52)</f>
        <v>839</v>
      </c>
      <c r="H14" s="14">
        <f t="shared" si="0"/>
        <v>56.512953367875646</v>
      </c>
      <c r="I14" s="1" t="str">
        <f t="shared" si="1"/>
        <v>Review future demand before replenishment</v>
      </c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</row>
    <row r="15" spans="1:20">
      <c r="A15" s="1"/>
      <c r="B15" s="1" t="s">
        <v>75</v>
      </c>
      <c r="C15" s="10">
        <f>SUMIFS(Products!$D$2:$D$13,Products!$B$2:$B$13,B15)</f>
        <v>185</v>
      </c>
      <c r="D15" s="10">
        <f>SUMIFS('PSI Plan'!$G$6:$G$173,'PSI Plan'!$B$6:$B$173,B15)</f>
        <v>1110</v>
      </c>
      <c r="E15" s="10">
        <f>SUMIFS('PSI Plan'!$H$6:$H$173,'PSI Plan'!$B$6:$B$173,B15)</f>
        <v>1110</v>
      </c>
      <c r="F15" s="10">
        <f>SUMIFS('PSI Plan'!$J$6:$J$173,'PSI Plan'!$B$6:$B$173,B15)</f>
        <v>0</v>
      </c>
      <c r="G15" s="10">
        <f>SUMIFS('PSI Plan'!$I$6:$I$173,'PSI Plan'!$B$6:$B$173,B15,'PSI Plan'!$C$6:$C$173,52)</f>
        <v>75</v>
      </c>
      <c r="H15" s="14">
        <f t="shared" si="0"/>
        <v>0.8783783783783784</v>
      </c>
      <c r="I15" s="1" t="str">
        <f t="shared" si="1"/>
        <v>Review future demand before replenishment</v>
      </c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</row>
    <row r="16" spans="1:20">
      <c r="A16" s="1"/>
      <c r="B16" s="1" t="s">
        <v>76</v>
      </c>
      <c r="C16" s="10">
        <f>SUMIFS(Products!$D$2:$D$13,Products!$B$2:$B$13,B16)</f>
        <v>2073</v>
      </c>
      <c r="D16" s="10">
        <f>SUMIFS('PSI Plan'!$G$6:$G$173,'PSI Plan'!$B$6:$B$173,B16)</f>
        <v>12440</v>
      </c>
      <c r="E16" s="10">
        <f>SUMIFS('PSI Plan'!$H$6:$H$173,'PSI Plan'!$B$6:$B$173,B16)</f>
        <v>12440</v>
      </c>
      <c r="F16" s="10">
        <f>SUMIFS('PSI Plan'!$J$6:$J$173,'PSI Plan'!$B$6:$B$173,B16)</f>
        <v>0</v>
      </c>
      <c r="G16" s="10">
        <f>SUMIFS('PSI Plan'!$I$6:$I$173,'PSI Plan'!$B$6:$B$173,B16,'PSI Plan'!$C$6:$C$173,52)</f>
        <v>633</v>
      </c>
      <c r="H16" s="14">
        <f t="shared" si="0"/>
        <v>0.6614951768488746</v>
      </c>
      <c r="I16" s="1" t="str">
        <f t="shared" si="1"/>
        <v>Review future demand before replenishment</v>
      </c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</row>
    <row r="17" spans="1:20">
      <c r="A17" s="1"/>
      <c r="B17" s="1" t="s">
        <v>77</v>
      </c>
      <c r="C17" s="10">
        <f>SUMIFS(Products!$D$2:$D$13,Products!$B$2:$B$13,B17)</f>
        <v>4250</v>
      </c>
      <c r="D17" s="10">
        <f>SUMIFS('PSI Plan'!$G$6:$G$173,'PSI Plan'!$B$6:$B$173,B17)</f>
        <v>25498</v>
      </c>
      <c r="E17" s="10">
        <f>SUMIFS('PSI Plan'!$H$6:$H$173,'PSI Plan'!$B$6:$B$173,B17)</f>
        <v>25498</v>
      </c>
      <c r="F17" s="10">
        <f>SUMIFS('PSI Plan'!$J$6:$J$173,'PSI Plan'!$B$6:$B$173,B17)</f>
        <v>0</v>
      </c>
      <c r="G17" s="10">
        <f>SUMIFS('PSI Plan'!$I$6:$I$173,'PSI Plan'!$B$6:$B$173,B17,'PSI Plan'!$C$6:$C$173,52)</f>
        <v>752</v>
      </c>
      <c r="H17" s="14">
        <f t="shared" si="0"/>
        <v>0.38340261981331869</v>
      </c>
      <c r="I17" s="1" t="str">
        <f t="shared" si="1"/>
        <v>Review future demand before replenishment</v>
      </c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</row>
    <row r="18" spans="1:20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</row>
    <row r="19" spans="1:20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</row>
    <row r="20" spans="1: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</row>
  </sheetData>
  <conditionalFormatting sqref="F6:F17">
    <cfRule type="cellIs" dxfId="1" priority="1" operator="greater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22"/>
  <sheetViews>
    <sheetView workbookViewId="0">
      <selection activeCell="F6" sqref="F6"/>
    </sheetView>
  </sheetViews>
  <sheetFormatPr defaultRowHeight="13.8"/>
  <cols>
    <col min="1" max="1" width="3" customWidth="1"/>
    <col min="2" max="20" width="15" customWidth="1"/>
  </cols>
  <sheetData>
    <row r="1" spans="1:20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0" ht="21">
      <c r="A2" s="1"/>
      <c r="B2" s="2" t="s">
        <v>83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spans="1:20">
      <c r="A3" s="1"/>
      <c r="B3" s="1" t="s">
        <v>84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</row>
    <row r="4" spans="1:20">
      <c r="A4" s="1"/>
      <c r="B4" s="1" t="s">
        <v>2</v>
      </c>
      <c r="C4" s="1"/>
      <c r="D4" s="1" t="str">
        <f>Controls!B7</f>
        <v>Delayed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spans="1:20" ht="30" customHeight="1">
      <c r="A5" s="1"/>
      <c r="B5" s="17" t="s">
        <v>85</v>
      </c>
      <c r="C5" s="17" t="s">
        <v>86</v>
      </c>
      <c r="D5" s="17" t="s">
        <v>87</v>
      </c>
      <c r="E5" s="17" t="s">
        <v>88</v>
      </c>
      <c r="F5" s="17" t="s">
        <v>63</v>
      </c>
      <c r="G5" s="17" t="s">
        <v>89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</row>
    <row r="6" spans="1:20">
      <c r="A6" s="1"/>
      <c r="B6" s="1" t="s">
        <v>90</v>
      </c>
      <c r="C6" s="10">
        <f>SUMIFS(Orders!$L$2:$L$2881,Orders!$C$2:$C$2881,B6)</f>
        <v>49243</v>
      </c>
      <c r="D6" s="10">
        <f>SUMIFS(Orders!$M$2:$M$2881,Orders!$C$2:$C$2881,B6)</f>
        <v>6155375</v>
      </c>
      <c r="E6" s="10">
        <f>SUMIFS(Orders!$O$2:$O$2881,Orders!$C$2:$C$2881,B6)</f>
        <v>565.264826929631</v>
      </c>
      <c r="F6" s="10">
        <f>SUMIFS(Orders!$P$2:$P$2881,Orders!$C$2:$C$2881,B6)</f>
        <v>70658.103366203854</v>
      </c>
      <c r="G6" s="4">
        <f t="shared" ref="G6:G22" si="0">IF(D6=0,"n.a.",F6/D6)</f>
        <v>1.147908996059604E-2</v>
      </c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</row>
    <row r="7" spans="1:20">
      <c r="A7" s="1"/>
      <c r="B7" s="1" t="s">
        <v>91</v>
      </c>
      <c r="C7" s="10">
        <f>SUMIFS(Orders!$L$2:$L$2881,Orders!$C$2:$C$2881,B7)</f>
        <v>2416</v>
      </c>
      <c r="D7" s="10">
        <f>SUMIFS(Orders!$M$2:$M$2881,Orders!$C$2:$C$2881,B7)</f>
        <v>302000</v>
      </c>
      <c r="E7" s="10">
        <f>SUMIFS(Orders!$O$2:$O$2881,Orders!$C$2:$C$2881,B7)</f>
        <v>8.7010368663594466</v>
      </c>
      <c r="F7" s="10">
        <f>SUMIFS(Orders!$P$2:$P$2881,Orders!$C$2:$C$2881,B7)</f>
        <v>1087.6296082949309</v>
      </c>
      <c r="G7" s="4">
        <f t="shared" si="0"/>
        <v>3.6014225440229499E-3</v>
      </c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</row>
    <row r="8" spans="1:20">
      <c r="A8" s="1"/>
      <c r="B8" s="1" t="s">
        <v>92</v>
      </c>
      <c r="C8" s="10">
        <f>SUMIFS(Orders!$L$2:$L$2881,Orders!$C$2:$C$2881,B8)</f>
        <v>166</v>
      </c>
      <c r="D8" s="10">
        <f>SUMIFS(Orders!$M$2:$M$2881,Orders!$C$2:$C$2881,B8)</f>
        <v>20750</v>
      </c>
      <c r="E8" s="10">
        <f>SUMIFS(Orders!$O$2:$O$2881,Orders!$C$2:$C$2881,B8)</f>
        <v>0</v>
      </c>
      <c r="F8" s="10">
        <f>SUMIFS(Orders!$P$2:$P$2881,Orders!$C$2:$C$2881,B8)</f>
        <v>0</v>
      </c>
      <c r="G8" s="4">
        <f t="shared" si="0"/>
        <v>0</v>
      </c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</row>
    <row r="9" spans="1:20">
      <c r="A9" s="1"/>
      <c r="B9" s="1" t="s">
        <v>93</v>
      </c>
      <c r="C9" s="10">
        <f>SUMIFS(Orders!$L$2:$L$2881,Orders!$C$2:$C$2881,B9)</f>
        <v>1093</v>
      </c>
      <c r="D9" s="10">
        <f>SUMIFS(Orders!$M$2:$M$2881,Orders!$C$2:$C$2881,B9)</f>
        <v>136625</v>
      </c>
      <c r="E9" s="10">
        <f>SUMIFS(Orders!$O$2:$O$2881,Orders!$C$2:$C$2881,B9)</f>
        <v>47.83526549557692</v>
      </c>
      <c r="F9" s="10">
        <f>SUMIFS(Orders!$P$2:$P$2881,Orders!$C$2:$C$2881,B9)</f>
        <v>5979.4081869471156</v>
      </c>
      <c r="G9" s="4">
        <f t="shared" si="0"/>
        <v>4.3765110242979806E-2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</row>
    <row r="10" spans="1:20">
      <c r="A10" s="1"/>
      <c r="B10" s="1" t="s">
        <v>94</v>
      </c>
      <c r="C10" s="10">
        <f>SUMIFS(Orders!$L$2:$L$2881,Orders!$C$2:$C$2881,B10)</f>
        <v>103</v>
      </c>
      <c r="D10" s="10">
        <f>SUMIFS(Orders!$M$2:$M$2881,Orders!$C$2:$C$2881,B10)</f>
        <v>12875</v>
      </c>
      <c r="E10" s="10">
        <f>SUMIFS(Orders!$O$2:$O$2881,Orders!$C$2:$C$2881,B10)</f>
        <v>0</v>
      </c>
      <c r="F10" s="10">
        <f>SUMIFS(Orders!$P$2:$P$2881,Orders!$C$2:$C$2881,B10)</f>
        <v>0</v>
      </c>
      <c r="G10" s="4">
        <f t="shared" si="0"/>
        <v>0</v>
      </c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</row>
    <row r="11" spans="1:20">
      <c r="A11" s="1"/>
      <c r="B11" s="1" t="s">
        <v>95</v>
      </c>
      <c r="C11" s="10">
        <f>SUMIFS(Orders!$L$2:$L$2881,Orders!$C$2:$C$2881,B11)</f>
        <v>1731</v>
      </c>
      <c r="D11" s="10">
        <f>SUMIFS(Orders!$M$2:$M$2881,Orders!$C$2:$C$2881,B11)</f>
        <v>216375</v>
      </c>
      <c r="E11" s="10">
        <f>SUMIFS(Orders!$O$2:$O$2881,Orders!$C$2:$C$2881,B11)</f>
        <v>0</v>
      </c>
      <c r="F11" s="10">
        <f>SUMIFS(Orders!$P$2:$P$2881,Orders!$C$2:$C$2881,B11)</f>
        <v>0</v>
      </c>
      <c r="G11" s="4">
        <f t="shared" si="0"/>
        <v>0</v>
      </c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20">
      <c r="A12" s="1"/>
      <c r="B12" s="1" t="s">
        <v>96</v>
      </c>
      <c r="C12" s="10">
        <f>SUMIFS(Orders!$L$2:$L$2881,Orders!$C$2:$C$2881,B12)</f>
        <v>27</v>
      </c>
      <c r="D12" s="10">
        <f>SUMIFS(Orders!$M$2:$M$2881,Orders!$C$2:$C$2881,B12)</f>
        <v>3375</v>
      </c>
      <c r="E12" s="10">
        <f>SUMIFS(Orders!$O$2:$O$2881,Orders!$C$2:$C$2881,B12)</f>
        <v>0</v>
      </c>
      <c r="F12" s="10">
        <f>SUMIFS(Orders!$P$2:$P$2881,Orders!$C$2:$C$2881,B12)</f>
        <v>0</v>
      </c>
      <c r="G12" s="4">
        <f t="shared" si="0"/>
        <v>0</v>
      </c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</row>
    <row r="13" spans="1:20">
      <c r="A13" s="1"/>
      <c r="B13" s="1" t="s">
        <v>97</v>
      </c>
      <c r="C13" s="10">
        <f>SUMIFS(Orders!$L$2:$L$2881,Orders!$C$2:$C$2881,B13)</f>
        <v>303</v>
      </c>
      <c r="D13" s="10">
        <f>SUMIFS(Orders!$M$2:$M$2881,Orders!$C$2:$C$2881,B13)</f>
        <v>37875</v>
      </c>
      <c r="E13" s="10">
        <f>SUMIFS(Orders!$O$2:$O$2881,Orders!$C$2:$C$2881,B13)</f>
        <v>0</v>
      </c>
      <c r="F13" s="10">
        <f>SUMIFS(Orders!$P$2:$P$2881,Orders!$C$2:$C$2881,B13)</f>
        <v>0</v>
      </c>
      <c r="G13" s="4">
        <f t="shared" si="0"/>
        <v>0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</row>
    <row r="14" spans="1:20">
      <c r="A14" s="1"/>
      <c r="B14" s="1" t="s">
        <v>98</v>
      </c>
      <c r="C14" s="10">
        <f>SUMIFS(Orders!$L$2:$L$2881,Orders!$C$2:$C$2881,B14)</f>
        <v>20</v>
      </c>
      <c r="D14" s="10">
        <f>SUMIFS(Orders!$M$2:$M$2881,Orders!$C$2:$C$2881,B14)</f>
        <v>2500</v>
      </c>
      <c r="E14" s="10">
        <f>SUMIFS(Orders!$O$2:$O$2881,Orders!$C$2:$C$2881,B14)</f>
        <v>0</v>
      </c>
      <c r="F14" s="10">
        <f>SUMIFS(Orders!$P$2:$P$2881,Orders!$C$2:$C$2881,B14)</f>
        <v>0</v>
      </c>
      <c r="G14" s="4">
        <f t="shared" si="0"/>
        <v>0</v>
      </c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</row>
    <row r="15" spans="1:20">
      <c r="A15" s="1"/>
      <c r="B15" s="1" t="s">
        <v>99</v>
      </c>
      <c r="C15" s="10">
        <f>SUMIFS(Orders!$L$2:$L$2881,Orders!$C$2:$C$2881,B15)</f>
        <v>38607</v>
      </c>
      <c r="D15" s="10">
        <f>SUMIFS(Orders!$M$2:$M$2881,Orders!$C$2:$C$2881,B15)</f>
        <v>4825875</v>
      </c>
      <c r="E15" s="10">
        <f>SUMIFS(Orders!$O$2:$O$2881,Orders!$C$2:$C$2881,B15)</f>
        <v>912.30588946760133</v>
      </c>
      <c r="F15" s="10">
        <f>SUMIFS(Orders!$P$2:$P$2881,Orders!$C$2:$C$2881,B15)</f>
        <v>114038.23618345012</v>
      </c>
      <c r="G15" s="4">
        <f t="shared" si="0"/>
        <v>2.3630582264035044E-2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</row>
    <row r="16" spans="1:20">
      <c r="A16" s="1"/>
      <c r="B16" s="1" t="s">
        <v>100</v>
      </c>
      <c r="C16" s="10">
        <f>SUMIFS(Orders!$L$2:$L$2881,Orders!$C$2:$C$2881,B16)</f>
        <v>1795</v>
      </c>
      <c r="D16" s="10">
        <f>SUMIFS(Orders!$M$2:$M$2881,Orders!$C$2:$C$2881,B16)</f>
        <v>224375</v>
      </c>
      <c r="E16" s="10">
        <f>SUMIFS(Orders!$O$2:$O$2881,Orders!$C$2:$C$2881,B16)</f>
        <v>20.409575177441582</v>
      </c>
      <c r="F16" s="10">
        <f>SUMIFS(Orders!$P$2:$P$2881,Orders!$C$2:$C$2881,B16)</f>
        <v>2551.1968971801975</v>
      </c>
      <c r="G16" s="4">
        <f t="shared" si="0"/>
        <v>1.1370236867655476E-2</v>
      </c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</row>
    <row r="17" spans="1:20">
      <c r="A17" s="1"/>
      <c r="B17" s="1" t="s">
        <v>101</v>
      </c>
      <c r="C17" s="10">
        <f>SUMIFS(Orders!$L$2:$L$2881,Orders!$C$2:$C$2881,B17)</f>
        <v>1739</v>
      </c>
      <c r="D17" s="10">
        <f>SUMIFS(Orders!$M$2:$M$2881,Orders!$C$2:$C$2881,B17)</f>
        <v>217375</v>
      </c>
      <c r="E17" s="10">
        <f>SUMIFS(Orders!$O$2:$O$2881,Orders!$C$2:$C$2881,B17)</f>
        <v>23.895463200320059</v>
      </c>
      <c r="F17" s="10">
        <f>SUMIFS(Orders!$P$2:$P$2881,Orders!$C$2:$C$2881,B17)</f>
        <v>2986.9329000400076</v>
      </c>
      <c r="G17" s="4">
        <f t="shared" si="0"/>
        <v>1.3740921909327235E-2</v>
      </c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</row>
    <row r="18" spans="1:20">
      <c r="A18" s="1"/>
      <c r="B18" s="1" t="s">
        <v>102</v>
      </c>
      <c r="C18" s="10">
        <f>SUMIFS(Orders!$L$2:$L$2881,Orders!$C$2:$C$2881,B18)</f>
        <v>11191</v>
      </c>
      <c r="D18" s="10">
        <f>SUMIFS(Orders!$M$2:$M$2881,Orders!$C$2:$C$2881,B18)</f>
        <v>1398875</v>
      </c>
      <c r="E18" s="10">
        <f>SUMIFS(Orders!$O$2:$O$2881,Orders!$C$2:$C$2881,B18)</f>
        <v>680.54560415339245</v>
      </c>
      <c r="F18" s="10">
        <f>SUMIFS(Orders!$P$2:$P$2881,Orders!$C$2:$C$2881,B18)</f>
        <v>85068.200519174075</v>
      </c>
      <c r="G18" s="4">
        <f t="shared" si="0"/>
        <v>6.081186704971786E-2</v>
      </c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</row>
    <row r="19" spans="1:20">
      <c r="A19" s="1"/>
      <c r="B19" s="1" t="s">
        <v>103</v>
      </c>
      <c r="C19" s="10">
        <f>SUMIFS(Orders!$L$2:$L$2881,Orders!$C$2:$C$2881,B19)</f>
        <v>457</v>
      </c>
      <c r="D19" s="10">
        <f>SUMIFS(Orders!$M$2:$M$2881,Orders!$C$2:$C$2881,B19)</f>
        <v>57125</v>
      </c>
      <c r="E19" s="10">
        <f>SUMIFS(Orders!$O$2:$O$2881,Orders!$C$2:$C$2881,B19)</f>
        <v>0</v>
      </c>
      <c r="F19" s="10">
        <f>SUMIFS(Orders!$P$2:$P$2881,Orders!$C$2:$C$2881,B19)</f>
        <v>0</v>
      </c>
      <c r="G19" s="4">
        <f t="shared" si="0"/>
        <v>0</v>
      </c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</row>
    <row r="20" spans="1:20">
      <c r="A20" s="1"/>
      <c r="B20" s="1" t="s">
        <v>104</v>
      </c>
      <c r="C20" s="10">
        <f>SUMIFS(Orders!$L$2:$L$2881,Orders!$C$2:$C$2881,B20)</f>
        <v>692</v>
      </c>
      <c r="D20" s="10">
        <f>SUMIFS(Orders!$M$2:$M$2881,Orders!$C$2:$C$2881,B20)</f>
        <v>86500</v>
      </c>
      <c r="E20" s="10">
        <f>SUMIFS(Orders!$O$2:$O$2881,Orders!$C$2:$C$2881,B20)</f>
        <v>0</v>
      </c>
      <c r="F20" s="10">
        <f>SUMIFS(Orders!$P$2:$P$2881,Orders!$C$2:$C$2881,B20)</f>
        <v>0</v>
      </c>
      <c r="G20" s="4">
        <f t="shared" si="0"/>
        <v>0</v>
      </c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</row>
    <row r="21" spans="1:20">
      <c r="A21" s="6"/>
      <c r="B21" s="6" t="s">
        <v>105</v>
      </c>
      <c r="C21" s="11">
        <f>SUMIFS(Orders!$L$2:$L$2881,Orders!$C$2:$C$2881,B21)</f>
        <v>186</v>
      </c>
      <c r="D21" s="11">
        <f>SUMIFS(Orders!$M$2:$M$2881,Orders!$C$2:$C$2881,B21)</f>
        <v>23250</v>
      </c>
      <c r="E21" s="11">
        <f>SUMIFS(Orders!$O$2:$O$2881,Orders!$C$2:$C$2881,B21)</f>
        <v>6.8692396313364048</v>
      </c>
      <c r="F21" s="11">
        <f>SUMIFS(Orders!$P$2:$P$2881,Orders!$C$2:$C$2881,B21)</f>
        <v>858.65495391705065</v>
      </c>
      <c r="G21" s="12">
        <f t="shared" si="0"/>
        <v>3.6931395867400026E-2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</row>
    <row r="22" spans="1:20">
      <c r="A22" s="6"/>
      <c r="B22" s="6" t="s">
        <v>106</v>
      </c>
      <c r="C22" s="11">
        <f>SUMIFS(Orders!$L$2:$L$2881,Orders!$C$2:$C$2881,B22)</f>
        <v>225</v>
      </c>
      <c r="D22" s="11">
        <f>SUMIFS(Orders!$M$2:$M$2881,Orders!$C$2:$C$2881,B22)</f>
        <v>28125</v>
      </c>
      <c r="E22" s="11">
        <f>SUMIFS(Orders!$O$2:$O$2881,Orders!$C$2:$C$2881,B22)</f>
        <v>17.173099078341014</v>
      </c>
      <c r="F22" s="11">
        <f>SUMIFS(Orders!$P$2:$P$2881,Orders!$C$2:$C$2881,B22)</f>
        <v>2146.6373847926266</v>
      </c>
      <c r="G22" s="12">
        <f t="shared" si="0"/>
        <v>7.6324884792626724E-2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</row>
  </sheetData>
  <conditionalFormatting sqref="F6:F22">
    <cfRule type="cellIs" dxfId="0" priority="1" operator="greater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T2881"/>
  <sheetViews>
    <sheetView workbookViewId="0">
      <pane ySplit="1" topLeftCell="A2" activePane="bottomLeft" state="frozen"/>
      <selection pane="bottomLeft"/>
    </sheetView>
  </sheetViews>
  <sheetFormatPr defaultRowHeight="13.8"/>
  <cols>
    <col min="1" max="1" width="14" customWidth="1"/>
    <col min="2" max="10" width="15" customWidth="1"/>
    <col min="11" max="11" width="22" customWidth="1"/>
    <col min="12" max="20" width="15" customWidth="1"/>
  </cols>
  <sheetData>
    <row r="1" spans="1:20" ht="30" customHeight="1">
      <c r="A1" s="17" t="s">
        <v>107</v>
      </c>
      <c r="B1" s="17" t="s">
        <v>57</v>
      </c>
      <c r="C1" s="17" t="s">
        <v>85</v>
      </c>
      <c r="D1" s="17" t="s">
        <v>108</v>
      </c>
      <c r="E1" s="17" t="s">
        <v>109</v>
      </c>
      <c r="F1" s="17" t="s">
        <v>110</v>
      </c>
      <c r="G1" s="17" t="s">
        <v>111</v>
      </c>
      <c r="H1" s="17" t="s">
        <v>112</v>
      </c>
      <c r="I1" s="17" t="s">
        <v>12</v>
      </c>
      <c r="J1" s="17" t="s">
        <v>113</v>
      </c>
      <c r="K1" s="17" t="s">
        <v>114</v>
      </c>
      <c r="L1" s="17" t="s">
        <v>115</v>
      </c>
      <c r="M1" s="17" t="s">
        <v>116</v>
      </c>
      <c r="N1" s="17" t="s">
        <v>65</v>
      </c>
      <c r="O1" s="17" t="s">
        <v>88</v>
      </c>
      <c r="P1" s="17" t="s">
        <v>117</v>
      </c>
      <c r="Q1" s="1"/>
      <c r="R1" s="1"/>
      <c r="S1" s="1"/>
      <c r="T1" s="1"/>
    </row>
    <row r="2" spans="1:20" ht="16.95" customHeight="1">
      <c r="A2" s="1" t="s">
        <v>118</v>
      </c>
      <c r="B2" s="1" t="s">
        <v>66</v>
      </c>
      <c r="C2" s="1" t="s">
        <v>90</v>
      </c>
      <c r="D2" s="1" t="s">
        <v>119</v>
      </c>
      <c r="E2" s="1" t="s">
        <v>120</v>
      </c>
      <c r="F2" s="3">
        <v>52</v>
      </c>
      <c r="G2" s="3">
        <v>6500</v>
      </c>
      <c r="H2" s="15">
        <v>45236</v>
      </c>
      <c r="I2" s="1">
        <v>45</v>
      </c>
      <c r="J2" s="1" t="s">
        <v>121</v>
      </c>
      <c r="K2" s="1" t="s">
        <v>122</v>
      </c>
      <c r="L2" s="10">
        <f>F2*Controls!$B$6</f>
        <v>52</v>
      </c>
      <c r="M2" s="10">
        <f>G2*Controls!$B$6</f>
        <v>6500</v>
      </c>
      <c r="N2" s="4">
        <f>IF(L2=0,0,SUMIFS('PSI Plan'!$N$6:$N$173,'PSI Plan'!$B$6:$B$173,B2,'PSI Plan'!$C$6:$C$173,I2))</f>
        <v>0</v>
      </c>
      <c r="O2" s="10">
        <f t="shared" ref="O2:O65" si="0">L2*N2</f>
        <v>0</v>
      </c>
      <c r="P2" s="10">
        <f t="shared" ref="P2:P65" si="1">M2*N2</f>
        <v>0</v>
      </c>
      <c r="Q2" s="1"/>
      <c r="R2" s="1"/>
      <c r="S2" s="1"/>
      <c r="T2" s="1"/>
    </row>
    <row r="3" spans="1:20" ht="16.95" customHeight="1">
      <c r="A3" s="1" t="s">
        <v>123</v>
      </c>
      <c r="B3" s="1" t="s">
        <v>77</v>
      </c>
      <c r="C3" s="1" t="s">
        <v>90</v>
      </c>
      <c r="D3" s="1" t="s">
        <v>119</v>
      </c>
      <c r="E3" s="1" t="s">
        <v>120</v>
      </c>
      <c r="F3" s="3">
        <v>52</v>
      </c>
      <c r="G3" s="3">
        <v>6500</v>
      </c>
      <c r="H3" s="15">
        <v>45274</v>
      </c>
      <c r="I3" s="1">
        <v>50</v>
      </c>
      <c r="J3" s="1" t="s">
        <v>121</v>
      </c>
      <c r="K3" s="1" t="s">
        <v>122</v>
      </c>
      <c r="L3" s="10">
        <f>F3*Controls!$B$6</f>
        <v>52</v>
      </c>
      <c r="M3" s="10">
        <f>G3*Controls!$B$6</f>
        <v>6500</v>
      </c>
      <c r="N3" s="4">
        <f>IF(L3=0,0,SUMIFS('PSI Plan'!$N$6:$N$173,'PSI Plan'!$B$6:$B$173,B3,'PSI Plan'!$C$6:$C$173,I3))</f>
        <v>0</v>
      </c>
      <c r="O3" s="10">
        <f t="shared" si="0"/>
        <v>0</v>
      </c>
      <c r="P3" s="10">
        <f t="shared" si="1"/>
        <v>0</v>
      </c>
      <c r="Q3" s="1"/>
      <c r="R3" s="1"/>
      <c r="S3" s="1"/>
      <c r="T3" s="1"/>
    </row>
    <row r="4" spans="1:20" ht="16.95" customHeight="1">
      <c r="A4" s="1" t="s">
        <v>124</v>
      </c>
      <c r="B4" s="1" t="s">
        <v>77</v>
      </c>
      <c r="C4" s="1" t="s">
        <v>90</v>
      </c>
      <c r="D4" s="1" t="s">
        <v>119</v>
      </c>
      <c r="E4" s="1" t="s">
        <v>120</v>
      </c>
      <c r="F4" s="3">
        <v>3</v>
      </c>
      <c r="G4" s="3">
        <v>375</v>
      </c>
      <c r="H4" s="15">
        <v>45272</v>
      </c>
      <c r="I4" s="1">
        <v>50</v>
      </c>
      <c r="J4" s="1" t="s">
        <v>121</v>
      </c>
      <c r="K4" s="1" t="s">
        <v>125</v>
      </c>
      <c r="L4" s="10">
        <f>F4*Controls!$B$6</f>
        <v>3</v>
      </c>
      <c r="M4" s="10">
        <f>G4*Controls!$B$6</f>
        <v>375</v>
      </c>
      <c r="N4" s="4">
        <f>IF(L4=0,0,SUMIFS('PSI Plan'!$N$6:$N$173,'PSI Plan'!$B$6:$B$173,B4,'PSI Plan'!$C$6:$C$173,I4))</f>
        <v>0</v>
      </c>
      <c r="O4" s="10">
        <f t="shared" si="0"/>
        <v>0</v>
      </c>
      <c r="P4" s="10">
        <f t="shared" si="1"/>
        <v>0</v>
      </c>
      <c r="Q4" s="1"/>
      <c r="R4" s="1"/>
      <c r="S4" s="1"/>
      <c r="T4" s="1"/>
    </row>
    <row r="5" spans="1:20" ht="16.95" customHeight="1">
      <c r="A5" s="1" t="s">
        <v>126</v>
      </c>
      <c r="B5" s="1" t="s">
        <v>69</v>
      </c>
      <c r="C5" s="1" t="s">
        <v>90</v>
      </c>
      <c r="D5" s="1" t="s">
        <v>119</v>
      </c>
      <c r="E5" s="1" t="s">
        <v>120</v>
      </c>
      <c r="F5" s="3">
        <v>3</v>
      </c>
      <c r="G5" s="3">
        <v>375</v>
      </c>
      <c r="H5" s="15">
        <v>45206</v>
      </c>
      <c r="I5" s="1">
        <v>40</v>
      </c>
      <c r="J5" s="1" t="s">
        <v>121</v>
      </c>
      <c r="K5" s="1" t="s">
        <v>125</v>
      </c>
      <c r="L5" s="10">
        <f>F5*Controls!$B$6</f>
        <v>3</v>
      </c>
      <c r="M5" s="10">
        <f>G5*Controls!$B$6</f>
        <v>375</v>
      </c>
      <c r="N5" s="4">
        <f>IF(L5=0,0,SUMIFS('PSI Plan'!$N$6:$N$173,'PSI Plan'!$B$6:$B$173,B5,'PSI Plan'!$C$6:$C$173,I5))</f>
        <v>0</v>
      </c>
      <c r="O5" s="10">
        <f t="shared" si="0"/>
        <v>0</v>
      </c>
      <c r="P5" s="10">
        <f t="shared" si="1"/>
        <v>0</v>
      </c>
      <c r="Q5" s="1"/>
      <c r="R5" s="1"/>
      <c r="S5" s="1"/>
      <c r="T5" s="1"/>
    </row>
    <row r="6" spans="1:20" ht="16.95" customHeight="1">
      <c r="A6" s="1" t="s">
        <v>127</v>
      </c>
      <c r="B6" s="1" t="s">
        <v>71</v>
      </c>
      <c r="C6" s="1" t="s">
        <v>90</v>
      </c>
      <c r="D6" s="1" t="s">
        <v>119</v>
      </c>
      <c r="E6" s="1" t="s">
        <v>120</v>
      </c>
      <c r="F6" s="3">
        <v>90</v>
      </c>
      <c r="G6" s="3">
        <v>11250</v>
      </c>
      <c r="H6" s="15">
        <v>45213</v>
      </c>
      <c r="I6" s="1">
        <v>41</v>
      </c>
      <c r="J6" s="1" t="s">
        <v>121</v>
      </c>
      <c r="K6" s="1" t="s">
        <v>125</v>
      </c>
      <c r="L6" s="10">
        <f>F6*Controls!$B$6</f>
        <v>90</v>
      </c>
      <c r="M6" s="10">
        <f>G6*Controls!$B$6</f>
        <v>11250</v>
      </c>
      <c r="N6" s="4">
        <f>IF(L6=0,0,SUMIFS('PSI Plan'!$N$6:$N$173,'PSI Plan'!$B$6:$B$173,B6,'PSI Plan'!$C$6:$C$173,I6))</f>
        <v>0</v>
      </c>
      <c r="O6" s="10">
        <f t="shared" si="0"/>
        <v>0</v>
      </c>
      <c r="P6" s="10">
        <f t="shared" si="1"/>
        <v>0</v>
      </c>
      <c r="Q6" s="1"/>
      <c r="R6" s="1"/>
      <c r="S6" s="1"/>
      <c r="T6" s="1"/>
    </row>
    <row r="7" spans="1:20" ht="16.95" customHeight="1">
      <c r="A7" s="1" t="s">
        <v>128</v>
      </c>
      <c r="B7" s="1" t="s">
        <v>77</v>
      </c>
      <c r="C7" s="1" t="s">
        <v>90</v>
      </c>
      <c r="D7" s="1" t="s">
        <v>119</v>
      </c>
      <c r="E7" s="1" t="s">
        <v>120</v>
      </c>
      <c r="F7" s="3">
        <v>4</v>
      </c>
      <c r="G7" s="3">
        <v>500</v>
      </c>
      <c r="H7" s="15">
        <v>45208</v>
      </c>
      <c r="I7" s="1">
        <v>41</v>
      </c>
      <c r="J7" s="1" t="s">
        <v>121</v>
      </c>
      <c r="K7" s="1" t="s">
        <v>125</v>
      </c>
      <c r="L7" s="10">
        <f>F7*Controls!$B$6</f>
        <v>4</v>
      </c>
      <c r="M7" s="10">
        <f>G7*Controls!$B$6</f>
        <v>500</v>
      </c>
      <c r="N7" s="4">
        <f>IF(L7=0,0,SUMIFS('PSI Plan'!$N$6:$N$173,'PSI Plan'!$B$6:$B$173,B7,'PSI Plan'!$C$6:$C$173,I7))</f>
        <v>0</v>
      </c>
      <c r="O7" s="10">
        <f t="shared" si="0"/>
        <v>0</v>
      </c>
      <c r="P7" s="10">
        <f t="shared" si="1"/>
        <v>0</v>
      </c>
      <c r="Q7" s="1"/>
      <c r="R7" s="1"/>
      <c r="S7" s="1"/>
      <c r="T7" s="1"/>
    </row>
    <row r="8" spans="1:20" ht="16.95" customHeight="1">
      <c r="A8" s="1" t="s">
        <v>129</v>
      </c>
      <c r="B8" s="1" t="s">
        <v>69</v>
      </c>
      <c r="C8" s="1" t="s">
        <v>90</v>
      </c>
      <c r="D8" s="1" t="s">
        <v>119</v>
      </c>
      <c r="E8" s="1" t="s">
        <v>120</v>
      </c>
      <c r="F8" s="3">
        <v>52</v>
      </c>
      <c r="G8" s="3">
        <v>6500</v>
      </c>
      <c r="H8" s="15">
        <v>45218</v>
      </c>
      <c r="I8" s="1">
        <v>42</v>
      </c>
      <c r="J8" s="1" t="s">
        <v>121</v>
      </c>
      <c r="K8" s="1" t="s">
        <v>122</v>
      </c>
      <c r="L8" s="10">
        <f>F8*Controls!$B$6</f>
        <v>52</v>
      </c>
      <c r="M8" s="10">
        <f>G8*Controls!$B$6</f>
        <v>6500</v>
      </c>
      <c r="N8" s="4">
        <f>IF(L8=0,0,SUMIFS('PSI Plan'!$N$6:$N$173,'PSI Plan'!$B$6:$B$173,B8,'PSI Plan'!$C$6:$C$173,I8))</f>
        <v>0</v>
      </c>
      <c r="O8" s="10">
        <f t="shared" si="0"/>
        <v>0</v>
      </c>
      <c r="P8" s="10">
        <f t="shared" si="1"/>
        <v>0</v>
      </c>
      <c r="Q8" s="1"/>
      <c r="R8" s="1"/>
      <c r="S8" s="1"/>
      <c r="T8" s="1"/>
    </row>
    <row r="9" spans="1:20" ht="16.95" customHeight="1">
      <c r="A9" s="1" t="s">
        <v>130</v>
      </c>
      <c r="B9" s="1" t="s">
        <v>66</v>
      </c>
      <c r="C9" s="1" t="s">
        <v>90</v>
      </c>
      <c r="D9" s="1" t="s">
        <v>119</v>
      </c>
      <c r="E9" s="1" t="s">
        <v>120</v>
      </c>
      <c r="F9" s="3">
        <v>52</v>
      </c>
      <c r="G9" s="3">
        <v>6500</v>
      </c>
      <c r="H9" s="15">
        <v>45280</v>
      </c>
      <c r="I9" s="1">
        <v>51</v>
      </c>
      <c r="J9" s="1" t="s">
        <v>121</v>
      </c>
      <c r="K9" s="1" t="s">
        <v>122</v>
      </c>
      <c r="L9" s="10">
        <f>F9*Controls!$B$6</f>
        <v>52</v>
      </c>
      <c r="M9" s="10">
        <f>G9*Controls!$B$6</f>
        <v>6500</v>
      </c>
      <c r="N9" s="4">
        <f>IF(L9=0,0,SUMIFS('PSI Plan'!$N$6:$N$173,'PSI Plan'!$B$6:$B$173,B9,'PSI Plan'!$C$6:$C$173,I9))</f>
        <v>0</v>
      </c>
      <c r="O9" s="10">
        <f t="shared" si="0"/>
        <v>0</v>
      </c>
      <c r="P9" s="10">
        <f t="shared" si="1"/>
        <v>0</v>
      </c>
      <c r="Q9" s="1"/>
      <c r="R9" s="1"/>
      <c r="S9" s="1"/>
      <c r="T9" s="1"/>
    </row>
    <row r="10" spans="1:20" ht="16.95" customHeight="1">
      <c r="A10" s="1" t="s">
        <v>131</v>
      </c>
      <c r="B10" s="1" t="s">
        <v>77</v>
      </c>
      <c r="C10" s="1" t="s">
        <v>90</v>
      </c>
      <c r="D10" s="1" t="s">
        <v>119</v>
      </c>
      <c r="E10" s="1" t="s">
        <v>120</v>
      </c>
      <c r="F10" s="3">
        <v>15</v>
      </c>
      <c r="G10" s="3">
        <v>1875</v>
      </c>
      <c r="H10" s="15">
        <v>45201</v>
      </c>
      <c r="I10" s="1">
        <v>40</v>
      </c>
      <c r="J10" s="1" t="s">
        <v>121</v>
      </c>
      <c r="K10" s="1" t="s">
        <v>132</v>
      </c>
      <c r="L10" s="10">
        <f>F10*Controls!$B$6</f>
        <v>15</v>
      </c>
      <c r="M10" s="10">
        <f>G10*Controls!$B$6</f>
        <v>1875</v>
      </c>
      <c r="N10" s="4">
        <f>IF(L10=0,0,SUMIFS('PSI Plan'!$N$6:$N$173,'PSI Plan'!$B$6:$B$173,B10,'PSI Plan'!$C$6:$C$173,I10))</f>
        <v>0</v>
      </c>
      <c r="O10" s="10">
        <f t="shared" si="0"/>
        <v>0</v>
      </c>
      <c r="P10" s="10">
        <f t="shared" si="1"/>
        <v>0</v>
      </c>
      <c r="Q10" s="1"/>
      <c r="R10" s="1"/>
      <c r="S10" s="1"/>
      <c r="T10" s="1"/>
    </row>
    <row r="11" spans="1:20" ht="16.95" customHeight="1">
      <c r="A11" s="1" t="s">
        <v>133</v>
      </c>
      <c r="B11" s="1" t="s">
        <v>69</v>
      </c>
      <c r="C11" s="1" t="s">
        <v>90</v>
      </c>
      <c r="D11" s="1" t="s">
        <v>119</v>
      </c>
      <c r="E11" s="1" t="s">
        <v>120</v>
      </c>
      <c r="F11" s="3">
        <v>12</v>
      </c>
      <c r="G11" s="3">
        <v>1500</v>
      </c>
      <c r="H11" s="15">
        <v>45235</v>
      </c>
      <c r="I11" s="1">
        <v>45</v>
      </c>
      <c r="J11" s="1" t="s">
        <v>121</v>
      </c>
      <c r="K11" s="1" t="s">
        <v>132</v>
      </c>
      <c r="L11" s="10">
        <f>F11*Controls!$B$6</f>
        <v>12</v>
      </c>
      <c r="M11" s="10">
        <f>G11*Controls!$B$6</f>
        <v>1500</v>
      </c>
      <c r="N11" s="4">
        <f>IF(L11=0,0,SUMIFS('PSI Plan'!$N$6:$N$173,'PSI Plan'!$B$6:$B$173,B11,'PSI Plan'!$C$6:$C$173,I11))</f>
        <v>0</v>
      </c>
      <c r="O11" s="10">
        <f t="shared" si="0"/>
        <v>0</v>
      </c>
      <c r="P11" s="10">
        <f t="shared" si="1"/>
        <v>0</v>
      </c>
      <c r="Q11" s="1"/>
      <c r="R11" s="1"/>
      <c r="S11" s="1"/>
      <c r="T11" s="1"/>
    </row>
    <row r="12" spans="1:20" ht="16.95" customHeight="1">
      <c r="A12" s="1" t="s">
        <v>134</v>
      </c>
      <c r="B12" s="1" t="s">
        <v>77</v>
      </c>
      <c r="C12" s="1" t="s">
        <v>90</v>
      </c>
      <c r="D12" s="1" t="s">
        <v>119</v>
      </c>
      <c r="E12" s="1" t="s">
        <v>120</v>
      </c>
      <c r="F12" s="3">
        <v>9</v>
      </c>
      <c r="G12" s="3">
        <v>1125</v>
      </c>
      <c r="H12" s="15">
        <v>45267</v>
      </c>
      <c r="I12" s="1">
        <v>49</v>
      </c>
      <c r="J12" s="1" t="s">
        <v>121</v>
      </c>
      <c r="K12" s="1" t="s">
        <v>135</v>
      </c>
      <c r="L12" s="10">
        <f>F12*Controls!$B$6</f>
        <v>9</v>
      </c>
      <c r="M12" s="10">
        <f>G12*Controls!$B$6</f>
        <v>1125</v>
      </c>
      <c r="N12" s="4">
        <f>IF(L12=0,0,SUMIFS('PSI Plan'!$N$6:$N$173,'PSI Plan'!$B$6:$B$173,B12,'PSI Plan'!$C$6:$C$173,I12))</f>
        <v>0</v>
      </c>
      <c r="O12" s="10">
        <f t="shared" si="0"/>
        <v>0</v>
      </c>
      <c r="P12" s="10">
        <f t="shared" si="1"/>
        <v>0</v>
      </c>
      <c r="Q12" s="1"/>
      <c r="R12" s="1"/>
      <c r="S12" s="1"/>
      <c r="T12" s="1"/>
    </row>
    <row r="13" spans="1:20" ht="16.95" customHeight="1">
      <c r="A13" s="1" t="s">
        <v>136</v>
      </c>
      <c r="B13" s="1" t="s">
        <v>69</v>
      </c>
      <c r="C13" s="1" t="s">
        <v>90</v>
      </c>
      <c r="D13" s="1" t="s">
        <v>119</v>
      </c>
      <c r="E13" s="1" t="s">
        <v>120</v>
      </c>
      <c r="F13" s="3">
        <v>23</v>
      </c>
      <c r="G13" s="3">
        <v>2875</v>
      </c>
      <c r="H13" s="15">
        <v>45207</v>
      </c>
      <c r="I13" s="1">
        <v>41</v>
      </c>
      <c r="J13" s="1" t="s">
        <v>121</v>
      </c>
      <c r="K13" s="1" t="s">
        <v>135</v>
      </c>
      <c r="L13" s="10">
        <f>F13*Controls!$B$6</f>
        <v>23</v>
      </c>
      <c r="M13" s="10">
        <f>G13*Controls!$B$6</f>
        <v>2875</v>
      </c>
      <c r="N13" s="4">
        <f>IF(L13=0,0,SUMIFS('PSI Plan'!$N$6:$N$173,'PSI Plan'!$B$6:$B$173,B13,'PSI Plan'!$C$6:$C$173,I13))</f>
        <v>0</v>
      </c>
      <c r="O13" s="10">
        <f t="shared" si="0"/>
        <v>0</v>
      </c>
      <c r="P13" s="10">
        <f t="shared" si="1"/>
        <v>0</v>
      </c>
      <c r="Q13" s="1"/>
      <c r="R13" s="1"/>
      <c r="S13" s="1"/>
      <c r="T13" s="1"/>
    </row>
    <row r="14" spans="1:20" ht="16.95" customHeight="1">
      <c r="A14" s="1" t="s">
        <v>137</v>
      </c>
      <c r="B14" s="1" t="s">
        <v>66</v>
      </c>
      <c r="C14" s="1" t="s">
        <v>90</v>
      </c>
      <c r="D14" s="1" t="s">
        <v>119</v>
      </c>
      <c r="E14" s="1" t="s">
        <v>120</v>
      </c>
      <c r="F14" s="3">
        <v>3</v>
      </c>
      <c r="G14" s="3">
        <v>375</v>
      </c>
      <c r="H14" s="15">
        <v>45217</v>
      </c>
      <c r="I14" s="1">
        <v>42</v>
      </c>
      <c r="J14" s="1" t="s">
        <v>121</v>
      </c>
      <c r="K14" s="1" t="s">
        <v>135</v>
      </c>
      <c r="L14" s="10">
        <f>F14*Controls!$B$6</f>
        <v>3</v>
      </c>
      <c r="M14" s="10">
        <f>G14*Controls!$B$6</f>
        <v>375</v>
      </c>
      <c r="N14" s="4">
        <f>IF(L14=0,0,SUMIFS('PSI Plan'!$N$6:$N$173,'PSI Plan'!$B$6:$B$173,B14,'PSI Plan'!$C$6:$C$173,I14))</f>
        <v>0.59807073954983925</v>
      </c>
      <c r="O14" s="10">
        <f t="shared" si="0"/>
        <v>1.7942122186495177</v>
      </c>
      <c r="P14" s="10">
        <f t="shared" si="1"/>
        <v>224.27652733118973</v>
      </c>
      <c r="Q14" s="1"/>
      <c r="R14" s="1"/>
      <c r="S14" s="1"/>
      <c r="T14" s="1"/>
    </row>
    <row r="15" spans="1:20" ht="16.95" customHeight="1">
      <c r="A15" s="1" t="s">
        <v>138</v>
      </c>
      <c r="B15" s="1" t="s">
        <v>69</v>
      </c>
      <c r="C15" s="1" t="s">
        <v>90</v>
      </c>
      <c r="D15" s="1" t="s">
        <v>119</v>
      </c>
      <c r="E15" s="1" t="s">
        <v>120</v>
      </c>
      <c r="F15" s="3">
        <v>11</v>
      </c>
      <c r="G15" s="3">
        <v>1375</v>
      </c>
      <c r="H15" s="15">
        <v>45242</v>
      </c>
      <c r="I15" s="1">
        <v>46</v>
      </c>
      <c r="J15" s="1" t="s">
        <v>121</v>
      </c>
      <c r="K15" s="1" t="s">
        <v>139</v>
      </c>
      <c r="L15" s="10">
        <f>F15*Controls!$B$6</f>
        <v>11</v>
      </c>
      <c r="M15" s="10">
        <f>G15*Controls!$B$6</f>
        <v>1375</v>
      </c>
      <c r="N15" s="4">
        <f>IF(L15=0,0,SUMIFS('PSI Plan'!$N$6:$N$173,'PSI Plan'!$B$6:$B$173,B15,'PSI Plan'!$C$6:$C$173,I15))</f>
        <v>0</v>
      </c>
      <c r="O15" s="10">
        <f t="shared" si="0"/>
        <v>0</v>
      </c>
      <c r="P15" s="10">
        <f t="shared" si="1"/>
        <v>0</v>
      </c>
      <c r="Q15" s="1"/>
      <c r="R15" s="1"/>
      <c r="S15" s="1"/>
      <c r="T15" s="1"/>
    </row>
    <row r="16" spans="1:20" ht="16.95" customHeight="1">
      <c r="A16" s="1" t="s">
        <v>140</v>
      </c>
      <c r="B16" s="1" t="s">
        <v>69</v>
      </c>
      <c r="C16" s="1" t="s">
        <v>90</v>
      </c>
      <c r="D16" s="1" t="s">
        <v>119</v>
      </c>
      <c r="E16" s="1" t="s">
        <v>120</v>
      </c>
      <c r="F16" s="3">
        <v>52</v>
      </c>
      <c r="G16" s="3">
        <v>6500</v>
      </c>
      <c r="H16" s="15">
        <v>45222</v>
      </c>
      <c r="I16" s="1">
        <v>43</v>
      </c>
      <c r="J16" s="1" t="s">
        <v>121</v>
      </c>
      <c r="K16" s="1" t="s">
        <v>122</v>
      </c>
      <c r="L16" s="10">
        <f>F16*Controls!$B$6</f>
        <v>52</v>
      </c>
      <c r="M16" s="10">
        <f>G16*Controls!$B$6</f>
        <v>6500</v>
      </c>
      <c r="N16" s="4">
        <f>IF(L16=0,0,SUMIFS('PSI Plan'!$N$6:$N$173,'PSI Plan'!$B$6:$B$173,B16,'PSI Plan'!$C$6:$C$173,I16))</f>
        <v>0</v>
      </c>
      <c r="O16" s="10">
        <f t="shared" si="0"/>
        <v>0</v>
      </c>
      <c r="P16" s="10">
        <f t="shared" si="1"/>
        <v>0</v>
      </c>
      <c r="Q16" s="1"/>
      <c r="R16" s="1"/>
      <c r="S16" s="1"/>
      <c r="T16" s="1"/>
    </row>
    <row r="17" spans="1:20" ht="16.95" customHeight="1">
      <c r="A17" s="1" t="s">
        <v>141</v>
      </c>
      <c r="B17" s="1" t="s">
        <v>77</v>
      </c>
      <c r="C17" s="1" t="s">
        <v>90</v>
      </c>
      <c r="D17" s="1" t="s">
        <v>119</v>
      </c>
      <c r="E17" s="1" t="s">
        <v>120</v>
      </c>
      <c r="F17" s="3">
        <v>3</v>
      </c>
      <c r="G17" s="3">
        <v>375</v>
      </c>
      <c r="H17" s="15">
        <v>45281</v>
      </c>
      <c r="I17" s="1">
        <v>51</v>
      </c>
      <c r="J17" s="1" t="s">
        <v>121</v>
      </c>
      <c r="K17" s="1" t="s">
        <v>125</v>
      </c>
      <c r="L17" s="10">
        <f>F17*Controls!$B$6</f>
        <v>3</v>
      </c>
      <c r="M17" s="10">
        <f>G17*Controls!$B$6</f>
        <v>375</v>
      </c>
      <c r="N17" s="4">
        <f>IF(L17=0,0,SUMIFS('PSI Plan'!$N$6:$N$173,'PSI Plan'!$B$6:$B$173,B17,'PSI Plan'!$C$6:$C$173,I17))</f>
        <v>0</v>
      </c>
      <c r="O17" s="10">
        <f t="shared" si="0"/>
        <v>0</v>
      </c>
      <c r="P17" s="10">
        <f t="shared" si="1"/>
        <v>0</v>
      </c>
      <c r="Q17" s="1"/>
      <c r="R17" s="1"/>
      <c r="S17" s="1"/>
      <c r="T17" s="1"/>
    </row>
    <row r="18" spans="1:20" ht="16.95" customHeight="1">
      <c r="A18" s="1" t="s">
        <v>142</v>
      </c>
      <c r="B18" s="1" t="s">
        <v>69</v>
      </c>
      <c r="C18" s="1" t="s">
        <v>90</v>
      </c>
      <c r="D18" s="1" t="s">
        <v>119</v>
      </c>
      <c r="E18" s="1" t="s">
        <v>120</v>
      </c>
      <c r="F18" s="3">
        <v>1</v>
      </c>
      <c r="G18" s="3">
        <v>125</v>
      </c>
      <c r="H18" s="15">
        <v>45281</v>
      </c>
      <c r="I18" s="1">
        <v>51</v>
      </c>
      <c r="J18" s="1" t="s">
        <v>121</v>
      </c>
      <c r="K18" s="1" t="s">
        <v>125</v>
      </c>
      <c r="L18" s="10">
        <f>F18*Controls!$B$6</f>
        <v>1</v>
      </c>
      <c r="M18" s="10">
        <f>G18*Controls!$B$6</f>
        <v>125</v>
      </c>
      <c r="N18" s="4">
        <f>IF(L18=0,0,SUMIFS('PSI Plan'!$N$6:$N$173,'PSI Plan'!$B$6:$B$173,B18,'PSI Plan'!$C$6:$C$173,I18))</f>
        <v>0</v>
      </c>
      <c r="O18" s="10">
        <f t="shared" si="0"/>
        <v>0</v>
      </c>
      <c r="P18" s="10">
        <f t="shared" si="1"/>
        <v>0</v>
      </c>
      <c r="Q18" s="1"/>
      <c r="R18" s="1"/>
      <c r="S18" s="1"/>
      <c r="T18" s="1"/>
    </row>
    <row r="19" spans="1:20" ht="16.95" customHeight="1">
      <c r="A19" s="1" t="s">
        <v>143</v>
      </c>
      <c r="B19" s="1" t="s">
        <v>71</v>
      </c>
      <c r="C19" s="1" t="s">
        <v>90</v>
      </c>
      <c r="D19" s="1" t="s">
        <v>119</v>
      </c>
      <c r="E19" s="1" t="s">
        <v>120</v>
      </c>
      <c r="F19" s="3">
        <v>80</v>
      </c>
      <c r="G19" s="3">
        <v>10000</v>
      </c>
      <c r="H19" s="15">
        <v>45236</v>
      </c>
      <c r="I19" s="1">
        <v>45</v>
      </c>
      <c r="J19" s="1" t="s">
        <v>121</v>
      </c>
      <c r="K19" s="1" t="s">
        <v>125</v>
      </c>
      <c r="L19" s="10">
        <f>F19*Controls!$B$6</f>
        <v>80</v>
      </c>
      <c r="M19" s="10">
        <f>G19*Controls!$B$6</f>
        <v>10000</v>
      </c>
      <c r="N19" s="4">
        <f>IF(L19=0,0,SUMIFS('PSI Plan'!$N$6:$N$173,'PSI Plan'!$B$6:$B$173,B19,'PSI Plan'!$C$6:$C$173,I19))</f>
        <v>0</v>
      </c>
      <c r="O19" s="10">
        <f t="shared" si="0"/>
        <v>0</v>
      </c>
      <c r="P19" s="10">
        <f t="shared" si="1"/>
        <v>0</v>
      </c>
      <c r="Q19" s="1"/>
      <c r="R19" s="1"/>
      <c r="S19" s="1"/>
      <c r="T19" s="1"/>
    </row>
    <row r="20" spans="1:20" ht="16.95" customHeight="1">
      <c r="A20" s="1" t="s">
        <v>144</v>
      </c>
      <c r="B20" s="1" t="s">
        <v>66</v>
      </c>
      <c r="C20" s="1" t="s">
        <v>90</v>
      </c>
      <c r="D20" s="1" t="s">
        <v>119</v>
      </c>
      <c r="E20" s="1" t="s">
        <v>120</v>
      </c>
      <c r="F20" s="3">
        <v>52</v>
      </c>
      <c r="G20" s="3">
        <v>6500</v>
      </c>
      <c r="H20" s="15">
        <v>45211</v>
      </c>
      <c r="I20" s="1">
        <v>41</v>
      </c>
      <c r="J20" s="1" t="s">
        <v>121</v>
      </c>
      <c r="K20" s="1" t="s">
        <v>135</v>
      </c>
      <c r="L20" s="10">
        <f>F20*Controls!$B$6</f>
        <v>52</v>
      </c>
      <c r="M20" s="10">
        <f>G20*Controls!$B$6</f>
        <v>6500</v>
      </c>
      <c r="N20" s="4">
        <f>IF(L20=0,0,SUMIFS('PSI Plan'!$N$6:$N$173,'PSI Plan'!$B$6:$B$173,B20,'PSI Plan'!$C$6:$C$173,I20))</f>
        <v>0.22897465437788017</v>
      </c>
      <c r="O20" s="10">
        <f t="shared" si="0"/>
        <v>11.906682027649769</v>
      </c>
      <c r="P20" s="10">
        <f t="shared" si="1"/>
        <v>1488.3352534562212</v>
      </c>
      <c r="Q20" s="1"/>
      <c r="R20" s="1"/>
      <c r="S20" s="1"/>
      <c r="T20" s="1"/>
    </row>
    <row r="21" spans="1:20">
      <c r="A21" s="6" t="s">
        <v>145</v>
      </c>
      <c r="B21" s="6" t="s">
        <v>69</v>
      </c>
      <c r="C21" s="6" t="s">
        <v>90</v>
      </c>
      <c r="D21" s="6" t="s">
        <v>119</v>
      </c>
      <c r="E21" s="6" t="s">
        <v>120</v>
      </c>
      <c r="F21" s="7">
        <v>13</v>
      </c>
      <c r="G21" s="7">
        <v>1625</v>
      </c>
      <c r="H21" s="16">
        <v>45266</v>
      </c>
      <c r="I21" s="6">
        <v>49</v>
      </c>
      <c r="J21" s="6" t="s">
        <v>121</v>
      </c>
      <c r="K21" s="6" t="s">
        <v>135</v>
      </c>
      <c r="L21" s="11">
        <f>F21*Controls!$B$6</f>
        <v>13</v>
      </c>
      <c r="M21" s="11">
        <f>G21*Controls!$B$6</f>
        <v>1625</v>
      </c>
      <c r="N21" s="12">
        <f>IF(L21=0,0,SUMIFS('PSI Plan'!$N$6:$N$173,'PSI Plan'!$B$6:$B$173,B21,'PSI Plan'!$C$6:$C$173,I21))</f>
        <v>0</v>
      </c>
      <c r="O21" s="11">
        <f t="shared" si="0"/>
        <v>0</v>
      </c>
      <c r="P21" s="11">
        <f t="shared" si="1"/>
        <v>0</v>
      </c>
      <c r="Q21" s="6"/>
      <c r="R21" s="6"/>
      <c r="S21" s="6"/>
      <c r="T21" s="6"/>
    </row>
    <row r="22" spans="1:20">
      <c r="A22" s="6" t="s">
        <v>146</v>
      </c>
      <c r="B22" s="6" t="s">
        <v>77</v>
      </c>
      <c r="C22" s="6" t="s">
        <v>90</v>
      </c>
      <c r="D22" s="6" t="s">
        <v>119</v>
      </c>
      <c r="E22" s="6" t="s">
        <v>120</v>
      </c>
      <c r="F22" s="7">
        <v>12</v>
      </c>
      <c r="G22" s="7">
        <v>1500</v>
      </c>
      <c r="H22" s="16">
        <v>45264</v>
      </c>
      <c r="I22" s="6">
        <v>49</v>
      </c>
      <c r="J22" s="6" t="s">
        <v>121</v>
      </c>
      <c r="K22" s="6" t="s">
        <v>135</v>
      </c>
      <c r="L22" s="11">
        <f>F22*Controls!$B$6</f>
        <v>12</v>
      </c>
      <c r="M22" s="11">
        <f>G22*Controls!$B$6</f>
        <v>1500</v>
      </c>
      <c r="N22" s="12">
        <f>IF(L22=0,0,SUMIFS('PSI Plan'!$N$6:$N$173,'PSI Plan'!$B$6:$B$173,B22,'PSI Plan'!$C$6:$C$173,I22))</f>
        <v>0</v>
      </c>
      <c r="O22" s="11">
        <f t="shared" si="0"/>
        <v>0</v>
      </c>
      <c r="P22" s="11">
        <f t="shared" si="1"/>
        <v>0</v>
      </c>
      <c r="Q22" s="6"/>
      <c r="R22" s="6"/>
      <c r="S22" s="6"/>
      <c r="T22" s="6"/>
    </row>
    <row r="23" spans="1:20">
      <c r="A23" s="6" t="s">
        <v>147</v>
      </c>
      <c r="B23" s="6" t="s">
        <v>77</v>
      </c>
      <c r="C23" s="6" t="s">
        <v>90</v>
      </c>
      <c r="D23" s="6" t="s">
        <v>119</v>
      </c>
      <c r="E23" s="6" t="s">
        <v>120</v>
      </c>
      <c r="F23" s="7">
        <v>4</v>
      </c>
      <c r="G23" s="7">
        <v>500</v>
      </c>
      <c r="H23" s="16">
        <v>45213</v>
      </c>
      <c r="I23" s="6">
        <v>41</v>
      </c>
      <c r="J23" s="6" t="s">
        <v>121</v>
      </c>
      <c r="K23" s="6" t="s">
        <v>132</v>
      </c>
      <c r="L23" s="11">
        <f>F23*Controls!$B$6</f>
        <v>4</v>
      </c>
      <c r="M23" s="11">
        <f>G23*Controls!$B$6</f>
        <v>500</v>
      </c>
      <c r="N23" s="12">
        <f>IF(L23=0,0,SUMIFS('PSI Plan'!$N$6:$N$173,'PSI Plan'!$B$6:$B$173,B23,'PSI Plan'!$C$6:$C$173,I23))</f>
        <v>0</v>
      </c>
      <c r="O23" s="11">
        <f t="shared" si="0"/>
        <v>0</v>
      </c>
      <c r="P23" s="11">
        <f t="shared" si="1"/>
        <v>0</v>
      </c>
      <c r="Q23" s="6"/>
      <c r="R23" s="6"/>
      <c r="S23" s="6"/>
      <c r="T23" s="6"/>
    </row>
    <row r="24" spans="1:20">
      <c r="A24" s="6" t="s">
        <v>148</v>
      </c>
      <c r="B24" s="6" t="s">
        <v>69</v>
      </c>
      <c r="C24" s="6" t="s">
        <v>90</v>
      </c>
      <c r="D24" s="6" t="s">
        <v>119</v>
      </c>
      <c r="E24" s="6" t="s">
        <v>120</v>
      </c>
      <c r="F24" s="7">
        <v>12</v>
      </c>
      <c r="G24" s="7">
        <v>1500</v>
      </c>
      <c r="H24" s="16">
        <v>45249</v>
      </c>
      <c r="I24" s="6">
        <v>47</v>
      </c>
      <c r="J24" s="6" t="s">
        <v>121</v>
      </c>
      <c r="K24" s="6" t="s">
        <v>132</v>
      </c>
      <c r="L24" s="11">
        <f>F24*Controls!$B$6</f>
        <v>12</v>
      </c>
      <c r="M24" s="11">
        <f>G24*Controls!$B$6</f>
        <v>1500</v>
      </c>
      <c r="N24" s="12">
        <f>IF(L24=0,0,SUMIFS('PSI Plan'!$N$6:$N$173,'PSI Plan'!$B$6:$B$173,B24,'PSI Plan'!$C$6:$C$173,I24))</f>
        <v>0</v>
      </c>
      <c r="O24" s="11">
        <f t="shared" si="0"/>
        <v>0</v>
      </c>
      <c r="P24" s="11">
        <f t="shared" si="1"/>
        <v>0</v>
      </c>
      <c r="Q24" s="6"/>
      <c r="R24" s="6"/>
      <c r="S24" s="6"/>
      <c r="T24" s="6"/>
    </row>
    <row r="25" spans="1:20">
      <c r="A25" s="6" t="s">
        <v>149</v>
      </c>
      <c r="B25" s="6" t="s">
        <v>71</v>
      </c>
      <c r="C25" s="6" t="s">
        <v>90</v>
      </c>
      <c r="D25" s="6" t="s">
        <v>119</v>
      </c>
      <c r="E25" s="6" t="s">
        <v>120</v>
      </c>
      <c r="F25" s="7">
        <v>30</v>
      </c>
      <c r="G25" s="7">
        <v>3750</v>
      </c>
      <c r="H25" s="16">
        <v>45222</v>
      </c>
      <c r="I25" s="6">
        <v>43</v>
      </c>
      <c r="J25" s="6" t="s">
        <v>121</v>
      </c>
      <c r="K25" s="6" t="s">
        <v>150</v>
      </c>
      <c r="L25" s="11">
        <f>F25*Controls!$B$6</f>
        <v>30</v>
      </c>
      <c r="M25" s="11">
        <f>G25*Controls!$B$6</f>
        <v>3750</v>
      </c>
      <c r="N25" s="12">
        <f>IF(L25=0,0,SUMIFS('PSI Plan'!$N$6:$N$173,'PSI Plan'!$B$6:$B$173,B25,'PSI Plan'!$C$6:$C$173,I25))</f>
        <v>0</v>
      </c>
      <c r="O25" s="11">
        <f t="shared" si="0"/>
        <v>0</v>
      </c>
      <c r="P25" s="11">
        <f t="shared" si="1"/>
        <v>0</v>
      </c>
      <c r="Q25" s="6"/>
      <c r="R25" s="6"/>
      <c r="S25" s="6"/>
      <c r="T25" s="6"/>
    </row>
    <row r="26" spans="1:20">
      <c r="A26" s="6" t="s">
        <v>151</v>
      </c>
      <c r="B26" s="6" t="s">
        <v>69</v>
      </c>
      <c r="C26" s="6" t="s">
        <v>90</v>
      </c>
      <c r="D26" s="6" t="s">
        <v>119</v>
      </c>
      <c r="E26" s="6" t="s">
        <v>120</v>
      </c>
      <c r="F26" s="7">
        <v>9</v>
      </c>
      <c r="G26" s="7">
        <v>1125</v>
      </c>
      <c r="H26" s="16">
        <v>45249</v>
      </c>
      <c r="I26" s="6">
        <v>47</v>
      </c>
      <c r="J26" s="6" t="s">
        <v>121</v>
      </c>
      <c r="K26" s="6" t="s">
        <v>150</v>
      </c>
      <c r="L26" s="11">
        <f>F26*Controls!$B$6</f>
        <v>9</v>
      </c>
      <c r="M26" s="11">
        <f>G26*Controls!$B$6</f>
        <v>1125</v>
      </c>
      <c r="N26" s="12">
        <f>IF(L26=0,0,SUMIFS('PSI Plan'!$N$6:$N$173,'PSI Plan'!$B$6:$B$173,B26,'PSI Plan'!$C$6:$C$173,I26))</f>
        <v>0</v>
      </c>
      <c r="O26" s="11">
        <f t="shared" si="0"/>
        <v>0</v>
      </c>
      <c r="P26" s="11">
        <f t="shared" si="1"/>
        <v>0</v>
      </c>
      <c r="Q26" s="6"/>
      <c r="R26" s="6"/>
      <c r="S26" s="6"/>
      <c r="T26" s="6"/>
    </row>
    <row r="27" spans="1:20">
      <c r="A27" s="6" t="s">
        <v>152</v>
      </c>
      <c r="B27" s="6" t="s">
        <v>66</v>
      </c>
      <c r="C27" s="6" t="s">
        <v>90</v>
      </c>
      <c r="D27" s="6" t="s">
        <v>119</v>
      </c>
      <c r="E27" s="6" t="s">
        <v>120</v>
      </c>
      <c r="F27" s="7">
        <v>11</v>
      </c>
      <c r="G27" s="7">
        <v>1375</v>
      </c>
      <c r="H27" s="16">
        <v>45238</v>
      </c>
      <c r="I27" s="6">
        <v>45</v>
      </c>
      <c r="J27" s="6" t="s">
        <v>121</v>
      </c>
      <c r="K27" s="6" t="s">
        <v>135</v>
      </c>
      <c r="L27" s="11">
        <f>F27*Controls!$B$6</f>
        <v>11</v>
      </c>
      <c r="M27" s="11">
        <f>G27*Controls!$B$6</f>
        <v>1375</v>
      </c>
      <c r="N27" s="12">
        <f>IF(L27=0,0,SUMIFS('PSI Plan'!$N$6:$N$173,'PSI Plan'!$B$6:$B$173,B27,'PSI Plan'!$C$6:$C$173,I27))</f>
        <v>0</v>
      </c>
      <c r="O27" s="11">
        <f t="shared" si="0"/>
        <v>0</v>
      </c>
      <c r="P27" s="11">
        <f t="shared" si="1"/>
        <v>0</v>
      </c>
      <c r="Q27" s="6"/>
      <c r="R27" s="6"/>
      <c r="S27" s="6"/>
      <c r="T27" s="6"/>
    </row>
    <row r="28" spans="1:20">
      <c r="A28" s="6" t="s">
        <v>153</v>
      </c>
      <c r="B28" s="6" t="s">
        <v>77</v>
      </c>
      <c r="C28" s="6" t="s">
        <v>90</v>
      </c>
      <c r="D28" s="6" t="s">
        <v>119</v>
      </c>
      <c r="E28" s="6" t="s">
        <v>120</v>
      </c>
      <c r="F28" s="7">
        <v>3</v>
      </c>
      <c r="G28" s="7">
        <v>375</v>
      </c>
      <c r="H28" s="16">
        <v>45262</v>
      </c>
      <c r="I28" s="6">
        <v>48</v>
      </c>
      <c r="J28" s="6" t="s">
        <v>121</v>
      </c>
      <c r="K28" s="6" t="s">
        <v>135</v>
      </c>
      <c r="L28" s="11">
        <f>F28*Controls!$B$6</f>
        <v>3</v>
      </c>
      <c r="M28" s="11">
        <f>G28*Controls!$B$6</f>
        <v>375</v>
      </c>
      <c r="N28" s="12">
        <f>IF(L28=0,0,SUMIFS('PSI Plan'!$N$6:$N$173,'PSI Plan'!$B$6:$B$173,B28,'PSI Plan'!$C$6:$C$173,I28))</f>
        <v>0</v>
      </c>
      <c r="O28" s="11">
        <f t="shared" si="0"/>
        <v>0</v>
      </c>
      <c r="P28" s="11">
        <f t="shared" si="1"/>
        <v>0</v>
      </c>
      <c r="Q28" s="6"/>
      <c r="R28" s="6"/>
      <c r="S28" s="6"/>
      <c r="T28" s="6"/>
    </row>
    <row r="29" spans="1:20">
      <c r="A29" s="6" t="s">
        <v>154</v>
      </c>
      <c r="B29" s="6" t="s">
        <v>69</v>
      </c>
      <c r="C29" s="6" t="s">
        <v>90</v>
      </c>
      <c r="D29" s="6" t="s">
        <v>119</v>
      </c>
      <c r="E29" s="6" t="s">
        <v>120</v>
      </c>
      <c r="F29" s="7">
        <v>7</v>
      </c>
      <c r="G29" s="7">
        <v>875</v>
      </c>
      <c r="H29" s="16">
        <v>45284</v>
      </c>
      <c r="I29" s="6">
        <v>52</v>
      </c>
      <c r="J29" s="6" t="s">
        <v>121</v>
      </c>
      <c r="K29" s="6" t="s">
        <v>135</v>
      </c>
      <c r="L29" s="11">
        <f>F29*Controls!$B$6</f>
        <v>7</v>
      </c>
      <c r="M29" s="11">
        <f>G29*Controls!$B$6</f>
        <v>875</v>
      </c>
      <c r="N29" s="12">
        <f>IF(L29=0,0,SUMIFS('PSI Plan'!$N$6:$N$173,'PSI Plan'!$B$6:$B$173,B29,'PSI Plan'!$C$6:$C$173,I29))</f>
        <v>0</v>
      </c>
      <c r="O29" s="11">
        <f t="shared" si="0"/>
        <v>0</v>
      </c>
      <c r="P29" s="11">
        <f t="shared" si="1"/>
        <v>0</v>
      </c>
      <c r="Q29" s="6"/>
      <c r="R29" s="6"/>
      <c r="S29" s="6"/>
      <c r="T29" s="6"/>
    </row>
    <row r="30" spans="1:20">
      <c r="A30" s="6" t="s">
        <v>155</v>
      </c>
      <c r="B30" s="6" t="s">
        <v>77</v>
      </c>
      <c r="C30" s="6" t="s">
        <v>90</v>
      </c>
      <c r="D30" s="6" t="s">
        <v>119</v>
      </c>
      <c r="E30" s="6" t="s">
        <v>120</v>
      </c>
      <c r="F30" s="7">
        <v>104</v>
      </c>
      <c r="G30" s="7">
        <v>13000</v>
      </c>
      <c r="H30" s="16">
        <v>45204</v>
      </c>
      <c r="I30" s="6">
        <v>40</v>
      </c>
      <c r="J30" s="6" t="s">
        <v>121</v>
      </c>
      <c r="K30" s="6" t="s">
        <v>122</v>
      </c>
      <c r="L30" s="11">
        <f>F30*Controls!$B$6</f>
        <v>104</v>
      </c>
      <c r="M30" s="11">
        <f>G30*Controls!$B$6</f>
        <v>13000</v>
      </c>
      <c r="N30" s="12">
        <f>IF(L30=0,0,SUMIFS('PSI Plan'!$N$6:$N$173,'PSI Plan'!$B$6:$B$173,B30,'PSI Plan'!$C$6:$C$173,I30))</f>
        <v>0</v>
      </c>
      <c r="O30" s="11">
        <f t="shared" si="0"/>
        <v>0</v>
      </c>
      <c r="P30" s="11">
        <f t="shared" si="1"/>
        <v>0</v>
      </c>
      <c r="Q30" s="6"/>
      <c r="R30" s="6"/>
      <c r="S30" s="6"/>
      <c r="T30" s="6"/>
    </row>
    <row r="31" spans="1:20">
      <c r="A31" s="6" t="s">
        <v>156</v>
      </c>
      <c r="B31" s="6" t="s">
        <v>66</v>
      </c>
      <c r="C31" s="6" t="s">
        <v>90</v>
      </c>
      <c r="D31" s="6" t="s">
        <v>119</v>
      </c>
      <c r="E31" s="6" t="s">
        <v>120</v>
      </c>
      <c r="F31" s="7">
        <v>52</v>
      </c>
      <c r="G31" s="7">
        <v>6500</v>
      </c>
      <c r="H31" s="16">
        <v>45257</v>
      </c>
      <c r="I31" s="6">
        <v>48</v>
      </c>
      <c r="J31" s="6" t="s">
        <v>121</v>
      </c>
      <c r="K31" s="6" t="s">
        <v>122</v>
      </c>
      <c r="L31" s="11">
        <f>F31*Controls!$B$6</f>
        <v>52</v>
      </c>
      <c r="M31" s="11">
        <f>G31*Controls!$B$6</f>
        <v>6500</v>
      </c>
      <c r="N31" s="12">
        <f>IF(L31=0,0,SUMIFS('PSI Plan'!$N$6:$N$173,'PSI Plan'!$B$6:$B$173,B31,'PSI Plan'!$C$6:$C$173,I31))</f>
        <v>0</v>
      </c>
      <c r="O31" s="11">
        <f t="shared" si="0"/>
        <v>0</v>
      </c>
      <c r="P31" s="11">
        <f t="shared" si="1"/>
        <v>0</v>
      </c>
      <c r="Q31" s="6"/>
      <c r="R31" s="6"/>
      <c r="S31" s="6"/>
      <c r="T31" s="6"/>
    </row>
    <row r="32" spans="1:20">
      <c r="A32" s="6" t="s">
        <v>157</v>
      </c>
      <c r="B32" s="6" t="s">
        <v>69</v>
      </c>
      <c r="C32" s="6" t="s">
        <v>90</v>
      </c>
      <c r="D32" s="6" t="s">
        <v>119</v>
      </c>
      <c r="E32" s="6" t="s">
        <v>120</v>
      </c>
      <c r="F32" s="7">
        <v>52</v>
      </c>
      <c r="G32" s="7">
        <v>6500</v>
      </c>
      <c r="H32" s="16">
        <v>45213</v>
      </c>
      <c r="I32" s="6">
        <v>41</v>
      </c>
      <c r="J32" s="6" t="s">
        <v>121</v>
      </c>
      <c r="K32" s="6" t="s">
        <v>122</v>
      </c>
      <c r="L32" s="11">
        <f>F32*Controls!$B$6</f>
        <v>52</v>
      </c>
      <c r="M32" s="11">
        <f>G32*Controls!$B$6</f>
        <v>6500</v>
      </c>
      <c r="N32" s="12">
        <f>IF(L32=0,0,SUMIFS('PSI Plan'!$N$6:$N$173,'PSI Plan'!$B$6:$B$173,B32,'PSI Plan'!$C$6:$C$173,I32))</f>
        <v>0</v>
      </c>
      <c r="O32" s="11">
        <f t="shared" si="0"/>
        <v>0</v>
      </c>
      <c r="P32" s="11">
        <f t="shared" si="1"/>
        <v>0</v>
      </c>
      <c r="Q32" s="6"/>
      <c r="R32" s="6"/>
      <c r="S32" s="6"/>
      <c r="T32" s="6"/>
    </row>
    <row r="33" spans="1:20">
      <c r="A33" s="6" t="s">
        <v>158</v>
      </c>
      <c r="B33" s="6" t="s">
        <v>77</v>
      </c>
      <c r="C33" s="6" t="s">
        <v>90</v>
      </c>
      <c r="D33" s="6" t="s">
        <v>119</v>
      </c>
      <c r="E33" s="6" t="s">
        <v>120</v>
      </c>
      <c r="F33" s="7">
        <v>17</v>
      </c>
      <c r="G33" s="7">
        <v>2125</v>
      </c>
      <c r="H33" s="16">
        <v>45236</v>
      </c>
      <c r="I33" s="6">
        <v>45</v>
      </c>
      <c r="J33" s="6" t="s">
        <v>121</v>
      </c>
      <c r="K33" s="6" t="s">
        <v>132</v>
      </c>
      <c r="L33" s="11">
        <f>F33*Controls!$B$6</f>
        <v>17</v>
      </c>
      <c r="M33" s="11">
        <f>G33*Controls!$B$6</f>
        <v>2125</v>
      </c>
      <c r="N33" s="12">
        <f>IF(L33=0,0,SUMIFS('PSI Plan'!$N$6:$N$173,'PSI Plan'!$B$6:$B$173,B33,'PSI Plan'!$C$6:$C$173,I33))</f>
        <v>0</v>
      </c>
      <c r="O33" s="11">
        <f t="shared" si="0"/>
        <v>0</v>
      </c>
      <c r="P33" s="11">
        <f t="shared" si="1"/>
        <v>0</v>
      </c>
      <c r="Q33" s="6"/>
      <c r="R33" s="6"/>
      <c r="S33" s="6"/>
      <c r="T33" s="6"/>
    </row>
    <row r="34" spans="1:20">
      <c r="A34" s="6" t="s">
        <v>159</v>
      </c>
      <c r="B34" s="6" t="s">
        <v>72</v>
      </c>
      <c r="C34" s="6" t="s">
        <v>90</v>
      </c>
      <c r="D34" s="6" t="s">
        <v>119</v>
      </c>
      <c r="E34" s="6" t="s">
        <v>120</v>
      </c>
      <c r="F34" s="7">
        <v>70</v>
      </c>
      <c r="G34" s="7">
        <v>8750</v>
      </c>
      <c r="H34" s="16">
        <v>45283</v>
      </c>
      <c r="I34" s="6">
        <v>51</v>
      </c>
      <c r="J34" s="6" t="s">
        <v>121</v>
      </c>
      <c r="K34" s="6" t="s">
        <v>125</v>
      </c>
      <c r="L34" s="11">
        <f>F34*Controls!$B$6</f>
        <v>70</v>
      </c>
      <c r="M34" s="11">
        <f>G34*Controls!$B$6</f>
        <v>8750</v>
      </c>
      <c r="N34" s="12">
        <f>IF(L34=0,0,SUMIFS('PSI Plan'!$N$6:$N$173,'PSI Plan'!$B$6:$B$173,B34,'PSI Plan'!$C$6:$C$173,I34))</f>
        <v>0</v>
      </c>
      <c r="O34" s="11">
        <f t="shared" si="0"/>
        <v>0</v>
      </c>
      <c r="P34" s="11">
        <f t="shared" si="1"/>
        <v>0</v>
      </c>
      <c r="Q34" s="6"/>
      <c r="R34" s="6"/>
      <c r="S34" s="6"/>
      <c r="T34" s="6"/>
    </row>
    <row r="35" spans="1:20">
      <c r="A35" s="6" t="s">
        <v>160</v>
      </c>
      <c r="B35" s="6" t="s">
        <v>69</v>
      </c>
      <c r="C35" s="6" t="s">
        <v>90</v>
      </c>
      <c r="D35" s="6" t="s">
        <v>119</v>
      </c>
      <c r="E35" s="6" t="s">
        <v>120</v>
      </c>
      <c r="F35" s="7">
        <v>8</v>
      </c>
      <c r="G35" s="7">
        <v>1000</v>
      </c>
      <c r="H35" s="16">
        <v>45207</v>
      </c>
      <c r="I35" s="6">
        <v>41</v>
      </c>
      <c r="J35" s="6" t="s">
        <v>121</v>
      </c>
      <c r="K35" s="6" t="s">
        <v>125</v>
      </c>
      <c r="L35" s="11">
        <f>F35*Controls!$B$6</f>
        <v>8</v>
      </c>
      <c r="M35" s="11">
        <f>G35*Controls!$B$6</f>
        <v>1000</v>
      </c>
      <c r="N35" s="12">
        <f>IF(L35=0,0,SUMIFS('PSI Plan'!$N$6:$N$173,'PSI Plan'!$B$6:$B$173,B35,'PSI Plan'!$C$6:$C$173,I35))</f>
        <v>0</v>
      </c>
      <c r="O35" s="11">
        <f t="shared" si="0"/>
        <v>0</v>
      </c>
      <c r="P35" s="11">
        <f t="shared" si="1"/>
        <v>0</v>
      </c>
      <c r="Q35" s="6"/>
      <c r="R35" s="6"/>
      <c r="S35" s="6"/>
      <c r="T35" s="6"/>
    </row>
    <row r="36" spans="1:20">
      <c r="A36" s="6" t="s">
        <v>161</v>
      </c>
      <c r="B36" s="6" t="s">
        <v>71</v>
      </c>
      <c r="C36" s="6" t="s">
        <v>90</v>
      </c>
      <c r="D36" s="6" t="s">
        <v>119</v>
      </c>
      <c r="E36" s="6" t="s">
        <v>120</v>
      </c>
      <c r="F36" s="7">
        <v>70</v>
      </c>
      <c r="G36" s="7">
        <v>8750</v>
      </c>
      <c r="H36" s="16">
        <v>45276</v>
      </c>
      <c r="I36" s="6">
        <v>50</v>
      </c>
      <c r="J36" s="6" t="s">
        <v>121</v>
      </c>
      <c r="K36" s="6" t="s">
        <v>125</v>
      </c>
      <c r="L36" s="11">
        <f>F36*Controls!$B$6</f>
        <v>70</v>
      </c>
      <c r="M36" s="11">
        <f>G36*Controls!$B$6</f>
        <v>8750</v>
      </c>
      <c r="N36" s="12">
        <f>IF(L36=0,0,SUMIFS('PSI Plan'!$N$6:$N$173,'PSI Plan'!$B$6:$B$173,B36,'PSI Plan'!$C$6:$C$173,I36))</f>
        <v>0</v>
      </c>
      <c r="O36" s="11">
        <f t="shared" si="0"/>
        <v>0</v>
      </c>
      <c r="P36" s="11">
        <f t="shared" si="1"/>
        <v>0</v>
      </c>
      <c r="Q36" s="6"/>
      <c r="R36" s="6"/>
      <c r="S36" s="6"/>
      <c r="T36" s="6"/>
    </row>
    <row r="37" spans="1:20">
      <c r="A37" s="6" t="s">
        <v>162</v>
      </c>
      <c r="B37" s="6" t="s">
        <v>72</v>
      </c>
      <c r="C37" s="6" t="s">
        <v>90</v>
      </c>
      <c r="D37" s="6" t="s">
        <v>119</v>
      </c>
      <c r="E37" s="6" t="s">
        <v>120</v>
      </c>
      <c r="F37" s="7">
        <v>30</v>
      </c>
      <c r="G37" s="7">
        <v>3750</v>
      </c>
      <c r="H37" s="16">
        <v>45289</v>
      </c>
      <c r="I37" s="6">
        <v>52</v>
      </c>
      <c r="J37" s="6" t="s">
        <v>121</v>
      </c>
      <c r="K37" s="6" t="s">
        <v>132</v>
      </c>
      <c r="L37" s="11">
        <f>F37*Controls!$B$6</f>
        <v>30</v>
      </c>
      <c r="M37" s="11">
        <f>G37*Controls!$B$6</f>
        <v>3750</v>
      </c>
      <c r="N37" s="12">
        <f>IF(L37=0,0,SUMIFS('PSI Plan'!$N$6:$N$173,'PSI Plan'!$B$6:$B$173,B37,'PSI Plan'!$C$6:$C$173,I37))</f>
        <v>0</v>
      </c>
      <c r="O37" s="11">
        <f t="shared" si="0"/>
        <v>0</v>
      </c>
      <c r="P37" s="11">
        <f t="shared" si="1"/>
        <v>0</v>
      </c>
      <c r="Q37" s="6"/>
      <c r="R37" s="6"/>
      <c r="S37" s="6"/>
      <c r="T37" s="6"/>
    </row>
    <row r="38" spans="1:20">
      <c r="A38" s="6" t="s">
        <v>163</v>
      </c>
      <c r="B38" s="6" t="s">
        <v>69</v>
      </c>
      <c r="C38" s="6" t="s">
        <v>90</v>
      </c>
      <c r="D38" s="6" t="s">
        <v>119</v>
      </c>
      <c r="E38" s="6" t="s">
        <v>120</v>
      </c>
      <c r="F38" s="7">
        <v>27</v>
      </c>
      <c r="G38" s="7">
        <v>3375</v>
      </c>
      <c r="H38" s="16">
        <v>45214</v>
      </c>
      <c r="I38" s="6">
        <v>42</v>
      </c>
      <c r="J38" s="6" t="s">
        <v>121</v>
      </c>
      <c r="K38" s="6" t="s">
        <v>132</v>
      </c>
      <c r="L38" s="11">
        <f>F38*Controls!$B$6</f>
        <v>27</v>
      </c>
      <c r="M38" s="11">
        <f>G38*Controls!$B$6</f>
        <v>3375</v>
      </c>
      <c r="N38" s="12">
        <f>IF(L38=0,0,SUMIFS('PSI Plan'!$N$6:$N$173,'PSI Plan'!$B$6:$B$173,B38,'PSI Plan'!$C$6:$C$173,I38))</f>
        <v>0</v>
      </c>
      <c r="O38" s="11">
        <f t="shared" si="0"/>
        <v>0</v>
      </c>
      <c r="P38" s="11">
        <f t="shared" si="1"/>
        <v>0</v>
      </c>
      <c r="Q38" s="6"/>
      <c r="R38" s="6"/>
      <c r="S38" s="6"/>
      <c r="T38" s="6"/>
    </row>
    <row r="39" spans="1:20">
      <c r="A39" s="6" t="s">
        <v>164</v>
      </c>
      <c r="B39" s="6" t="s">
        <v>69</v>
      </c>
      <c r="C39" s="6" t="s">
        <v>90</v>
      </c>
      <c r="D39" s="6" t="s">
        <v>119</v>
      </c>
      <c r="E39" s="6" t="s">
        <v>120</v>
      </c>
      <c r="F39" s="7">
        <v>8</v>
      </c>
      <c r="G39" s="7">
        <v>1000</v>
      </c>
      <c r="H39" s="16">
        <v>45257</v>
      </c>
      <c r="I39" s="6">
        <v>48</v>
      </c>
      <c r="J39" s="6" t="s">
        <v>121</v>
      </c>
      <c r="K39" s="6" t="s">
        <v>135</v>
      </c>
      <c r="L39" s="11">
        <f>F39*Controls!$B$6</f>
        <v>8</v>
      </c>
      <c r="M39" s="11">
        <f>G39*Controls!$B$6</f>
        <v>1000</v>
      </c>
      <c r="N39" s="12">
        <f>IF(L39=0,0,SUMIFS('PSI Plan'!$N$6:$N$173,'PSI Plan'!$B$6:$B$173,B39,'PSI Plan'!$C$6:$C$173,I39))</f>
        <v>0</v>
      </c>
      <c r="O39" s="11">
        <f t="shared" si="0"/>
        <v>0</v>
      </c>
      <c r="P39" s="11">
        <f t="shared" si="1"/>
        <v>0</v>
      </c>
      <c r="Q39" s="6"/>
      <c r="R39" s="6"/>
      <c r="S39" s="6"/>
      <c r="T39" s="6"/>
    </row>
    <row r="40" spans="1:20">
      <c r="A40" s="6" t="s">
        <v>165</v>
      </c>
      <c r="B40" s="6" t="s">
        <v>72</v>
      </c>
      <c r="C40" s="6" t="s">
        <v>90</v>
      </c>
      <c r="D40" s="6" t="s">
        <v>119</v>
      </c>
      <c r="E40" s="6" t="s">
        <v>120</v>
      </c>
      <c r="F40" s="7">
        <v>30</v>
      </c>
      <c r="G40" s="7">
        <v>3750</v>
      </c>
      <c r="H40" s="16">
        <v>45236</v>
      </c>
      <c r="I40" s="6">
        <v>45</v>
      </c>
      <c r="J40" s="6" t="s">
        <v>121</v>
      </c>
      <c r="K40" s="6" t="s">
        <v>135</v>
      </c>
      <c r="L40" s="11">
        <f>F40*Controls!$B$6</f>
        <v>30</v>
      </c>
      <c r="M40" s="11">
        <f>G40*Controls!$B$6</f>
        <v>3750</v>
      </c>
      <c r="N40" s="12">
        <f>IF(L40=0,0,SUMIFS('PSI Plan'!$N$6:$N$173,'PSI Plan'!$B$6:$B$173,B40,'PSI Plan'!$C$6:$C$173,I40))</f>
        <v>0</v>
      </c>
      <c r="O40" s="11">
        <f t="shared" si="0"/>
        <v>0</v>
      </c>
      <c r="P40" s="11">
        <f t="shared" si="1"/>
        <v>0</v>
      </c>
      <c r="Q40" s="6"/>
      <c r="R40" s="6"/>
      <c r="S40" s="6"/>
      <c r="T40" s="6"/>
    </row>
    <row r="41" spans="1:20">
      <c r="A41" s="6" t="s">
        <v>166</v>
      </c>
      <c r="B41" s="6" t="s">
        <v>66</v>
      </c>
      <c r="C41" s="6" t="s">
        <v>90</v>
      </c>
      <c r="D41" s="6" t="s">
        <v>119</v>
      </c>
      <c r="E41" s="6" t="s">
        <v>120</v>
      </c>
      <c r="F41" s="7">
        <v>38</v>
      </c>
      <c r="G41" s="7">
        <v>4750</v>
      </c>
      <c r="H41" s="16">
        <v>45245</v>
      </c>
      <c r="I41" s="6">
        <v>46</v>
      </c>
      <c r="J41" s="6" t="s">
        <v>121</v>
      </c>
      <c r="K41" s="6" t="s">
        <v>135</v>
      </c>
      <c r="L41" s="11">
        <f>F41*Controls!$B$6</f>
        <v>38</v>
      </c>
      <c r="M41" s="11">
        <f>G41*Controls!$B$6</f>
        <v>4750</v>
      </c>
      <c r="N41" s="12">
        <f>IF(L41=0,0,SUMIFS('PSI Plan'!$N$6:$N$173,'PSI Plan'!$B$6:$B$173,B41,'PSI Plan'!$C$6:$C$173,I41))</f>
        <v>0</v>
      </c>
      <c r="O41" s="11">
        <f t="shared" si="0"/>
        <v>0</v>
      </c>
      <c r="P41" s="11">
        <f t="shared" si="1"/>
        <v>0</v>
      </c>
      <c r="Q41" s="6"/>
      <c r="R41" s="6"/>
      <c r="S41" s="6"/>
      <c r="T41" s="6"/>
    </row>
    <row r="42" spans="1:20">
      <c r="A42" s="6" t="s">
        <v>167</v>
      </c>
      <c r="B42" s="6" t="s">
        <v>66</v>
      </c>
      <c r="C42" s="6" t="s">
        <v>90</v>
      </c>
      <c r="D42" s="6" t="s">
        <v>119</v>
      </c>
      <c r="E42" s="6" t="s">
        <v>120</v>
      </c>
      <c r="F42" s="7">
        <v>52</v>
      </c>
      <c r="G42" s="7">
        <v>6500</v>
      </c>
      <c r="H42" s="16">
        <v>45286</v>
      </c>
      <c r="I42" s="6">
        <v>52</v>
      </c>
      <c r="J42" s="6" t="s">
        <v>121</v>
      </c>
      <c r="K42" s="6" t="s">
        <v>122</v>
      </c>
      <c r="L42" s="11">
        <f>F42*Controls!$B$6</f>
        <v>52</v>
      </c>
      <c r="M42" s="11">
        <f>G42*Controls!$B$6</f>
        <v>6500</v>
      </c>
      <c r="N42" s="12">
        <f>IF(L42=0,0,SUMIFS('PSI Plan'!$N$6:$N$173,'PSI Plan'!$B$6:$B$173,B42,'PSI Plan'!$C$6:$C$173,I42))</f>
        <v>0</v>
      </c>
      <c r="O42" s="11">
        <f t="shared" si="0"/>
        <v>0</v>
      </c>
      <c r="P42" s="11">
        <f t="shared" si="1"/>
        <v>0</v>
      </c>
      <c r="Q42" s="6"/>
      <c r="R42" s="6"/>
      <c r="S42" s="6"/>
      <c r="T42" s="6"/>
    </row>
    <row r="43" spans="1:20">
      <c r="A43" s="6" t="s">
        <v>168</v>
      </c>
      <c r="B43" s="6" t="s">
        <v>72</v>
      </c>
      <c r="C43" s="6" t="s">
        <v>90</v>
      </c>
      <c r="D43" s="6" t="s">
        <v>119</v>
      </c>
      <c r="E43" s="6" t="s">
        <v>120</v>
      </c>
      <c r="F43" s="7">
        <v>40</v>
      </c>
      <c r="G43" s="7">
        <v>5000</v>
      </c>
      <c r="H43" s="16">
        <v>45212</v>
      </c>
      <c r="I43" s="6">
        <v>41</v>
      </c>
      <c r="J43" s="6" t="s">
        <v>121</v>
      </c>
      <c r="K43" s="6" t="s">
        <v>169</v>
      </c>
      <c r="L43" s="11">
        <f>F43*Controls!$B$6</f>
        <v>40</v>
      </c>
      <c r="M43" s="11">
        <f>G43*Controls!$B$6</f>
        <v>5000</v>
      </c>
      <c r="N43" s="12">
        <f>IF(L43=0,0,SUMIFS('PSI Plan'!$N$6:$N$173,'PSI Plan'!$B$6:$B$173,B43,'PSI Plan'!$C$6:$C$173,I43))</f>
        <v>0</v>
      </c>
      <c r="O43" s="11">
        <f t="shared" si="0"/>
        <v>0</v>
      </c>
      <c r="P43" s="11">
        <f t="shared" si="1"/>
        <v>0</v>
      </c>
      <c r="Q43" s="6"/>
      <c r="R43" s="6"/>
      <c r="S43" s="6"/>
      <c r="T43" s="6"/>
    </row>
    <row r="44" spans="1:20">
      <c r="A44" s="6" t="s">
        <v>170</v>
      </c>
      <c r="B44" s="6" t="s">
        <v>69</v>
      </c>
      <c r="C44" s="6" t="s">
        <v>90</v>
      </c>
      <c r="D44" s="6" t="s">
        <v>119</v>
      </c>
      <c r="E44" s="6" t="s">
        <v>120</v>
      </c>
      <c r="F44" s="7">
        <v>51</v>
      </c>
      <c r="G44" s="7">
        <v>6375</v>
      </c>
      <c r="H44" s="16">
        <v>45239</v>
      </c>
      <c r="I44" s="6">
        <v>45</v>
      </c>
      <c r="J44" s="6" t="s">
        <v>121</v>
      </c>
      <c r="K44" s="6" t="s">
        <v>171</v>
      </c>
      <c r="L44" s="11">
        <f>F44*Controls!$B$6</f>
        <v>51</v>
      </c>
      <c r="M44" s="11">
        <f>G44*Controls!$B$6</f>
        <v>6375</v>
      </c>
      <c r="N44" s="12">
        <f>IF(L44=0,0,SUMIFS('PSI Plan'!$N$6:$N$173,'PSI Plan'!$B$6:$B$173,B44,'PSI Plan'!$C$6:$C$173,I44))</f>
        <v>0</v>
      </c>
      <c r="O44" s="11">
        <f t="shared" si="0"/>
        <v>0</v>
      </c>
      <c r="P44" s="11">
        <f t="shared" si="1"/>
        <v>0</v>
      </c>
      <c r="Q44" s="6"/>
      <c r="R44" s="6"/>
      <c r="S44" s="6"/>
      <c r="T44" s="6"/>
    </row>
    <row r="45" spans="1:20">
      <c r="A45" s="6" t="s">
        <v>172</v>
      </c>
      <c r="B45" s="6" t="s">
        <v>71</v>
      </c>
      <c r="C45" s="6" t="s">
        <v>90</v>
      </c>
      <c r="D45" s="6" t="s">
        <v>119</v>
      </c>
      <c r="E45" s="6" t="s">
        <v>120</v>
      </c>
      <c r="F45" s="7">
        <v>70</v>
      </c>
      <c r="G45" s="7">
        <v>8750</v>
      </c>
      <c r="H45" s="16">
        <v>45258</v>
      </c>
      <c r="I45" s="6">
        <v>48</v>
      </c>
      <c r="J45" s="6" t="s">
        <v>121</v>
      </c>
      <c r="K45" s="6" t="s">
        <v>125</v>
      </c>
      <c r="L45" s="11">
        <f>F45*Controls!$B$6</f>
        <v>70</v>
      </c>
      <c r="M45" s="11">
        <f>G45*Controls!$B$6</f>
        <v>8750</v>
      </c>
      <c r="N45" s="12">
        <f>IF(L45=0,0,SUMIFS('PSI Plan'!$N$6:$N$173,'PSI Plan'!$B$6:$B$173,B45,'PSI Plan'!$C$6:$C$173,I45))</f>
        <v>0</v>
      </c>
      <c r="O45" s="11">
        <f t="shared" si="0"/>
        <v>0</v>
      </c>
      <c r="P45" s="11">
        <f t="shared" si="1"/>
        <v>0</v>
      </c>
      <c r="Q45" s="6"/>
      <c r="R45" s="6"/>
      <c r="S45" s="6"/>
      <c r="T45" s="6"/>
    </row>
    <row r="46" spans="1:20">
      <c r="A46" s="6" t="s">
        <v>173</v>
      </c>
      <c r="B46" s="6" t="s">
        <v>69</v>
      </c>
      <c r="C46" s="6" t="s">
        <v>90</v>
      </c>
      <c r="D46" s="6" t="s">
        <v>119</v>
      </c>
      <c r="E46" s="6" t="s">
        <v>120</v>
      </c>
      <c r="F46" s="7">
        <v>1</v>
      </c>
      <c r="G46" s="7">
        <v>125</v>
      </c>
      <c r="H46" s="16">
        <v>45268</v>
      </c>
      <c r="I46" s="6">
        <v>49</v>
      </c>
      <c r="J46" s="6" t="s">
        <v>121</v>
      </c>
      <c r="K46" s="6" t="s">
        <v>125</v>
      </c>
      <c r="L46" s="11">
        <f>F46*Controls!$B$6</f>
        <v>1</v>
      </c>
      <c r="M46" s="11">
        <f>G46*Controls!$B$6</f>
        <v>125</v>
      </c>
      <c r="N46" s="12">
        <f>IF(L46=0,0,SUMIFS('PSI Plan'!$N$6:$N$173,'PSI Plan'!$B$6:$B$173,B46,'PSI Plan'!$C$6:$C$173,I46))</f>
        <v>0</v>
      </c>
      <c r="O46" s="11">
        <f t="shared" si="0"/>
        <v>0</v>
      </c>
      <c r="P46" s="11">
        <f t="shared" si="1"/>
        <v>0</v>
      </c>
      <c r="Q46" s="6"/>
      <c r="R46" s="6"/>
      <c r="S46" s="6"/>
      <c r="T46" s="6"/>
    </row>
    <row r="47" spans="1:20">
      <c r="A47" s="6" t="s">
        <v>174</v>
      </c>
      <c r="B47" s="6" t="s">
        <v>69</v>
      </c>
      <c r="C47" s="6" t="s">
        <v>90</v>
      </c>
      <c r="D47" s="6" t="s">
        <v>119</v>
      </c>
      <c r="E47" s="6" t="s">
        <v>120</v>
      </c>
      <c r="F47" s="7">
        <v>16</v>
      </c>
      <c r="G47" s="7">
        <v>2000</v>
      </c>
      <c r="H47" s="16">
        <v>45215</v>
      </c>
      <c r="I47" s="6">
        <v>42</v>
      </c>
      <c r="J47" s="6" t="s">
        <v>121</v>
      </c>
      <c r="K47" s="6" t="s">
        <v>139</v>
      </c>
      <c r="L47" s="11">
        <f>F47*Controls!$B$6</f>
        <v>16</v>
      </c>
      <c r="M47" s="11">
        <f>G47*Controls!$B$6</f>
        <v>2000</v>
      </c>
      <c r="N47" s="12">
        <f>IF(L47=0,0,SUMIFS('PSI Plan'!$N$6:$N$173,'PSI Plan'!$B$6:$B$173,B47,'PSI Plan'!$C$6:$C$173,I47))</f>
        <v>0</v>
      </c>
      <c r="O47" s="11">
        <f t="shared" si="0"/>
        <v>0</v>
      </c>
      <c r="P47" s="11">
        <f t="shared" si="1"/>
        <v>0</v>
      </c>
      <c r="Q47" s="6"/>
      <c r="R47" s="6"/>
      <c r="S47" s="6"/>
      <c r="T47" s="6"/>
    </row>
    <row r="48" spans="1:20">
      <c r="A48" s="6" t="s">
        <v>175</v>
      </c>
      <c r="B48" s="6" t="s">
        <v>69</v>
      </c>
      <c r="C48" s="6" t="s">
        <v>90</v>
      </c>
      <c r="D48" s="6" t="s">
        <v>119</v>
      </c>
      <c r="E48" s="6" t="s">
        <v>120</v>
      </c>
      <c r="F48" s="7">
        <v>52</v>
      </c>
      <c r="G48" s="7">
        <v>6500</v>
      </c>
      <c r="H48" s="16">
        <v>45234</v>
      </c>
      <c r="I48" s="6">
        <v>44</v>
      </c>
      <c r="J48" s="6" t="s">
        <v>121</v>
      </c>
      <c r="K48" s="6" t="s">
        <v>122</v>
      </c>
      <c r="L48" s="11">
        <f>F48*Controls!$B$6</f>
        <v>52</v>
      </c>
      <c r="M48" s="11">
        <f>G48*Controls!$B$6</f>
        <v>6500</v>
      </c>
      <c r="N48" s="12">
        <f>IF(L48=0,0,SUMIFS('PSI Plan'!$N$6:$N$173,'PSI Plan'!$B$6:$B$173,B48,'PSI Plan'!$C$6:$C$173,I48))</f>
        <v>0</v>
      </c>
      <c r="O48" s="11">
        <f t="shared" si="0"/>
        <v>0</v>
      </c>
      <c r="P48" s="11">
        <f t="shared" si="1"/>
        <v>0</v>
      </c>
      <c r="Q48" s="6"/>
      <c r="R48" s="6"/>
      <c r="S48" s="6"/>
      <c r="T48" s="6"/>
    </row>
    <row r="49" spans="1:20">
      <c r="A49" s="6" t="s">
        <v>176</v>
      </c>
      <c r="B49" s="6" t="s">
        <v>72</v>
      </c>
      <c r="C49" s="6" t="s">
        <v>90</v>
      </c>
      <c r="D49" s="6" t="s">
        <v>119</v>
      </c>
      <c r="E49" s="6" t="s">
        <v>120</v>
      </c>
      <c r="F49" s="7">
        <v>152</v>
      </c>
      <c r="G49" s="7">
        <v>19000</v>
      </c>
      <c r="H49" s="16">
        <v>45262</v>
      </c>
      <c r="I49" s="6">
        <v>48</v>
      </c>
      <c r="J49" s="6" t="s">
        <v>121</v>
      </c>
      <c r="K49" s="6" t="s">
        <v>122</v>
      </c>
      <c r="L49" s="11">
        <f>F49*Controls!$B$6</f>
        <v>152</v>
      </c>
      <c r="M49" s="11">
        <f>G49*Controls!$B$6</f>
        <v>19000</v>
      </c>
      <c r="N49" s="12">
        <f>IF(L49=0,0,SUMIFS('PSI Plan'!$N$6:$N$173,'PSI Plan'!$B$6:$B$173,B49,'PSI Plan'!$C$6:$C$173,I49))</f>
        <v>0</v>
      </c>
      <c r="O49" s="11">
        <f t="shared" si="0"/>
        <v>0</v>
      </c>
      <c r="P49" s="11">
        <f t="shared" si="1"/>
        <v>0</v>
      </c>
      <c r="Q49" s="6"/>
      <c r="R49" s="6"/>
      <c r="S49" s="6"/>
      <c r="T49" s="6"/>
    </row>
    <row r="50" spans="1:20">
      <c r="A50" s="6" t="s">
        <v>177</v>
      </c>
      <c r="B50" s="6" t="s">
        <v>66</v>
      </c>
      <c r="C50" s="6" t="s">
        <v>90</v>
      </c>
      <c r="D50" s="6" t="s">
        <v>119</v>
      </c>
      <c r="E50" s="6" t="s">
        <v>120</v>
      </c>
      <c r="F50" s="7">
        <v>52</v>
      </c>
      <c r="G50" s="7">
        <v>6500</v>
      </c>
      <c r="H50" s="16">
        <v>45238</v>
      </c>
      <c r="I50" s="6">
        <v>45</v>
      </c>
      <c r="J50" s="6" t="s">
        <v>121</v>
      </c>
      <c r="K50" s="6" t="s">
        <v>122</v>
      </c>
      <c r="L50" s="11">
        <f>F50*Controls!$B$6</f>
        <v>52</v>
      </c>
      <c r="M50" s="11">
        <f>G50*Controls!$B$6</f>
        <v>6500</v>
      </c>
      <c r="N50" s="12">
        <f>IF(L50=0,0,SUMIFS('PSI Plan'!$N$6:$N$173,'PSI Plan'!$B$6:$B$173,B50,'PSI Plan'!$C$6:$C$173,I50))</f>
        <v>0</v>
      </c>
      <c r="O50" s="11">
        <f t="shared" si="0"/>
        <v>0</v>
      </c>
      <c r="P50" s="11">
        <f t="shared" si="1"/>
        <v>0</v>
      </c>
      <c r="Q50" s="6"/>
      <c r="R50" s="6"/>
      <c r="S50" s="6"/>
      <c r="T50" s="6"/>
    </row>
    <row r="51" spans="1:20">
      <c r="A51" s="6" t="s">
        <v>178</v>
      </c>
      <c r="B51" s="6" t="s">
        <v>69</v>
      </c>
      <c r="C51" s="6" t="s">
        <v>90</v>
      </c>
      <c r="D51" s="6" t="s">
        <v>119</v>
      </c>
      <c r="E51" s="6" t="s">
        <v>120</v>
      </c>
      <c r="F51" s="7">
        <v>3</v>
      </c>
      <c r="G51" s="7">
        <v>375</v>
      </c>
      <c r="H51" s="16">
        <v>45274</v>
      </c>
      <c r="I51" s="6">
        <v>50</v>
      </c>
      <c r="J51" s="6" t="s">
        <v>121</v>
      </c>
      <c r="K51" s="6" t="s">
        <v>139</v>
      </c>
      <c r="L51" s="11">
        <f>F51*Controls!$B$6</f>
        <v>3</v>
      </c>
      <c r="M51" s="11">
        <f>G51*Controls!$B$6</f>
        <v>375</v>
      </c>
      <c r="N51" s="12">
        <f>IF(L51=0,0,SUMIFS('PSI Plan'!$N$6:$N$173,'PSI Plan'!$B$6:$B$173,B51,'PSI Plan'!$C$6:$C$173,I51))</f>
        <v>0</v>
      </c>
      <c r="O51" s="11">
        <f t="shared" si="0"/>
        <v>0</v>
      </c>
      <c r="P51" s="11">
        <f t="shared" si="1"/>
        <v>0</v>
      </c>
      <c r="Q51" s="6"/>
      <c r="R51" s="6"/>
      <c r="S51" s="6"/>
      <c r="T51" s="6"/>
    </row>
    <row r="52" spans="1:20">
      <c r="A52" s="6" t="s">
        <v>179</v>
      </c>
      <c r="B52" s="6" t="s">
        <v>72</v>
      </c>
      <c r="C52" s="6" t="s">
        <v>90</v>
      </c>
      <c r="D52" s="6" t="s">
        <v>119</v>
      </c>
      <c r="E52" s="6" t="s">
        <v>120</v>
      </c>
      <c r="F52" s="7">
        <v>40</v>
      </c>
      <c r="G52" s="7">
        <v>5000</v>
      </c>
      <c r="H52" s="16">
        <v>45240</v>
      </c>
      <c r="I52" s="6">
        <v>45</v>
      </c>
      <c r="J52" s="6" t="s">
        <v>121</v>
      </c>
      <c r="K52" s="6" t="s">
        <v>125</v>
      </c>
      <c r="L52" s="11">
        <f>F52*Controls!$B$6</f>
        <v>40</v>
      </c>
      <c r="M52" s="11">
        <f>G52*Controls!$B$6</f>
        <v>5000</v>
      </c>
      <c r="N52" s="12">
        <f>IF(L52=0,0,SUMIFS('PSI Plan'!$N$6:$N$173,'PSI Plan'!$B$6:$B$173,B52,'PSI Plan'!$C$6:$C$173,I52))</f>
        <v>0</v>
      </c>
      <c r="O52" s="11">
        <f t="shared" si="0"/>
        <v>0</v>
      </c>
      <c r="P52" s="11">
        <f t="shared" si="1"/>
        <v>0</v>
      </c>
      <c r="Q52" s="6"/>
      <c r="R52" s="6"/>
      <c r="S52" s="6"/>
      <c r="T52" s="6"/>
    </row>
    <row r="53" spans="1:20">
      <c r="A53" s="6" t="s">
        <v>180</v>
      </c>
      <c r="B53" s="6" t="s">
        <v>71</v>
      </c>
      <c r="C53" s="6" t="s">
        <v>90</v>
      </c>
      <c r="D53" s="6" t="s">
        <v>119</v>
      </c>
      <c r="E53" s="6" t="s">
        <v>120</v>
      </c>
      <c r="F53" s="7">
        <v>70</v>
      </c>
      <c r="G53" s="7">
        <v>8750</v>
      </c>
      <c r="H53" s="16">
        <v>45205</v>
      </c>
      <c r="I53" s="6">
        <v>40</v>
      </c>
      <c r="J53" s="6" t="s">
        <v>121</v>
      </c>
      <c r="K53" s="6" t="s">
        <v>125</v>
      </c>
      <c r="L53" s="11">
        <f>F53*Controls!$B$6</f>
        <v>70</v>
      </c>
      <c r="M53" s="11">
        <f>G53*Controls!$B$6</f>
        <v>8750</v>
      </c>
      <c r="N53" s="12">
        <f>IF(L53=0,0,SUMIFS('PSI Plan'!$N$6:$N$173,'PSI Plan'!$B$6:$B$173,B53,'PSI Plan'!$C$6:$C$173,I53))</f>
        <v>0</v>
      </c>
      <c r="O53" s="11">
        <f t="shared" si="0"/>
        <v>0</v>
      </c>
      <c r="P53" s="11">
        <f t="shared" si="1"/>
        <v>0</v>
      </c>
      <c r="Q53" s="6"/>
      <c r="R53" s="6"/>
      <c r="S53" s="6"/>
      <c r="T53" s="6"/>
    </row>
    <row r="54" spans="1:20">
      <c r="A54" s="6" t="s">
        <v>181</v>
      </c>
      <c r="B54" s="6" t="s">
        <v>66</v>
      </c>
      <c r="C54" s="6" t="s">
        <v>90</v>
      </c>
      <c r="D54" s="6" t="s">
        <v>119</v>
      </c>
      <c r="E54" s="6" t="s">
        <v>120</v>
      </c>
      <c r="F54" s="7">
        <v>52</v>
      </c>
      <c r="G54" s="7">
        <v>6500</v>
      </c>
      <c r="H54" s="16">
        <v>45262</v>
      </c>
      <c r="I54" s="6">
        <v>48</v>
      </c>
      <c r="J54" s="6" t="s">
        <v>121</v>
      </c>
      <c r="K54" s="6" t="s">
        <v>122</v>
      </c>
      <c r="L54" s="11">
        <f>F54*Controls!$B$6</f>
        <v>52</v>
      </c>
      <c r="M54" s="11">
        <f>G54*Controls!$B$6</f>
        <v>6500</v>
      </c>
      <c r="N54" s="12">
        <f>IF(L54=0,0,SUMIFS('PSI Plan'!$N$6:$N$173,'PSI Plan'!$B$6:$B$173,B54,'PSI Plan'!$C$6:$C$173,I54))</f>
        <v>0</v>
      </c>
      <c r="O54" s="11">
        <f t="shared" si="0"/>
        <v>0</v>
      </c>
      <c r="P54" s="11">
        <f t="shared" si="1"/>
        <v>0</v>
      </c>
      <c r="Q54" s="6"/>
      <c r="R54" s="6"/>
      <c r="S54" s="6"/>
      <c r="T54" s="6"/>
    </row>
    <row r="55" spans="1:20">
      <c r="A55" s="6" t="s">
        <v>182</v>
      </c>
      <c r="B55" s="6" t="s">
        <v>69</v>
      </c>
      <c r="C55" s="6" t="s">
        <v>90</v>
      </c>
      <c r="D55" s="6" t="s">
        <v>119</v>
      </c>
      <c r="E55" s="6" t="s">
        <v>120</v>
      </c>
      <c r="F55" s="7">
        <v>52</v>
      </c>
      <c r="G55" s="7">
        <v>6500</v>
      </c>
      <c r="H55" s="16">
        <v>45232</v>
      </c>
      <c r="I55" s="6">
        <v>44</v>
      </c>
      <c r="J55" s="6" t="s">
        <v>121</v>
      </c>
      <c r="K55" s="6" t="s">
        <v>122</v>
      </c>
      <c r="L55" s="11">
        <f>F55*Controls!$B$6</f>
        <v>52</v>
      </c>
      <c r="M55" s="11">
        <f>G55*Controls!$B$6</f>
        <v>6500</v>
      </c>
      <c r="N55" s="12">
        <f>IF(L55=0,0,SUMIFS('PSI Plan'!$N$6:$N$173,'PSI Plan'!$B$6:$B$173,B55,'PSI Plan'!$C$6:$C$173,I55))</f>
        <v>0</v>
      </c>
      <c r="O55" s="11">
        <f t="shared" si="0"/>
        <v>0</v>
      </c>
      <c r="P55" s="11">
        <f t="shared" si="1"/>
        <v>0</v>
      </c>
      <c r="Q55" s="6"/>
      <c r="R55" s="6"/>
      <c r="S55" s="6"/>
      <c r="T55" s="6"/>
    </row>
    <row r="56" spans="1:20">
      <c r="A56" s="6" t="s">
        <v>183</v>
      </c>
      <c r="B56" s="6" t="s">
        <v>69</v>
      </c>
      <c r="C56" s="6" t="s">
        <v>90</v>
      </c>
      <c r="D56" s="6" t="s">
        <v>119</v>
      </c>
      <c r="E56" s="6" t="s">
        <v>120</v>
      </c>
      <c r="F56" s="7">
        <v>15</v>
      </c>
      <c r="G56" s="7">
        <v>1875</v>
      </c>
      <c r="H56" s="16">
        <v>45263</v>
      </c>
      <c r="I56" s="6">
        <v>49</v>
      </c>
      <c r="J56" s="6" t="s">
        <v>121</v>
      </c>
      <c r="K56" s="6" t="s">
        <v>132</v>
      </c>
      <c r="L56" s="11">
        <f>F56*Controls!$B$6</f>
        <v>15</v>
      </c>
      <c r="M56" s="11">
        <f>G56*Controls!$B$6</f>
        <v>1875</v>
      </c>
      <c r="N56" s="12">
        <f>IF(L56=0,0,SUMIFS('PSI Plan'!$N$6:$N$173,'PSI Plan'!$B$6:$B$173,B56,'PSI Plan'!$C$6:$C$173,I56))</f>
        <v>0</v>
      </c>
      <c r="O56" s="11">
        <f t="shared" si="0"/>
        <v>0</v>
      </c>
      <c r="P56" s="11">
        <f t="shared" si="1"/>
        <v>0</v>
      </c>
      <c r="Q56" s="6"/>
      <c r="R56" s="6"/>
      <c r="S56" s="6"/>
      <c r="T56" s="6"/>
    </row>
    <row r="57" spans="1:20">
      <c r="A57" s="6" t="s">
        <v>184</v>
      </c>
      <c r="B57" s="6" t="s">
        <v>72</v>
      </c>
      <c r="C57" s="6" t="s">
        <v>90</v>
      </c>
      <c r="D57" s="6" t="s">
        <v>119</v>
      </c>
      <c r="E57" s="6" t="s">
        <v>120</v>
      </c>
      <c r="F57" s="7">
        <v>100</v>
      </c>
      <c r="G57" s="7">
        <v>12500</v>
      </c>
      <c r="H57" s="16">
        <v>45279</v>
      </c>
      <c r="I57" s="6">
        <v>51</v>
      </c>
      <c r="J57" s="6" t="s">
        <v>121</v>
      </c>
      <c r="K57" s="6" t="s">
        <v>132</v>
      </c>
      <c r="L57" s="11">
        <f>F57*Controls!$B$6</f>
        <v>100</v>
      </c>
      <c r="M57" s="11">
        <f>G57*Controls!$B$6</f>
        <v>12500</v>
      </c>
      <c r="N57" s="12">
        <f>IF(L57=0,0,SUMIFS('PSI Plan'!$N$6:$N$173,'PSI Plan'!$B$6:$B$173,B57,'PSI Plan'!$C$6:$C$173,I57))</f>
        <v>0</v>
      </c>
      <c r="O57" s="11">
        <f t="shared" si="0"/>
        <v>0</v>
      </c>
      <c r="P57" s="11">
        <f t="shared" si="1"/>
        <v>0</v>
      </c>
      <c r="Q57" s="6"/>
      <c r="R57" s="6"/>
      <c r="S57" s="6"/>
      <c r="T57" s="6"/>
    </row>
    <row r="58" spans="1:20">
      <c r="A58" s="6" t="s">
        <v>185</v>
      </c>
      <c r="B58" s="6" t="s">
        <v>66</v>
      </c>
      <c r="C58" s="6" t="s">
        <v>90</v>
      </c>
      <c r="D58" s="6" t="s">
        <v>119</v>
      </c>
      <c r="E58" s="6" t="s">
        <v>120</v>
      </c>
      <c r="F58" s="7">
        <v>22</v>
      </c>
      <c r="G58" s="7">
        <v>2750</v>
      </c>
      <c r="H58" s="16">
        <v>45269</v>
      </c>
      <c r="I58" s="6">
        <v>49</v>
      </c>
      <c r="J58" s="6" t="s">
        <v>121</v>
      </c>
      <c r="K58" s="6" t="s">
        <v>135</v>
      </c>
      <c r="L58" s="11">
        <f>F58*Controls!$B$6</f>
        <v>22</v>
      </c>
      <c r="M58" s="11">
        <f>G58*Controls!$B$6</f>
        <v>2750</v>
      </c>
      <c r="N58" s="12">
        <f>IF(L58=0,0,SUMIFS('PSI Plan'!$N$6:$N$173,'PSI Plan'!$B$6:$B$173,B58,'PSI Plan'!$C$6:$C$173,I58))</f>
        <v>0</v>
      </c>
      <c r="O58" s="11">
        <f t="shared" si="0"/>
        <v>0</v>
      </c>
      <c r="P58" s="11">
        <f t="shared" si="1"/>
        <v>0</v>
      </c>
      <c r="Q58" s="6"/>
      <c r="R58" s="6"/>
      <c r="S58" s="6"/>
      <c r="T58" s="6"/>
    </row>
    <row r="59" spans="1:20">
      <c r="A59" s="6" t="s">
        <v>186</v>
      </c>
      <c r="B59" s="6" t="s">
        <v>69</v>
      </c>
      <c r="C59" s="6" t="s">
        <v>90</v>
      </c>
      <c r="D59" s="6" t="s">
        <v>119</v>
      </c>
      <c r="E59" s="6" t="s">
        <v>120</v>
      </c>
      <c r="F59" s="7">
        <v>21</v>
      </c>
      <c r="G59" s="7">
        <v>2625</v>
      </c>
      <c r="H59" s="16">
        <v>45290</v>
      </c>
      <c r="I59" s="6">
        <v>52</v>
      </c>
      <c r="J59" s="6" t="s">
        <v>121</v>
      </c>
      <c r="K59" s="6" t="s">
        <v>135</v>
      </c>
      <c r="L59" s="11">
        <f>F59*Controls!$B$6</f>
        <v>21</v>
      </c>
      <c r="M59" s="11">
        <f>G59*Controls!$B$6</f>
        <v>2625</v>
      </c>
      <c r="N59" s="12">
        <f>IF(L59=0,0,SUMIFS('PSI Plan'!$N$6:$N$173,'PSI Plan'!$B$6:$B$173,B59,'PSI Plan'!$C$6:$C$173,I59))</f>
        <v>0</v>
      </c>
      <c r="O59" s="11">
        <f t="shared" si="0"/>
        <v>0</v>
      </c>
      <c r="P59" s="11">
        <f t="shared" si="1"/>
        <v>0</v>
      </c>
      <c r="Q59" s="6"/>
      <c r="R59" s="6"/>
      <c r="S59" s="6"/>
      <c r="T59" s="6"/>
    </row>
    <row r="60" spans="1:20">
      <c r="A60" s="6" t="s">
        <v>187</v>
      </c>
      <c r="B60" s="6" t="s">
        <v>72</v>
      </c>
      <c r="C60" s="6" t="s">
        <v>90</v>
      </c>
      <c r="D60" s="6" t="s">
        <v>119</v>
      </c>
      <c r="E60" s="6" t="s">
        <v>120</v>
      </c>
      <c r="F60" s="7">
        <v>250</v>
      </c>
      <c r="G60" s="7">
        <v>31250</v>
      </c>
      <c r="H60" s="16">
        <v>45261</v>
      </c>
      <c r="I60" s="6">
        <v>48</v>
      </c>
      <c r="J60" s="6" t="s">
        <v>121</v>
      </c>
      <c r="K60" s="6" t="s">
        <v>135</v>
      </c>
      <c r="L60" s="11">
        <f>F60*Controls!$B$6</f>
        <v>250</v>
      </c>
      <c r="M60" s="11">
        <f>G60*Controls!$B$6</f>
        <v>31250</v>
      </c>
      <c r="N60" s="12">
        <f>IF(L60=0,0,SUMIFS('PSI Plan'!$N$6:$N$173,'PSI Plan'!$B$6:$B$173,B60,'PSI Plan'!$C$6:$C$173,I60))</f>
        <v>0</v>
      </c>
      <c r="O60" s="11">
        <f t="shared" si="0"/>
        <v>0</v>
      </c>
      <c r="P60" s="11">
        <f t="shared" si="1"/>
        <v>0</v>
      </c>
      <c r="Q60" s="6"/>
      <c r="R60" s="6"/>
      <c r="S60" s="6"/>
      <c r="T60" s="6"/>
    </row>
    <row r="61" spans="1:20">
      <c r="A61" s="6" t="s">
        <v>188</v>
      </c>
      <c r="B61" s="6" t="s">
        <v>72</v>
      </c>
      <c r="C61" s="6" t="s">
        <v>90</v>
      </c>
      <c r="D61" s="6" t="s">
        <v>119</v>
      </c>
      <c r="E61" s="6" t="s">
        <v>120</v>
      </c>
      <c r="F61" s="7">
        <v>60</v>
      </c>
      <c r="G61" s="7">
        <v>7500</v>
      </c>
      <c r="H61" s="16">
        <v>45223</v>
      </c>
      <c r="I61" s="6">
        <v>43</v>
      </c>
      <c r="J61" s="6" t="s">
        <v>121</v>
      </c>
      <c r="K61" s="6" t="s">
        <v>132</v>
      </c>
      <c r="L61" s="11">
        <f>F61*Controls!$B$6</f>
        <v>60</v>
      </c>
      <c r="M61" s="11">
        <f>G61*Controls!$B$6</f>
        <v>7500</v>
      </c>
      <c r="N61" s="12">
        <f>IF(L61=0,0,SUMIFS('PSI Plan'!$N$6:$N$173,'PSI Plan'!$B$6:$B$173,B61,'PSI Plan'!$C$6:$C$173,I61))</f>
        <v>0</v>
      </c>
      <c r="O61" s="11">
        <f t="shared" si="0"/>
        <v>0</v>
      </c>
      <c r="P61" s="11">
        <f t="shared" si="1"/>
        <v>0</v>
      </c>
      <c r="Q61" s="6"/>
      <c r="R61" s="6"/>
      <c r="S61" s="6"/>
      <c r="T61" s="6"/>
    </row>
    <row r="62" spans="1:20">
      <c r="A62" s="6" t="s">
        <v>189</v>
      </c>
      <c r="B62" s="6" t="s">
        <v>69</v>
      </c>
      <c r="C62" s="6" t="s">
        <v>90</v>
      </c>
      <c r="D62" s="6" t="s">
        <v>119</v>
      </c>
      <c r="E62" s="6" t="s">
        <v>120</v>
      </c>
      <c r="F62" s="7">
        <v>10</v>
      </c>
      <c r="G62" s="7">
        <v>1250</v>
      </c>
      <c r="H62" s="16">
        <v>45237</v>
      </c>
      <c r="I62" s="6">
        <v>45</v>
      </c>
      <c r="J62" s="6" t="s">
        <v>121</v>
      </c>
      <c r="K62" s="6" t="s">
        <v>132</v>
      </c>
      <c r="L62" s="11">
        <f>F62*Controls!$B$6</f>
        <v>10</v>
      </c>
      <c r="M62" s="11">
        <f>G62*Controls!$B$6</f>
        <v>1250</v>
      </c>
      <c r="N62" s="12">
        <f>IF(L62=0,0,SUMIFS('PSI Plan'!$N$6:$N$173,'PSI Plan'!$B$6:$B$173,B62,'PSI Plan'!$C$6:$C$173,I62))</f>
        <v>0</v>
      </c>
      <c r="O62" s="11">
        <f t="shared" si="0"/>
        <v>0</v>
      </c>
      <c r="P62" s="11">
        <f t="shared" si="1"/>
        <v>0</v>
      </c>
      <c r="Q62" s="6"/>
      <c r="R62" s="6"/>
      <c r="S62" s="6"/>
      <c r="T62" s="6"/>
    </row>
    <row r="63" spans="1:20">
      <c r="A63" s="6" t="s">
        <v>190</v>
      </c>
      <c r="B63" s="6" t="s">
        <v>72</v>
      </c>
      <c r="C63" s="6" t="s">
        <v>90</v>
      </c>
      <c r="D63" s="6" t="s">
        <v>119</v>
      </c>
      <c r="E63" s="6" t="s">
        <v>120</v>
      </c>
      <c r="F63" s="7">
        <v>140</v>
      </c>
      <c r="G63" s="7">
        <v>17500</v>
      </c>
      <c r="H63" s="16">
        <v>45202</v>
      </c>
      <c r="I63" s="6">
        <v>40</v>
      </c>
      <c r="J63" s="6" t="s">
        <v>121</v>
      </c>
      <c r="K63" s="6" t="s">
        <v>135</v>
      </c>
      <c r="L63" s="11">
        <f>F63*Controls!$B$6</f>
        <v>140</v>
      </c>
      <c r="M63" s="11">
        <f>G63*Controls!$B$6</f>
        <v>17500</v>
      </c>
      <c r="N63" s="12">
        <f>IF(L63=0,0,SUMIFS('PSI Plan'!$N$6:$N$173,'PSI Plan'!$B$6:$B$173,B63,'PSI Plan'!$C$6:$C$173,I63))</f>
        <v>0</v>
      </c>
      <c r="O63" s="11">
        <f t="shared" si="0"/>
        <v>0</v>
      </c>
      <c r="P63" s="11">
        <f t="shared" si="1"/>
        <v>0</v>
      </c>
      <c r="Q63" s="6"/>
      <c r="R63" s="6"/>
      <c r="S63" s="6"/>
      <c r="T63" s="6"/>
    </row>
    <row r="64" spans="1:20">
      <c r="A64" s="6" t="s">
        <v>191</v>
      </c>
      <c r="B64" s="6" t="s">
        <v>69</v>
      </c>
      <c r="C64" s="6" t="s">
        <v>90</v>
      </c>
      <c r="D64" s="6" t="s">
        <v>119</v>
      </c>
      <c r="E64" s="6" t="s">
        <v>120</v>
      </c>
      <c r="F64" s="7">
        <v>17</v>
      </c>
      <c r="G64" s="7">
        <v>2125</v>
      </c>
      <c r="H64" s="16">
        <v>45224</v>
      </c>
      <c r="I64" s="6">
        <v>43</v>
      </c>
      <c r="J64" s="6" t="s">
        <v>121</v>
      </c>
      <c r="K64" s="6" t="s">
        <v>135</v>
      </c>
      <c r="L64" s="11">
        <f>F64*Controls!$B$6</f>
        <v>17</v>
      </c>
      <c r="M64" s="11">
        <f>G64*Controls!$B$6</f>
        <v>2125</v>
      </c>
      <c r="N64" s="12">
        <f>IF(L64=0,0,SUMIFS('PSI Plan'!$N$6:$N$173,'PSI Plan'!$B$6:$B$173,B64,'PSI Plan'!$C$6:$C$173,I64))</f>
        <v>0</v>
      </c>
      <c r="O64" s="11">
        <f t="shared" si="0"/>
        <v>0</v>
      </c>
      <c r="P64" s="11">
        <f t="shared" si="1"/>
        <v>0</v>
      </c>
      <c r="Q64" s="6"/>
      <c r="R64" s="6"/>
      <c r="S64" s="6"/>
      <c r="T64" s="6"/>
    </row>
    <row r="65" spans="1:20">
      <c r="A65" s="6" t="s">
        <v>192</v>
      </c>
      <c r="B65" s="6" t="s">
        <v>66</v>
      </c>
      <c r="C65" s="6" t="s">
        <v>90</v>
      </c>
      <c r="D65" s="6" t="s">
        <v>119</v>
      </c>
      <c r="E65" s="6" t="s">
        <v>120</v>
      </c>
      <c r="F65" s="7">
        <v>40</v>
      </c>
      <c r="G65" s="7">
        <v>5000</v>
      </c>
      <c r="H65" s="16">
        <v>45223</v>
      </c>
      <c r="I65" s="6">
        <v>43</v>
      </c>
      <c r="J65" s="6" t="s">
        <v>121</v>
      </c>
      <c r="K65" s="6" t="s">
        <v>135</v>
      </c>
      <c r="L65" s="11">
        <f>F65*Controls!$B$6</f>
        <v>40</v>
      </c>
      <c r="M65" s="11">
        <f>G65*Controls!$B$6</f>
        <v>5000</v>
      </c>
      <c r="N65" s="12">
        <f>IF(L65=0,0,SUMIFS('PSI Plan'!$N$6:$N$173,'PSI Plan'!$B$6:$B$173,B65,'PSI Plan'!$C$6:$C$173,I65))</f>
        <v>0</v>
      </c>
      <c r="O65" s="11">
        <f t="shared" si="0"/>
        <v>0</v>
      </c>
      <c r="P65" s="11">
        <f t="shared" si="1"/>
        <v>0</v>
      </c>
      <c r="Q65" s="6"/>
      <c r="R65" s="6"/>
      <c r="S65" s="6"/>
      <c r="T65" s="6"/>
    </row>
    <row r="66" spans="1:20">
      <c r="A66" s="6" t="s">
        <v>193</v>
      </c>
      <c r="B66" s="6" t="s">
        <v>72</v>
      </c>
      <c r="C66" s="6" t="s">
        <v>90</v>
      </c>
      <c r="D66" s="6" t="s">
        <v>119</v>
      </c>
      <c r="E66" s="6" t="s">
        <v>120</v>
      </c>
      <c r="F66" s="7">
        <v>52</v>
      </c>
      <c r="G66" s="7">
        <v>6500</v>
      </c>
      <c r="H66" s="16">
        <v>45282</v>
      </c>
      <c r="I66" s="6">
        <v>51</v>
      </c>
      <c r="J66" s="6" t="s">
        <v>121</v>
      </c>
      <c r="K66" s="6" t="s">
        <v>122</v>
      </c>
      <c r="L66" s="11">
        <f>F66*Controls!$B$6</f>
        <v>52</v>
      </c>
      <c r="M66" s="11">
        <f>G66*Controls!$B$6</f>
        <v>6500</v>
      </c>
      <c r="N66" s="12">
        <f>IF(L66=0,0,SUMIFS('PSI Plan'!$N$6:$N$173,'PSI Plan'!$B$6:$B$173,B66,'PSI Plan'!$C$6:$C$173,I66))</f>
        <v>0</v>
      </c>
      <c r="O66" s="11">
        <f t="shared" ref="O66:O129" si="2">L66*N66</f>
        <v>0</v>
      </c>
      <c r="P66" s="11">
        <f t="shared" ref="P66:P129" si="3">M66*N66</f>
        <v>0</v>
      </c>
      <c r="Q66" s="6"/>
      <c r="R66" s="6"/>
      <c r="S66" s="6"/>
      <c r="T66" s="6"/>
    </row>
    <row r="67" spans="1:20">
      <c r="A67" s="6" t="s">
        <v>194</v>
      </c>
      <c r="B67" s="6" t="s">
        <v>72</v>
      </c>
      <c r="C67" s="6" t="s">
        <v>90</v>
      </c>
      <c r="D67" s="6" t="s">
        <v>119</v>
      </c>
      <c r="E67" s="6" t="s">
        <v>120</v>
      </c>
      <c r="F67" s="7">
        <v>90</v>
      </c>
      <c r="G67" s="7">
        <v>11250</v>
      </c>
      <c r="H67" s="16">
        <v>45267</v>
      </c>
      <c r="I67" s="6">
        <v>49</v>
      </c>
      <c r="J67" s="6" t="s">
        <v>121</v>
      </c>
      <c r="K67" s="6" t="s">
        <v>132</v>
      </c>
      <c r="L67" s="11">
        <f>F67*Controls!$B$6</f>
        <v>90</v>
      </c>
      <c r="M67" s="11">
        <f>G67*Controls!$B$6</f>
        <v>11250</v>
      </c>
      <c r="N67" s="12">
        <f>IF(L67=0,0,SUMIFS('PSI Plan'!$N$6:$N$173,'PSI Plan'!$B$6:$B$173,B67,'PSI Plan'!$C$6:$C$173,I67))</f>
        <v>0</v>
      </c>
      <c r="O67" s="11">
        <f t="shared" si="2"/>
        <v>0</v>
      </c>
      <c r="P67" s="11">
        <f t="shared" si="3"/>
        <v>0</v>
      </c>
      <c r="Q67" s="6"/>
      <c r="R67" s="6"/>
      <c r="S67" s="6"/>
      <c r="T67" s="6"/>
    </row>
    <row r="68" spans="1:20">
      <c r="A68" s="6" t="s">
        <v>195</v>
      </c>
      <c r="B68" s="6" t="s">
        <v>69</v>
      </c>
      <c r="C68" s="6" t="s">
        <v>90</v>
      </c>
      <c r="D68" s="6" t="s">
        <v>119</v>
      </c>
      <c r="E68" s="6" t="s">
        <v>120</v>
      </c>
      <c r="F68" s="7">
        <v>12</v>
      </c>
      <c r="G68" s="7">
        <v>1500</v>
      </c>
      <c r="H68" s="16">
        <v>45208</v>
      </c>
      <c r="I68" s="6">
        <v>41</v>
      </c>
      <c r="J68" s="6" t="s">
        <v>121</v>
      </c>
      <c r="K68" s="6" t="s">
        <v>132</v>
      </c>
      <c r="L68" s="11">
        <f>F68*Controls!$B$6</f>
        <v>12</v>
      </c>
      <c r="M68" s="11">
        <f>G68*Controls!$B$6</f>
        <v>1500</v>
      </c>
      <c r="N68" s="12">
        <f>IF(L68=0,0,SUMIFS('PSI Plan'!$N$6:$N$173,'PSI Plan'!$B$6:$B$173,B68,'PSI Plan'!$C$6:$C$173,I68))</f>
        <v>0</v>
      </c>
      <c r="O68" s="11">
        <f t="shared" si="2"/>
        <v>0</v>
      </c>
      <c r="P68" s="11">
        <f t="shared" si="3"/>
        <v>0</v>
      </c>
      <c r="Q68" s="6"/>
      <c r="R68" s="6"/>
      <c r="S68" s="6"/>
      <c r="T68" s="6"/>
    </row>
    <row r="69" spans="1:20">
      <c r="A69" s="6" t="s">
        <v>196</v>
      </c>
      <c r="B69" s="6" t="s">
        <v>69</v>
      </c>
      <c r="C69" s="6" t="s">
        <v>90</v>
      </c>
      <c r="D69" s="6" t="s">
        <v>119</v>
      </c>
      <c r="E69" s="6" t="s">
        <v>120</v>
      </c>
      <c r="F69" s="7">
        <v>10</v>
      </c>
      <c r="G69" s="7">
        <v>1250</v>
      </c>
      <c r="H69" s="16">
        <v>45288</v>
      </c>
      <c r="I69" s="6">
        <v>52</v>
      </c>
      <c r="J69" s="6" t="s">
        <v>121</v>
      </c>
      <c r="K69" s="6" t="s">
        <v>135</v>
      </c>
      <c r="L69" s="11">
        <f>F69*Controls!$B$6</f>
        <v>10</v>
      </c>
      <c r="M69" s="11">
        <f>G69*Controls!$B$6</f>
        <v>1250</v>
      </c>
      <c r="N69" s="12">
        <f>IF(L69=0,0,SUMIFS('PSI Plan'!$N$6:$N$173,'PSI Plan'!$B$6:$B$173,B69,'PSI Plan'!$C$6:$C$173,I69))</f>
        <v>0</v>
      </c>
      <c r="O69" s="11">
        <f t="shared" si="2"/>
        <v>0</v>
      </c>
      <c r="P69" s="11">
        <f t="shared" si="3"/>
        <v>0</v>
      </c>
      <c r="Q69" s="6"/>
      <c r="R69" s="6"/>
      <c r="S69" s="6"/>
      <c r="T69" s="6"/>
    </row>
    <row r="70" spans="1:20">
      <c r="A70" s="6" t="s">
        <v>197</v>
      </c>
      <c r="B70" s="6" t="s">
        <v>77</v>
      </c>
      <c r="C70" s="6" t="s">
        <v>90</v>
      </c>
      <c r="D70" s="6" t="s">
        <v>119</v>
      </c>
      <c r="E70" s="6" t="s">
        <v>120</v>
      </c>
      <c r="F70" s="7">
        <v>22</v>
      </c>
      <c r="G70" s="7">
        <v>2750</v>
      </c>
      <c r="H70" s="16">
        <v>45277</v>
      </c>
      <c r="I70" s="6">
        <v>51</v>
      </c>
      <c r="J70" s="6" t="s">
        <v>121</v>
      </c>
      <c r="K70" s="6" t="s">
        <v>135</v>
      </c>
      <c r="L70" s="11">
        <f>F70*Controls!$B$6</f>
        <v>22</v>
      </c>
      <c r="M70" s="11">
        <f>G70*Controls!$B$6</f>
        <v>2750</v>
      </c>
      <c r="N70" s="12">
        <f>IF(L70=0,0,SUMIFS('PSI Plan'!$N$6:$N$173,'PSI Plan'!$B$6:$B$173,B70,'PSI Plan'!$C$6:$C$173,I70))</f>
        <v>0</v>
      </c>
      <c r="O70" s="11">
        <f t="shared" si="2"/>
        <v>0</v>
      </c>
      <c r="P70" s="11">
        <f t="shared" si="3"/>
        <v>0</v>
      </c>
      <c r="Q70" s="6"/>
      <c r="R70" s="6"/>
      <c r="S70" s="6"/>
      <c r="T70" s="6"/>
    </row>
    <row r="71" spans="1:20">
      <c r="A71" s="6" t="s">
        <v>198</v>
      </c>
      <c r="B71" s="6" t="s">
        <v>66</v>
      </c>
      <c r="C71" s="6" t="s">
        <v>90</v>
      </c>
      <c r="D71" s="6" t="s">
        <v>119</v>
      </c>
      <c r="E71" s="6" t="s">
        <v>120</v>
      </c>
      <c r="F71" s="7">
        <v>17</v>
      </c>
      <c r="G71" s="7">
        <v>2125</v>
      </c>
      <c r="H71" s="16">
        <v>45273</v>
      </c>
      <c r="I71" s="6">
        <v>50</v>
      </c>
      <c r="J71" s="6" t="s">
        <v>121</v>
      </c>
      <c r="K71" s="6" t="s">
        <v>135</v>
      </c>
      <c r="L71" s="11">
        <f>F71*Controls!$B$6</f>
        <v>17</v>
      </c>
      <c r="M71" s="11">
        <f>G71*Controls!$B$6</f>
        <v>2125</v>
      </c>
      <c r="N71" s="12">
        <f>IF(L71=0,0,SUMIFS('PSI Plan'!$N$6:$N$173,'PSI Plan'!$B$6:$B$173,B71,'PSI Plan'!$C$6:$C$173,I71))</f>
        <v>0</v>
      </c>
      <c r="O71" s="11">
        <f t="shared" si="2"/>
        <v>0</v>
      </c>
      <c r="P71" s="11">
        <f t="shared" si="3"/>
        <v>0</v>
      </c>
      <c r="Q71" s="6"/>
      <c r="R71" s="6"/>
      <c r="S71" s="6"/>
      <c r="T71" s="6"/>
    </row>
    <row r="72" spans="1:20">
      <c r="A72" s="6" t="s">
        <v>199</v>
      </c>
      <c r="B72" s="6" t="s">
        <v>77</v>
      </c>
      <c r="C72" s="6" t="s">
        <v>90</v>
      </c>
      <c r="D72" s="6" t="s">
        <v>119</v>
      </c>
      <c r="E72" s="6" t="s">
        <v>120</v>
      </c>
      <c r="F72" s="7">
        <v>3</v>
      </c>
      <c r="G72" s="7">
        <v>375</v>
      </c>
      <c r="H72" s="16">
        <v>45211</v>
      </c>
      <c r="I72" s="6">
        <v>41</v>
      </c>
      <c r="J72" s="6" t="s">
        <v>121</v>
      </c>
      <c r="K72" s="6" t="s">
        <v>125</v>
      </c>
      <c r="L72" s="11">
        <f>F72*Controls!$B$6</f>
        <v>3</v>
      </c>
      <c r="M72" s="11">
        <f>G72*Controls!$B$6</f>
        <v>375</v>
      </c>
      <c r="N72" s="12">
        <f>IF(L72=0,0,SUMIFS('PSI Plan'!$N$6:$N$173,'PSI Plan'!$B$6:$B$173,B72,'PSI Plan'!$C$6:$C$173,I72))</f>
        <v>0</v>
      </c>
      <c r="O72" s="11">
        <f t="shared" si="2"/>
        <v>0</v>
      </c>
      <c r="P72" s="11">
        <f t="shared" si="3"/>
        <v>0</v>
      </c>
      <c r="Q72" s="6"/>
      <c r="R72" s="6"/>
      <c r="S72" s="6"/>
      <c r="T72" s="6"/>
    </row>
    <row r="73" spans="1:20">
      <c r="A73" s="6" t="s">
        <v>200</v>
      </c>
      <c r="B73" s="6" t="s">
        <v>69</v>
      </c>
      <c r="C73" s="6" t="s">
        <v>90</v>
      </c>
      <c r="D73" s="6" t="s">
        <v>119</v>
      </c>
      <c r="E73" s="6" t="s">
        <v>120</v>
      </c>
      <c r="F73" s="7">
        <v>18</v>
      </c>
      <c r="G73" s="7">
        <v>2250</v>
      </c>
      <c r="H73" s="16">
        <v>45208</v>
      </c>
      <c r="I73" s="6">
        <v>41</v>
      </c>
      <c r="J73" s="6" t="s">
        <v>121</v>
      </c>
      <c r="K73" s="6" t="s">
        <v>125</v>
      </c>
      <c r="L73" s="11">
        <f>F73*Controls!$B$6</f>
        <v>18</v>
      </c>
      <c r="M73" s="11">
        <f>G73*Controls!$B$6</f>
        <v>2250</v>
      </c>
      <c r="N73" s="12">
        <f>IF(L73=0,0,SUMIFS('PSI Plan'!$N$6:$N$173,'PSI Plan'!$B$6:$B$173,B73,'PSI Plan'!$C$6:$C$173,I73))</f>
        <v>0</v>
      </c>
      <c r="O73" s="11">
        <f t="shared" si="2"/>
        <v>0</v>
      </c>
      <c r="P73" s="11">
        <f t="shared" si="3"/>
        <v>0</v>
      </c>
      <c r="Q73" s="6"/>
      <c r="R73" s="6"/>
      <c r="S73" s="6"/>
      <c r="T73" s="6"/>
    </row>
    <row r="74" spans="1:20">
      <c r="A74" s="6" t="s">
        <v>201</v>
      </c>
      <c r="B74" s="6" t="s">
        <v>71</v>
      </c>
      <c r="C74" s="6" t="s">
        <v>90</v>
      </c>
      <c r="D74" s="6" t="s">
        <v>119</v>
      </c>
      <c r="E74" s="6" t="s">
        <v>120</v>
      </c>
      <c r="F74" s="7">
        <v>70</v>
      </c>
      <c r="G74" s="7">
        <v>8750</v>
      </c>
      <c r="H74" s="16">
        <v>45261</v>
      </c>
      <c r="I74" s="6">
        <v>48</v>
      </c>
      <c r="J74" s="6" t="s">
        <v>121</v>
      </c>
      <c r="K74" s="6" t="s">
        <v>125</v>
      </c>
      <c r="L74" s="11">
        <f>F74*Controls!$B$6</f>
        <v>70</v>
      </c>
      <c r="M74" s="11">
        <f>G74*Controls!$B$6</f>
        <v>8750</v>
      </c>
      <c r="N74" s="12">
        <f>IF(L74=0,0,SUMIFS('PSI Plan'!$N$6:$N$173,'PSI Plan'!$B$6:$B$173,B74,'PSI Plan'!$C$6:$C$173,I74))</f>
        <v>0</v>
      </c>
      <c r="O74" s="11">
        <f t="shared" si="2"/>
        <v>0</v>
      </c>
      <c r="P74" s="11">
        <f t="shared" si="3"/>
        <v>0</v>
      </c>
      <c r="Q74" s="6"/>
      <c r="R74" s="6"/>
      <c r="S74" s="6"/>
      <c r="T74" s="6"/>
    </row>
    <row r="75" spans="1:20">
      <c r="A75" s="6" t="s">
        <v>202</v>
      </c>
      <c r="B75" s="6" t="s">
        <v>66</v>
      </c>
      <c r="C75" s="6" t="s">
        <v>90</v>
      </c>
      <c r="D75" s="6" t="s">
        <v>119</v>
      </c>
      <c r="E75" s="6" t="s">
        <v>120</v>
      </c>
      <c r="F75" s="7">
        <v>52</v>
      </c>
      <c r="G75" s="7">
        <v>6500</v>
      </c>
      <c r="H75" s="16">
        <v>45223</v>
      </c>
      <c r="I75" s="6">
        <v>43</v>
      </c>
      <c r="J75" s="6" t="s">
        <v>121</v>
      </c>
      <c r="K75" s="6" t="s">
        <v>122</v>
      </c>
      <c r="L75" s="11">
        <f>F75*Controls!$B$6</f>
        <v>52</v>
      </c>
      <c r="M75" s="11">
        <f>G75*Controls!$B$6</f>
        <v>6500</v>
      </c>
      <c r="N75" s="12">
        <f>IF(L75=0,0,SUMIFS('PSI Plan'!$N$6:$N$173,'PSI Plan'!$B$6:$B$173,B75,'PSI Plan'!$C$6:$C$173,I75))</f>
        <v>0</v>
      </c>
      <c r="O75" s="11">
        <f t="shared" si="2"/>
        <v>0</v>
      </c>
      <c r="P75" s="11">
        <f t="shared" si="3"/>
        <v>0</v>
      </c>
      <c r="Q75" s="6"/>
      <c r="R75" s="6"/>
      <c r="S75" s="6"/>
      <c r="T75" s="6"/>
    </row>
    <row r="76" spans="1:20">
      <c r="A76" s="6" t="s">
        <v>203</v>
      </c>
      <c r="B76" s="6" t="s">
        <v>69</v>
      </c>
      <c r="C76" s="6" t="s">
        <v>90</v>
      </c>
      <c r="D76" s="6" t="s">
        <v>119</v>
      </c>
      <c r="E76" s="6" t="s">
        <v>120</v>
      </c>
      <c r="F76" s="7">
        <v>52</v>
      </c>
      <c r="G76" s="7">
        <v>6500</v>
      </c>
      <c r="H76" s="16">
        <v>45259</v>
      </c>
      <c r="I76" s="6">
        <v>48</v>
      </c>
      <c r="J76" s="6" t="s">
        <v>121</v>
      </c>
      <c r="K76" s="6" t="s">
        <v>122</v>
      </c>
      <c r="L76" s="11">
        <f>F76*Controls!$B$6</f>
        <v>52</v>
      </c>
      <c r="M76" s="11">
        <f>G76*Controls!$B$6</f>
        <v>6500</v>
      </c>
      <c r="N76" s="12">
        <f>IF(L76=0,0,SUMIFS('PSI Plan'!$N$6:$N$173,'PSI Plan'!$B$6:$B$173,B76,'PSI Plan'!$C$6:$C$173,I76))</f>
        <v>0</v>
      </c>
      <c r="O76" s="11">
        <f t="shared" si="2"/>
        <v>0</v>
      </c>
      <c r="P76" s="11">
        <f t="shared" si="3"/>
        <v>0</v>
      </c>
      <c r="Q76" s="6"/>
      <c r="R76" s="6"/>
      <c r="S76" s="6"/>
      <c r="T76" s="6"/>
    </row>
    <row r="77" spans="1:20">
      <c r="A77" s="6" t="s">
        <v>204</v>
      </c>
      <c r="B77" s="6" t="s">
        <v>66</v>
      </c>
      <c r="C77" s="6" t="s">
        <v>90</v>
      </c>
      <c r="D77" s="6" t="s">
        <v>119</v>
      </c>
      <c r="E77" s="6" t="s">
        <v>120</v>
      </c>
      <c r="F77" s="7">
        <v>4</v>
      </c>
      <c r="G77" s="7">
        <v>500</v>
      </c>
      <c r="H77" s="16">
        <v>45267</v>
      </c>
      <c r="I77" s="6">
        <v>49</v>
      </c>
      <c r="J77" s="6" t="s">
        <v>121</v>
      </c>
      <c r="K77" s="6" t="s">
        <v>139</v>
      </c>
      <c r="L77" s="11">
        <f>F77*Controls!$B$6</f>
        <v>4</v>
      </c>
      <c r="M77" s="11">
        <f>G77*Controls!$B$6</f>
        <v>500</v>
      </c>
      <c r="N77" s="12">
        <f>IF(L77=0,0,SUMIFS('PSI Plan'!$N$6:$N$173,'PSI Plan'!$B$6:$B$173,B77,'PSI Plan'!$C$6:$C$173,I77))</f>
        <v>0</v>
      </c>
      <c r="O77" s="11">
        <f t="shared" si="2"/>
        <v>0</v>
      </c>
      <c r="P77" s="11">
        <f t="shared" si="3"/>
        <v>0</v>
      </c>
      <c r="Q77" s="6"/>
      <c r="R77" s="6"/>
      <c r="S77" s="6"/>
      <c r="T77" s="6"/>
    </row>
    <row r="78" spans="1:20">
      <c r="A78" s="6" t="s">
        <v>205</v>
      </c>
      <c r="B78" s="6" t="s">
        <v>69</v>
      </c>
      <c r="C78" s="6" t="s">
        <v>90</v>
      </c>
      <c r="D78" s="6" t="s">
        <v>119</v>
      </c>
      <c r="E78" s="6" t="s">
        <v>120</v>
      </c>
      <c r="F78" s="7">
        <v>6</v>
      </c>
      <c r="G78" s="7">
        <v>750</v>
      </c>
      <c r="H78" s="16">
        <v>45253</v>
      </c>
      <c r="I78" s="6">
        <v>47</v>
      </c>
      <c r="J78" s="6" t="s">
        <v>121</v>
      </c>
      <c r="K78" s="6" t="s">
        <v>139</v>
      </c>
      <c r="L78" s="11">
        <f>F78*Controls!$B$6</f>
        <v>6</v>
      </c>
      <c r="M78" s="11">
        <f>G78*Controls!$B$6</f>
        <v>750</v>
      </c>
      <c r="N78" s="12">
        <f>IF(L78=0,0,SUMIFS('PSI Plan'!$N$6:$N$173,'PSI Plan'!$B$6:$B$173,B78,'PSI Plan'!$C$6:$C$173,I78))</f>
        <v>0</v>
      </c>
      <c r="O78" s="11">
        <f t="shared" si="2"/>
        <v>0</v>
      </c>
      <c r="P78" s="11">
        <f t="shared" si="3"/>
        <v>0</v>
      </c>
      <c r="Q78" s="6"/>
      <c r="R78" s="6"/>
      <c r="S78" s="6"/>
      <c r="T78" s="6"/>
    </row>
    <row r="79" spans="1:20">
      <c r="A79" s="6" t="s">
        <v>206</v>
      </c>
      <c r="B79" s="6" t="s">
        <v>71</v>
      </c>
      <c r="C79" s="6" t="s">
        <v>90</v>
      </c>
      <c r="D79" s="6" t="s">
        <v>119</v>
      </c>
      <c r="E79" s="6" t="s">
        <v>120</v>
      </c>
      <c r="F79" s="7">
        <v>55</v>
      </c>
      <c r="G79" s="7">
        <v>6875</v>
      </c>
      <c r="H79" s="16">
        <v>45277</v>
      </c>
      <c r="I79" s="6">
        <v>51</v>
      </c>
      <c r="J79" s="6" t="s">
        <v>121</v>
      </c>
      <c r="K79" s="6" t="s">
        <v>169</v>
      </c>
      <c r="L79" s="11">
        <f>F79*Controls!$B$6</f>
        <v>55</v>
      </c>
      <c r="M79" s="11">
        <f>G79*Controls!$B$6</f>
        <v>6875</v>
      </c>
      <c r="N79" s="12">
        <f>IF(L79=0,0,SUMIFS('PSI Plan'!$N$6:$N$173,'PSI Plan'!$B$6:$B$173,B79,'PSI Plan'!$C$6:$C$173,I79))</f>
        <v>0</v>
      </c>
      <c r="O79" s="11">
        <f t="shared" si="2"/>
        <v>0</v>
      </c>
      <c r="P79" s="11">
        <f t="shared" si="3"/>
        <v>0</v>
      </c>
      <c r="Q79" s="6"/>
      <c r="R79" s="6"/>
      <c r="S79" s="6"/>
      <c r="T79" s="6"/>
    </row>
    <row r="80" spans="1:20">
      <c r="A80" s="6" t="s">
        <v>207</v>
      </c>
      <c r="B80" s="6" t="s">
        <v>69</v>
      </c>
      <c r="C80" s="6" t="s">
        <v>90</v>
      </c>
      <c r="D80" s="6" t="s">
        <v>119</v>
      </c>
      <c r="E80" s="6" t="s">
        <v>120</v>
      </c>
      <c r="F80" s="7">
        <v>2</v>
      </c>
      <c r="G80" s="7">
        <v>250</v>
      </c>
      <c r="H80" s="16">
        <v>45238</v>
      </c>
      <c r="I80" s="6">
        <v>45</v>
      </c>
      <c r="J80" s="6" t="s">
        <v>121</v>
      </c>
      <c r="K80" s="6" t="s">
        <v>169</v>
      </c>
      <c r="L80" s="11">
        <f>F80*Controls!$B$6</f>
        <v>2</v>
      </c>
      <c r="M80" s="11">
        <f>G80*Controls!$B$6</f>
        <v>250</v>
      </c>
      <c r="N80" s="12">
        <f>IF(L80=0,0,SUMIFS('PSI Plan'!$N$6:$N$173,'PSI Plan'!$B$6:$B$173,B80,'PSI Plan'!$C$6:$C$173,I80))</f>
        <v>0</v>
      </c>
      <c r="O80" s="11">
        <f t="shared" si="2"/>
        <v>0</v>
      </c>
      <c r="P80" s="11">
        <f t="shared" si="3"/>
        <v>0</v>
      </c>
      <c r="Q80" s="6"/>
      <c r="R80" s="6"/>
      <c r="S80" s="6"/>
      <c r="T80" s="6"/>
    </row>
    <row r="81" spans="1:20">
      <c r="A81" s="6" t="s">
        <v>208</v>
      </c>
      <c r="B81" s="6" t="s">
        <v>77</v>
      </c>
      <c r="C81" s="6" t="s">
        <v>90</v>
      </c>
      <c r="D81" s="6" t="s">
        <v>119</v>
      </c>
      <c r="E81" s="6" t="s">
        <v>120</v>
      </c>
      <c r="F81" s="7">
        <v>3</v>
      </c>
      <c r="G81" s="7">
        <v>375</v>
      </c>
      <c r="H81" s="16">
        <v>45235</v>
      </c>
      <c r="I81" s="6">
        <v>45</v>
      </c>
      <c r="J81" s="6" t="s">
        <v>121</v>
      </c>
      <c r="K81" s="6" t="s">
        <v>169</v>
      </c>
      <c r="L81" s="11">
        <f>F81*Controls!$B$6</f>
        <v>3</v>
      </c>
      <c r="M81" s="11">
        <f>G81*Controls!$B$6</f>
        <v>375</v>
      </c>
      <c r="N81" s="12">
        <f>IF(L81=0,0,SUMIFS('PSI Plan'!$N$6:$N$173,'PSI Plan'!$B$6:$B$173,B81,'PSI Plan'!$C$6:$C$173,I81))</f>
        <v>0</v>
      </c>
      <c r="O81" s="11">
        <f t="shared" si="2"/>
        <v>0</v>
      </c>
      <c r="P81" s="11">
        <f t="shared" si="3"/>
        <v>0</v>
      </c>
      <c r="Q81" s="6"/>
      <c r="R81" s="6"/>
      <c r="S81" s="6"/>
      <c r="T81" s="6"/>
    </row>
    <row r="82" spans="1:20">
      <c r="A82" s="6" t="s">
        <v>209</v>
      </c>
      <c r="B82" s="6" t="s">
        <v>71</v>
      </c>
      <c r="C82" s="6" t="s">
        <v>90</v>
      </c>
      <c r="D82" s="6" t="s">
        <v>119</v>
      </c>
      <c r="E82" s="6" t="s">
        <v>120</v>
      </c>
      <c r="F82" s="7">
        <v>33</v>
      </c>
      <c r="G82" s="7">
        <v>4125</v>
      </c>
      <c r="H82" s="16">
        <v>45250</v>
      </c>
      <c r="I82" s="6">
        <v>47</v>
      </c>
      <c r="J82" s="6" t="s">
        <v>121</v>
      </c>
      <c r="K82" s="6" t="s">
        <v>150</v>
      </c>
      <c r="L82" s="11">
        <f>F82*Controls!$B$6</f>
        <v>33</v>
      </c>
      <c r="M82" s="11">
        <f>G82*Controls!$B$6</f>
        <v>4125</v>
      </c>
      <c r="N82" s="12">
        <f>IF(L82=0,0,SUMIFS('PSI Plan'!$N$6:$N$173,'PSI Plan'!$B$6:$B$173,B82,'PSI Plan'!$C$6:$C$173,I82))</f>
        <v>0</v>
      </c>
      <c r="O82" s="11">
        <f t="shared" si="2"/>
        <v>0</v>
      </c>
      <c r="P82" s="11">
        <f t="shared" si="3"/>
        <v>0</v>
      </c>
      <c r="Q82" s="6"/>
      <c r="R82" s="6"/>
      <c r="S82" s="6"/>
      <c r="T82" s="6"/>
    </row>
    <row r="83" spans="1:20">
      <c r="A83" s="6" t="s">
        <v>210</v>
      </c>
      <c r="B83" s="6" t="s">
        <v>77</v>
      </c>
      <c r="C83" s="6" t="s">
        <v>90</v>
      </c>
      <c r="D83" s="6" t="s">
        <v>119</v>
      </c>
      <c r="E83" s="6" t="s">
        <v>120</v>
      </c>
      <c r="F83" s="7">
        <v>11</v>
      </c>
      <c r="G83" s="7">
        <v>1375</v>
      </c>
      <c r="H83" s="16">
        <v>45232</v>
      </c>
      <c r="I83" s="6">
        <v>44</v>
      </c>
      <c r="J83" s="6" t="s">
        <v>121</v>
      </c>
      <c r="K83" s="6" t="s">
        <v>132</v>
      </c>
      <c r="L83" s="11">
        <f>F83*Controls!$B$6</f>
        <v>11</v>
      </c>
      <c r="M83" s="11">
        <f>G83*Controls!$B$6</f>
        <v>1375</v>
      </c>
      <c r="N83" s="12">
        <f>IF(L83=0,0,SUMIFS('PSI Plan'!$N$6:$N$173,'PSI Plan'!$B$6:$B$173,B83,'PSI Plan'!$C$6:$C$173,I83))</f>
        <v>0</v>
      </c>
      <c r="O83" s="11">
        <f t="shared" si="2"/>
        <v>0</v>
      </c>
      <c r="P83" s="11">
        <f t="shared" si="3"/>
        <v>0</v>
      </c>
      <c r="Q83" s="6"/>
      <c r="R83" s="6"/>
      <c r="S83" s="6"/>
      <c r="T83" s="6"/>
    </row>
    <row r="84" spans="1:20">
      <c r="A84" s="6" t="s">
        <v>211</v>
      </c>
      <c r="B84" s="6" t="s">
        <v>69</v>
      </c>
      <c r="C84" s="6" t="s">
        <v>90</v>
      </c>
      <c r="D84" s="6" t="s">
        <v>119</v>
      </c>
      <c r="E84" s="6" t="s">
        <v>120</v>
      </c>
      <c r="F84" s="7">
        <v>52</v>
      </c>
      <c r="G84" s="7">
        <v>6500</v>
      </c>
      <c r="H84" s="16">
        <v>45250</v>
      </c>
      <c r="I84" s="6">
        <v>47</v>
      </c>
      <c r="J84" s="6" t="s">
        <v>121</v>
      </c>
      <c r="K84" s="6" t="s">
        <v>122</v>
      </c>
      <c r="L84" s="11">
        <f>F84*Controls!$B$6</f>
        <v>52</v>
      </c>
      <c r="M84" s="11">
        <f>G84*Controls!$B$6</f>
        <v>6500</v>
      </c>
      <c r="N84" s="12">
        <f>IF(L84=0,0,SUMIFS('PSI Plan'!$N$6:$N$173,'PSI Plan'!$B$6:$B$173,B84,'PSI Plan'!$C$6:$C$173,I84))</f>
        <v>0</v>
      </c>
      <c r="O84" s="11">
        <f t="shared" si="2"/>
        <v>0</v>
      </c>
      <c r="P84" s="11">
        <f t="shared" si="3"/>
        <v>0</v>
      </c>
      <c r="Q84" s="6"/>
      <c r="R84" s="6"/>
      <c r="S84" s="6"/>
      <c r="T84" s="6"/>
    </row>
    <row r="85" spans="1:20">
      <c r="A85" s="6" t="s">
        <v>212</v>
      </c>
      <c r="B85" s="6" t="s">
        <v>77</v>
      </c>
      <c r="C85" s="6" t="s">
        <v>90</v>
      </c>
      <c r="D85" s="6" t="s">
        <v>119</v>
      </c>
      <c r="E85" s="6" t="s">
        <v>120</v>
      </c>
      <c r="F85" s="7">
        <v>52</v>
      </c>
      <c r="G85" s="7">
        <v>6500</v>
      </c>
      <c r="H85" s="16">
        <v>45205</v>
      </c>
      <c r="I85" s="6">
        <v>40</v>
      </c>
      <c r="J85" s="6" t="s">
        <v>121</v>
      </c>
      <c r="K85" s="6" t="s">
        <v>122</v>
      </c>
      <c r="L85" s="11">
        <f>F85*Controls!$B$6</f>
        <v>52</v>
      </c>
      <c r="M85" s="11">
        <f>G85*Controls!$B$6</f>
        <v>6500</v>
      </c>
      <c r="N85" s="12">
        <f>IF(L85=0,0,SUMIFS('PSI Plan'!$N$6:$N$173,'PSI Plan'!$B$6:$B$173,B85,'PSI Plan'!$C$6:$C$173,I85))</f>
        <v>0</v>
      </c>
      <c r="O85" s="11">
        <f t="shared" si="2"/>
        <v>0</v>
      </c>
      <c r="P85" s="11">
        <f t="shared" si="3"/>
        <v>0</v>
      </c>
      <c r="Q85" s="6"/>
      <c r="R85" s="6"/>
      <c r="S85" s="6"/>
      <c r="T85" s="6"/>
    </row>
    <row r="86" spans="1:20">
      <c r="A86" s="6" t="s">
        <v>213</v>
      </c>
      <c r="B86" s="6" t="s">
        <v>66</v>
      </c>
      <c r="C86" s="6" t="s">
        <v>90</v>
      </c>
      <c r="D86" s="6" t="s">
        <v>119</v>
      </c>
      <c r="E86" s="6" t="s">
        <v>120</v>
      </c>
      <c r="F86" s="7">
        <v>4</v>
      </c>
      <c r="G86" s="7">
        <v>500</v>
      </c>
      <c r="H86" s="16">
        <v>45222</v>
      </c>
      <c r="I86" s="6">
        <v>43</v>
      </c>
      <c r="J86" s="6" t="s">
        <v>121</v>
      </c>
      <c r="K86" s="6" t="s">
        <v>139</v>
      </c>
      <c r="L86" s="11">
        <f>F86*Controls!$B$6</f>
        <v>4</v>
      </c>
      <c r="M86" s="11">
        <f>G86*Controls!$B$6</f>
        <v>500</v>
      </c>
      <c r="N86" s="12">
        <f>IF(L86=0,0,SUMIFS('PSI Plan'!$N$6:$N$173,'PSI Plan'!$B$6:$B$173,B86,'PSI Plan'!$C$6:$C$173,I86))</f>
        <v>0</v>
      </c>
      <c r="O86" s="11">
        <f t="shared" si="2"/>
        <v>0</v>
      </c>
      <c r="P86" s="11">
        <f t="shared" si="3"/>
        <v>0</v>
      </c>
      <c r="Q86" s="6"/>
      <c r="R86" s="6"/>
      <c r="S86" s="6"/>
      <c r="T86" s="6"/>
    </row>
    <row r="87" spans="1:20">
      <c r="A87" s="6" t="s">
        <v>214</v>
      </c>
      <c r="B87" s="6" t="s">
        <v>69</v>
      </c>
      <c r="C87" s="6" t="s">
        <v>90</v>
      </c>
      <c r="D87" s="6" t="s">
        <v>119</v>
      </c>
      <c r="E87" s="6" t="s">
        <v>120</v>
      </c>
      <c r="F87" s="7">
        <v>4</v>
      </c>
      <c r="G87" s="7">
        <v>500</v>
      </c>
      <c r="H87" s="16">
        <v>45202</v>
      </c>
      <c r="I87" s="6">
        <v>40</v>
      </c>
      <c r="J87" s="6" t="s">
        <v>121</v>
      </c>
      <c r="K87" s="6" t="s">
        <v>139</v>
      </c>
      <c r="L87" s="11">
        <f>F87*Controls!$B$6</f>
        <v>4</v>
      </c>
      <c r="M87" s="11">
        <f>G87*Controls!$B$6</f>
        <v>500</v>
      </c>
      <c r="N87" s="12">
        <f>IF(L87=0,0,SUMIFS('PSI Plan'!$N$6:$N$173,'PSI Plan'!$B$6:$B$173,B87,'PSI Plan'!$C$6:$C$173,I87))</f>
        <v>0</v>
      </c>
      <c r="O87" s="11">
        <f t="shared" si="2"/>
        <v>0</v>
      </c>
      <c r="P87" s="11">
        <f t="shared" si="3"/>
        <v>0</v>
      </c>
      <c r="Q87" s="6"/>
      <c r="R87" s="6"/>
      <c r="S87" s="6"/>
      <c r="T87" s="6"/>
    </row>
    <row r="88" spans="1:20">
      <c r="A88" s="6" t="s">
        <v>215</v>
      </c>
      <c r="B88" s="6" t="s">
        <v>69</v>
      </c>
      <c r="C88" s="6" t="s">
        <v>90</v>
      </c>
      <c r="D88" s="6" t="s">
        <v>119</v>
      </c>
      <c r="E88" s="6" t="s">
        <v>120</v>
      </c>
      <c r="F88" s="7">
        <v>1</v>
      </c>
      <c r="G88" s="7">
        <v>125</v>
      </c>
      <c r="H88" s="16">
        <v>45264</v>
      </c>
      <c r="I88" s="6">
        <v>49</v>
      </c>
      <c r="J88" s="6" t="s">
        <v>121</v>
      </c>
      <c r="K88" s="6" t="s">
        <v>169</v>
      </c>
      <c r="L88" s="11">
        <f>F88*Controls!$B$6</f>
        <v>1</v>
      </c>
      <c r="M88" s="11">
        <f>G88*Controls!$B$6</f>
        <v>125</v>
      </c>
      <c r="N88" s="12">
        <f>IF(L88=0,0,SUMIFS('PSI Plan'!$N$6:$N$173,'PSI Plan'!$B$6:$B$173,B88,'PSI Plan'!$C$6:$C$173,I88))</f>
        <v>0</v>
      </c>
      <c r="O88" s="11">
        <f t="shared" si="2"/>
        <v>0</v>
      </c>
      <c r="P88" s="11">
        <f t="shared" si="3"/>
        <v>0</v>
      </c>
      <c r="Q88" s="6"/>
      <c r="R88" s="6"/>
      <c r="S88" s="6"/>
      <c r="T88" s="6"/>
    </row>
    <row r="89" spans="1:20">
      <c r="A89" s="6" t="s">
        <v>216</v>
      </c>
      <c r="B89" s="6" t="s">
        <v>71</v>
      </c>
      <c r="C89" s="6" t="s">
        <v>90</v>
      </c>
      <c r="D89" s="6" t="s">
        <v>119</v>
      </c>
      <c r="E89" s="6" t="s">
        <v>120</v>
      </c>
      <c r="F89" s="7">
        <v>100</v>
      </c>
      <c r="G89" s="7">
        <v>12500</v>
      </c>
      <c r="H89" s="16">
        <v>45275</v>
      </c>
      <c r="I89" s="6">
        <v>50</v>
      </c>
      <c r="J89" s="6" t="s">
        <v>121</v>
      </c>
      <c r="K89" s="6" t="s">
        <v>169</v>
      </c>
      <c r="L89" s="11">
        <f>F89*Controls!$B$6</f>
        <v>100</v>
      </c>
      <c r="M89" s="11">
        <f>G89*Controls!$B$6</f>
        <v>12500</v>
      </c>
      <c r="N89" s="12">
        <f>IF(L89=0,0,SUMIFS('PSI Plan'!$N$6:$N$173,'PSI Plan'!$B$6:$B$173,B89,'PSI Plan'!$C$6:$C$173,I89))</f>
        <v>0</v>
      </c>
      <c r="O89" s="11">
        <f t="shared" si="2"/>
        <v>0</v>
      </c>
      <c r="P89" s="11">
        <f t="shared" si="3"/>
        <v>0</v>
      </c>
      <c r="Q89" s="6"/>
      <c r="R89" s="6"/>
      <c r="S89" s="6"/>
      <c r="T89" s="6"/>
    </row>
    <row r="90" spans="1:20">
      <c r="A90" s="6" t="s">
        <v>217</v>
      </c>
      <c r="B90" s="6" t="s">
        <v>77</v>
      </c>
      <c r="C90" s="6" t="s">
        <v>90</v>
      </c>
      <c r="D90" s="6" t="s">
        <v>119</v>
      </c>
      <c r="E90" s="6" t="s">
        <v>120</v>
      </c>
      <c r="F90" s="7">
        <v>2</v>
      </c>
      <c r="G90" s="7">
        <v>250</v>
      </c>
      <c r="H90" s="16">
        <v>45203</v>
      </c>
      <c r="I90" s="6">
        <v>40</v>
      </c>
      <c r="J90" s="6" t="s">
        <v>121</v>
      </c>
      <c r="K90" s="6" t="s">
        <v>125</v>
      </c>
      <c r="L90" s="11">
        <f>F90*Controls!$B$6</f>
        <v>2</v>
      </c>
      <c r="M90" s="11">
        <f>G90*Controls!$B$6</f>
        <v>250</v>
      </c>
      <c r="N90" s="12">
        <f>IF(L90=0,0,SUMIFS('PSI Plan'!$N$6:$N$173,'PSI Plan'!$B$6:$B$173,B90,'PSI Plan'!$C$6:$C$173,I90))</f>
        <v>0</v>
      </c>
      <c r="O90" s="11">
        <f t="shared" si="2"/>
        <v>0</v>
      </c>
      <c r="P90" s="11">
        <f t="shared" si="3"/>
        <v>0</v>
      </c>
      <c r="Q90" s="6"/>
      <c r="R90" s="6"/>
      <c r="S90" s="6"/>
      <c r="T90" s="6"/>
    </row>
    <row r="91" spans="1:20">
      <c r="A91" s="6" t="s">
        <v>218</v>
      </c>
      <c r="B91" s="6" t="s">
        <v>71</v>
      </c>
      <c r="C91" s="6" t="s">
        <v>90</v>
      </c>
      <c r="D91" s="6" t="s">
        <v>119</v>
      </c>
      <c r="E91" s="6" t="s">
        <v>120</v>
      </c>
      <c r="F91" s="7">
        <v>120</v>
      </c>
      <c r="G91" s="7">
        <v>15000</v>
      </c>
      <c r="H91" s="16">
        <v>45261</v>
      </c>
      <c r="I91" s="6">
        <v>48</v>
      </c>
      <c r="J91" s="6" t="s">
        <v>121</v>
      </c>
      <c r="K91" s="6" t="s">
        <v>125</v>
      </c>
      <c r="L91" s="11">
        <f>F91*Controls!$B$6</f>
        <v>120</v>
      </c>
      <c r="M91" s="11">
        <f>G91*Controls!$B$6</f>
        <v>15000</v>
      </c>
      <c r="N91" s="12">
        <f>IF(L91=0,0,SUMIFS('PSI Plan'!$N$6:$N$173,'PSI Plan'!$B$6:$B$173,B91,'PSI Plan'!$C$6:$C$173,I91))</f>
        <v>0</v>
      </c>
      <c r="O91" s="11">
        <f t="shared" si="2"/>
        <v>0</v>
      </c>
      <c r="P91" s="11">
        <f t="shared" si="3"/>
        <v>0</v>
      </c>
      <c r="Q91" s="6"/>
      <c r="R91" s="6"/>
      <c r="S91" s="6"/>
      <c r="T91" s="6"/>
    </row>
    <row r="92" spans="1:20">
      <c r="A92" s="6" t="s">
        <v>219</v>
      </c>
      <c r="B92" s="6" t="s">
        <v>69</v>
      </c>
      <c r="C92" s="6" t="s">
        <v>90</v>
      </c>
      <c r="D92" s="6" t="s">
        <v>119</v>
      </c>
      <c r="E92" s="6" t="s">
        <v>120</v>
      </c>
      <c r="F92" s="7">
        <v>1</v>
      </c>
      <c r="G92" s="7">
        <v>125</v>
      </c>
      <c r="H92" s="16">
        <v>45238</v>
      </c>
      <c r="I92" s="6">
        <v>45</v>
      </c>
      <c r="J92" s="6" t="s">
        <v>121</v>
      </c>
      <c r="K92" s="6" t="s">
        <v>125</v>
      </c>
      <c r="L92" s="11">
        <f>F92*Controls!$B$6</f>
        <v>1</v>
      </c>
      <c r="M92" s="11">
        <f>G92*Controls!$B$6</f>
        <v>125</v>
      </c>
      <c r="N92" s="12">
        <f>IF(L92=0,0,SUMIFS('PSI Plan'!$N$6:$N$173,'PSI Plan'!$B$6:$B$173,B92,'PSI Plan'!$C$6:$C$173,I92))</f>
        <v>0</v>
      </c>
      <c r="O92" s="11">
        <f t="shared" si="2"/>
        <v>0</v>
      </c>
      <c r="P92" s="11">
        <f t="shared" si="3"/>
        <v>0</v>
      </c>
      <c r="Q92" s="6"/>
      <c r="R92" s="6"/>
      <c r="S92" s="6"/>
      <c r="T92" s="6"/>
    </row>
    <row r="93" spans="1:20">
      <c r="A93" s="6" t="s">
        <v>220</v>
      </c>
      <c r="B93" s="6" t="s">
        <v>66</v>
      </c>
      <c r="C93" s="6" t="s">
        <v>90</v>
      </c>
      <c r="D93" s="6" t="s">
        <v>119</v>
      </c>
      <c r="E93" s="6" t="s">
        <v>120</v>
      </c>
      <c r="F93" s="7">
        <v>4</v>
      </c>
      <c r="G93" s="7">
        <v>500</v>
      </c>
      <c r="H93" s="16">
        <v>45265</v>
      </c>
      <c r="I93" s="6">
        <v>49</v>
      </c>
      <c r="J93" s="6" t="s">
        <v>121</v>
      </c>
      <c r="K93" s="6" t="s">
        <v>135</v>
      </c>
      <c r="L93" s="11">
        <f>F93*Controls!$B$6</f>
        <v>4</v>
      </c>
      <c r="M93" s="11">
        <f>G93*Controls!$B$6</f>
        <v>500</v>
      </c>
      <c r="N93" s="12">
        <f>IF(L93=0,0,SUMIFS('PSI Plan'!$N$6:$N$173,'PSI Plan'!$B$6:$B$173,B93,'PSI Plan'!$C$6:$C$173,I93))</f>
        <v>0</v>
      </c>
      <c r="O93" s="11">
        <f t="shared" si="2"/>
        <v>0</v>
      </c>
      <c r="P93" s="11">
        <f t="shared" si="3"/>
        <v>0</v>
      </c>
      <c r="Q93" s="6"/>
      <c r="R93" s="6"/>
      <c r="S93" s="6"/>
      <c r="T93" s="6"/>
    </row>
    <row r="94" spans="1:20">
      <c r="A94" s="6" t="s">
        <v>221</v>
      </c>
      <c r="B94" s="6" t="s">
        <v>69</v>
      </c>
      <c r="C94" s="6" t="s">
        <v>90</v>
      </c>
      <c r="D94" s="6" t="s">
        <v>119</v>
      </c>
      <c r="E94" s="6" t="s">
        <v>120</v>
      </c>
      <c r="F94" s="7">
        <v>9</v>
      </c>
      <c r="G94" s="7">
        <v>1125</v>
      </c>
      <c r="H94" s="16">
        <v>45281</v>
      </c>
      <c r="I94" s="6">
        <v>51</v>
      </c>
      <c r="J94" s="6" t="s">
        <v>121</v>
      </c>
      <c r="K94" s="6" t="s">
        <v>132</v>
      </c>
      <c r="L94" s="11">
        <f>F94*Controls!$B$6</f>
        <v>9</v>
      </c>
      <c r="M94" s="11">
        <f>G94*Controls!$B$6</f>
        <v>1125</v>
      </c>
      <c r="N94" s="12">
        <f>IF(L94=0,0,SUMIFS('PSI Plan'!$N$6:$N$173,'PSI Plan'!$B$6:$B$173,B94,'PSI Plan'!$C$6:$C$173,I94))</f>
        <v>0</v>
      </c>
      <c r="O94" s="11">
        <f t="shared" si="2"/>
        <v>0</v>
      </c>
      <c r="P94" s="11">
        <f t="shared" si="3"/>
        <v>0</v>
      </c>
      <c r="Q94" s="6"/>
      <c r="R94" s="6"/>
      <c r="S94" s="6"/>
      <c r="T94" s="6"/>
    </row>
    <row r="95" spans="1:20">
      <c r="A95" s="6" t="s">
        <v>222</v>
      </c>
      <c r="B95" s="6" t="s">
        <v>77</v>
      </c>
      <c r="C95" s="6" t="s">
        <v>90</v>
      </c>
      <c r="D95" s="6" t="s">
        <v>119</v>
      </c>
      <c r="E95" s="6" t="s">
        <v>120</v>
      </c>
      <c r="F95" s="7">
        <v>4</v>
      </c>
      <c r="G95" s="7">
        <v>500</v>
      </c>
      <c r="H95" s="16">
        <v>45276</v>
      </c>
      <c r="I95" s="6">
        <v>50</v>
      </c>
      <c r="J95" s="6" t="s">
        <v>121</v>
      </c>
      <c r="K95" s="6" t="s">
        <v>132</v>
      </c>
      <c r="L95" s="11">
        <f>F95*Controls!$B$6</f>
        <v>4</v>
      </c>
      <c r="M95" s="11">
        <f>G95*Controls!$B$6</f>
        <v>500</v>
      </c>
      <c r="N95" s="12">
        <f>IF(L95=0,0,SUMIFS('PSI Plan'!$N$6:$N$173,'PSI Plan'!$B$6:$B$173,B95,'PSI Plan'!$C$6:$C$173,I95))</f>
        <v>0</v>
      </c>
      <c r="O95" s="11">
        <f t="shared" si="2"/>
        <v>0</v>
      </c>
      <c r="P95" s="11">
        <f t="shared" si="3"/>
        <v>0</v>
      </c>
      <c r="Q95" s="6"/>
      <c r="R95" s="6"/>
      <c r="S95" s="6"/>
      <c r="T95" s="6"/>
    </row>
    <row r="96" spans="1:20">
      <c r="A96" s="6" t="s">
        <v>223</v>
      </c>
      <c r="B96" s="6" t="s">
        <v>69</v>
      </c>
      <c r="C96" s="6" t="s">
        <v>90</v>
      </c>
      <c r="D96" s="6" t="s">
        <v>119</v>
      </c>
      <c r="E96" s="6" t="s">
        <v>120</v>
      </c>
      <c r="F96" s="7">
        <v>1</v>
      </c>
      <c r="G96" s="7">
        <v>125</v>
      </c>
      <c r="H96" s="16">
        <v>45226</v>
      </c>
      <c r="I96" s="6">
        <v>43</v>
      </c>
      <c r="J96" s="6" t="s">
        <v>121</v>
      </c>
      <c r="K96" s="6" t="s">
        <v>125</v>
      </c>
      <c r="L96" s="11">
        <f>F96*Controls!$B$6</f>
        <v>1</v>
      </c>
      <c r="M96" s="11">
        <f>G96*Controls!$B$6</f>
        <v>125</v>
      </c>
      <c r="N96" s="12">
        <f>IF(L96=0,0,SUMIFS('PSI Plan'!$N$6:$N$173,'PSI Plan'!$B$6:$B$173,B96,'PSI Plan'!$C$6:$C$173,I96))</f>
        <v>0</v>
      </c>
      <c r="O96" s="11">
        <f t="shared" si="2"/>
        <v>0</v>
      </c>
      <c r="P96" s="11">
        <f t="shared" si="3"/>
        <v>0</v>
      </c>
      <c r="Q96" s="6"/>
      <c r="R96" s="6"/>
      <c r="S96" s="6"/>
      <c r="T96" s="6"/>
    </row>
    <row r="97" spans="1:20">
      <c r="A97" s="6" t="s">
        <v>224</v>
      </c>
      <c r="B97" s="6" t="s">
        <v>72</v>
      </c>
      <c r="C97" s="6" t="s">
        <v>90</v>
      </c>
      <c r="D97" s="6" t="s">
        <v>119</v>
      </c>
      <c r="E97" s="6" t="s">
        <v>120</v>
      </c>
      <c r="F97" s="7">
        <v>70</v>
      </c>
      <c r="G97" s="7">
        <v>8750</v>
      </c>
      <c r="H97" s="16">
        <v>45242</v>
      </c>
      <c r="I97" s="6">
        <v>46</v>
      </c>
      <c r="J97" s="6" t="s">
        <v>121</v>
      </c>
      <c r="K97" s="6" t="s">
        <v>125</v>
      </c>
      <c r="L97" s="11">
        <f>F97*Controls!$B$6</f>
        <v>70</v>
      </c>
      <c r="M97" s="11">
        <f>G97*Controls!$B$6</f>
        <v>8750</v>
      </c>
      <c r="N97" s="12">
        <f>IF(L97=0,0,SUMIFS('PSI Plan'!$N$6:$N$173,'PSI Plan'!$B$6:$B$173,B97,'PSI Plan'!$C$6:$C$173,I97))</f>
        <v>0</v>
      </c>
      <c r="O97" s="11">
        <f t="shared" si="2"/>
        <v>0</v>
      </c>
      <c r="P97" s="11">
        <f t="shared" si="3"/>
        <v>0</v>
      </c>
      <c r="Q97" s="6"/>
      <c r="R97" s="6"/>
      <c r="S97" s="6"/>
      <c r="T97" s="6"/>
    </row>
    <row r="98" spans="1:20">
      <c r="A98" s="6" t="s">
        <v>225</v>
      </c>
      <c r="B98" s="6" t="s">
        <v>69</v>
      </c>
      <c r="C98" s="6" t="s">
        <v>90</v>
      </c>
      <c r="D98" s="6" t="s">
        <v>119</v>
      </c>
      <c r="E98" s="6" t="s">
        <v>120</v>
      </c>
      <c r="F98" s="7">
        <v>52</v>
      </c>
      <c r="G98" s="7">
        <v>6500</v>
      </c>
      <c r="H98" s="16">
        <v>45222</v>
      </c>
      <c r="I98" s="6">
        <v>43</v>
      </c>
      <c r="J98" s="6" t="s">
        <v>121</v>
      </c>
      <c r="K98" s="6" t="s">
        <v>171</v>
      </c>
      <c r="L98" s="11">
        <f>F98*Controls!$B$6</f>
        <v>52</v>
      </c>
      <c r="M98" s="11">
        <f>G98*Controls!$B$6</f>
        <v>6500</v>
      </c>
      <c r="N98" s="12">
        <f>IF(L98=0,0,SUMIFS('PSI Plan'!$N$6:$N$173,'PSI Plan'!$B$6:$B$173,B98,'PSI Plan'!$C$6:$C$173,I98))</f>
        <v>0</v>
      </c>
      <c r="O98" s="11">
        <f t="shared" si="2"/>
        <v>0</v>
      </c>
      <c r="P98" s="11">
        <f t="shared" si="3"/>
        <v>0</v>
      </c>
      <c r="Q98" s="6"/>
      <c r="R98" s="6"/>
      <c r="S98" s="6"/>
      <c r="T98" s="6"/>
    </row>
    <row r="99" spans="1:20">
      <c r="A99" s="6" t="s">
        <v>226</v>
      </c>
      <c r="B99" s="6" t="s">
        <v>77</v>
      </c>
      <c r="C99" s="6" t="s">
        <v>90</v>
      </c>
      <c r="D99" s="6" t="s">
        <v>119</v>
      </c>
      <c r="E99" s="6" t="s">
        <v>120</v>
      </c>
      <c r="F99" s="7">
        <v>52</v>
      </c>
      <c r="G99" s="7">
        <v>6500</v>
      </c>
      <c r="H99" s="16">
        <v>45280</v>
      </c>
      <c r="I99" s="6">
        <v>51</v>
      </c>
      <c r="J99" s="6" t="s">
        <v>121</v>
      </c>
      <c r="K99" s="6" t="s">
        <v>171</v>
      </c>
      <c r="L99" s="11">
        <f>F99*Controls!$B$6</f>
        <v>52</v>
      </c>
      <c r="M99" s="11">
        <f>G99*Controls!$B$6</f>
        <v>6500</v>
      </c>
      <c r="N99" s="12">
        <f>IF(L99=0,0,SUMIFS('PSI Plan'!$N$6:$N$173,'PSI Plan'!$B$6:$B$173,B99,'PSI Plan'!$C$6:$C$173,I99))</f>
        <v>0</v>
      </c>
      <c r="O99" s="11">
        <f t="shared" si="2"/>
        <v>0</v>
      </c>
      <c r="P99" s="11">
        <f t="shared" si="3"/>
        <v>0</v>
      </c>
      <c r="Q99" s="6"/>
      <c r="R99" s="6"/>
      <c r="S99" s="6"/>
      <c r="T99" s="6"/>
    </row>
    <row r="100" spans="1:20">
      <c r="A100" s="6" t="s">
        <v>227</v>
      </c>
      <c r="B100" s="6" t="s">
        <v>77</v>
      </c>
      <c r="C100" s="6" t="s">
        <v>90</v>
      </c>
      <c r="D100" s="6" t="s">
        <v>119</v>
      </c>
      <c r="E100" s="6" t="s">
        <v>120</v>
      </c>
      <c r="F100" s="7">
        <v>52</v>
      </c>
      <c r="G100" s="7">
        <v>6500</v>
      </c>
      <c r="H100" s="16">
        <v>45212</v>
      </c>
      <c r="I100" s="6">
        <v>41</v>
      </c>
      <c r="J100" s="6" t="s">
        <v>121</v>
      </c>
      <c r="K100" s="6" t="s">
        <v>122</v>
      </c>
      <c r="L100" s="11">
        <f>F100*Controls!$B$6</f>
        <v>52</v>
      </c>
      <c r="M100" s="11">
        <f>G100*Controls!$B$6</f>
        <v>6500</v>
      </c>
      <c r="N100" s="12">
        <f>IF(L100=0,0,SUMIFS('PSI Plan'!$N$6:$N$173,'PSI Plan'!$B$6:$B$173,B100,'PSI Plan'!$C$6:$C$173,I100))</f>
        <v>0</v>
      </c>
      <c r="O100" s="11">
        <f t="shared" si="2"/>
        <v>0</v>
      </c>
      <c r="P100" s="11">
        <f t="shared" si="3"/>
        <v>0</v>
      </c>
      <c r="Q100" s="6"/>
      <c r="R100" s="6"/>
      <c r="S100" s="6"/>
      <c r="T100" s="6"/>
    </row>
    <row r="101" spans="1:20">
      <c r="A101" s="6" t="s">
        <v>228</v>
      </c>
      <c r="B101" s="6" t="s">
        <v>69</v>
      </c>
      <c r="C101" s="6" t="s">
        <v>90</v>
      </c>
      <c r="D101" s="6" t="s">
        <v>119</v>
      </c>
      <c r="E101" s="6" t="s">
        <v>120</v>
      </c>
      <c r="F101" s="7">
        <v>52</v>
      </c>
      <c r="G101" s="7">
        <v>6500</v>
      </c>
      <c r="H101" s="16">
        <v>45247</v>
      </c>
      <c r="I101" s="6">
        <v>46</v>
      </c>
      <c r="J101" s="6" t="s">
        <v>121</v>
      </c>
      <c r="K101" s="6" t="s">
        <v>122</v>
      </c>
      <c r="L101" s="11">
        <f>F101*Controls!$B$6</f>
        <v>52</v>
      </c>
      <c r="M101" s="11">
        <f>G101*Controls!$B$6</f>
        <v>6500</v>
      </c>
      <c r="N101" s="12">
        <f>IF(L101=0,0,SUMIFS('PSI Plan'!$N$6:$N$173,'PSI Plan'!$B$6:$B$173,B101,'PSI Plan'!$C$6:$C$173,I101))</f>
        <v>0</v>
      </c>
      <c r="O101" s="11">
        <f t="shared" si="2"/>
        <v>0</v>
      </c>
      <c r="P101" s="11">
        <f t="shared" si="3"/>
        <v>0</v>
      </c>
      <c r="Q101" s="6"/>
      <c r="R101" s="6"/>
      <c r="S101" s="6"/>
      <c r="T101" s="6"/>
    </row>
    <row r="102" spans="1:20">
      <c r="A102" s="6" t="s">
        <v>229</v>
      </c>
      <c r="B102" s="6" t="s">
        <v>66</v>
      </c>
      <c r="C102" s="6" t="s">
        <v>90</v>
      </c>
      <c r="D102" s="6" t="s">
        <v>119</v>
      </c>
      <c r="E102" s="6" t="s">
        <v>120</v>
      </c>
      <c r="F102" s="7">
        <v>52</v>
      </c>
      <c r="G102" s="7">
        <v>6500</v>
      </c>
      <c r="H102" s="16">
        <v>45247</v>
      </c>
      <c r="I102" s="6">
        <v>46</v>
      </c>
      <c r="J102" s="6" t="s">
        <v>121</v>
      </c>
      <c r="K102" s="6" t="s">
        <v>122</v>
      </c>
      <c r="L102" s="11">
        <f>F102*Controls!$B$6</f>
        <v>52</v>
      </c>
      <c r="M102" s="11">
        <f>G102*Controls!$B$6</f>
        <v>6500</v>
      </c>
      <c r="N102" s="12">
        <f>IF(L102=0,0,SUMIFS('PSI Plan'!$N$6:$N$173,'PSI Plan'!$B$6:$B$173,B102,'PSI Plan'!$C$6:$C$173,I102))</f>
        <v>0</v>
      </c>
      <c r="O102" s="11">
        <f t="shared" si="2"/>
        <v>0</v>
      </c>
      <c r="P102" s="11">
        <f t="shared" si="3"/>
        <v>0</v>
      </c>
      <c r="Q102" s="6"/>
      <c r="R102" s="6"/>
      <c r="S102" s="6"/>
      <c r="T102" s="6"/>
    </row>
    <row r="103" spans="1:20">
      <c r="A103" s="6" t="s">
        <v>230</v>
      </c>
      <c r="B103" s="6" t="s">
        <v>69</v>
      </c>
      <c r="C103" s="6" t="s">
        <v>90</v>
      </c>
      <c r="D103" s="6" t="s">
        <v>119</v>
      </c>
      <c r="E103" s="6" t="s">
        <v>120</v>
      </c>
      <c r="F103" s="7">
        <v>2</v>
      </c>
      <c r="G103" s="7">
        <v>250</v>
      </c>
      <c r="H103" s="16">
        <v>45227</v>
      </c>
      <c r="I103" s="6">
        <v>43</v>
      </c>
      <c r="J103" s="6" t="s">
        <v>121</v>
      </c>
      <c r="K103" s="6" t="s">
        <v>139</v>
      </c>
      <c r="L103" s="11">
        <f>F103*Controls!$B$6</f>
        <v>2</v>
      </c>
      <c r="M103" s="11">
        <f>G103*Controls!$B$6</f>
        <v>250</v>
      </c>
      <c r="N103" s="12">
        <f>IF(L103=0,0,SUMIFS('PSI Plan'!$N$6:$N$173,'PSI Plan'!$B$6:$B$173,B103,'PSI Plan'!$C$6:$C$173,I103))</f>
        <v>0</v>
      </c>
      <c r="O103" s="11">
        <f t="shared" si="2"/>
        <v>0</v>
      </c>
      <c r="P103" s="11">
        <f t="shared" si="3"/>
        <v>0</v>
      </c>
      <c r="Q103" s="6"/>
      <c r="R103" s="6"/>
      <c r="S103" s="6"/>
      <c r="T103" s="6"/>
    </row>
    <row r="104" spans="1:20">
      <c r="A104" s="6" t="s">
        <v>231</v>
      </c>
      <c r="B104" s="6" t="s">
        <v>66</v>
      </c>
      <c r="C104" s="6" t="s">
        <v>90</v>
      </c>
      <c r="D104" s="6" t="s">
        <v>119</v>
      </c>
      <c r="E104" s="6" t="s">
        <v>120</v>
      </c>
      <c r="F104" s="7">
        <v>5</v>
      </c>
      <c r="G104" s="7">
        <v>625</v>
      </c>
      <c r="H104" s="16">
        <v>45238</v>
      </c>
      <c r="I104" s="6">
        <v>45</v>
      </c>
      <c r="J104" s="6" t="s">
        <v>121</v>
      </c>
      <c r="K104" s="6" t="s">
        <v>139</v>
      </c>
      <c r="L104" s="11">
        <f>F104*Controls!$B$6</f>
        <v>5</v>
      </c>
      <c r="M104" s="11">
        <f>G104*Controls!$B$6</f>
        <v>625</v>
      </c>
      <c r="N104" s="12">
        <f>IF(L104=0,0,SUMIFS('PSI Plan'!$N$6:$N$173,'PSI Plan'!$B$6:$B$173,B104,'PSI Plan'!$C$6:$C$173,I104))</f>
        <v>0</v>
      </c>
      <c r="O104" s="11">
        <f t="shared" si="2"/>
        <v>0</v>
      </c>
      <c r="P104" s="11">
        <f t="shared" si="3"/>
        <v>0</v>
      </c>
      <c r="Q104" s="6"/>
      <c r="R104" s="6"/>
      <c r="S104" s="6"/>
      <c r="T104" s="6"/>
    </row>
    <row r="105" spans="1:20">
      <c r="A105" s="6" t="s">
        <v>232</v>
      </c>
      <c r="B105" s="6" t="s">
        <v>71</v>
      </c>
      <c r="C105" s="6" t="s">
        <v>90</v>
      </c>
      <c r="D105" s="6" t="s">
        <v>119</v>
      </c>
      <c r="E105" s="6" t="s">
        <v>120</v>
      </c>
      <c r="F105" s="7">
        <v>20</v>
      </c>
      <c r="G105" s="7">
        <v>2500</v>
      </c>
      <c r="H105" s="16">
        <v>45208</v>
      </c>
      <c r="I105" s="6">
        <v>41</v>
      </c>
      <c r="J105" s="6" t="s">
        <v>121</v>
      </c>
      <c r="K105" s="6" t="s">
        <v>150</v>
      </c>
      <c r="L105" s="11">
        <f>F105*Controls!$B$6</f>
        <v>20</v>
      </c>
      <c r="M105" s="11">
        <f>G105*Controls!$B$6</f>
        <v>2500</v>
      </c>
      <c r="N105" s="12">
        <f>IF(L105=0,0,SUMIFS('PSI Plan'!$N$6:$N$173,'PSI Plan'!$B$6:$B$173,B105,'PSI Plan'!$C$6:$C$173,I105))</f>
        <v>0</v>
      </c>
      <c r="O105" s="11">
        <f t="shared" si="2"/>
        <v>0</v>
      </c>
      <c r="P105" s="11">
        <f t="shared" si="3"/>
        <v>0</v>
      </c>
      <c r="Q105" s="6"/>
      <c r="R105" s="6"/>
      <c r="S105" s="6"/>
      <c r="T105" s="6"/>
    </row>
    <row r="106" spans="1:20">
      <c r="A106" s="6" t="s">
        <v>233</v>
      </c>
      <c r="B106" s="6" t="s">
        <v>66</v>
      </c>
      <c r="C106" s="6" t="s">
        <v>90</v>
      </c>
      <c r="D106" s="6" t="s">
        <v>119</v>
      </c>
      <c r="E106" s="6" t="s">
        <v>120</v>
      </c>
      <c r="F106" s="7">
        <v>13</v>
      </c>
      <c r="G106" s="7">
        <v>1625</v>
      </c>
      <c r="H106" s="16">
        <v>45265</v>
      </c>
      <c r="I106" s="6">
        <v>49</v>
      </c>
      <c r="J106" s="6" t="s">
        <v>121</v>
      </c>
      <c r="K106" s="6" t="s">
        <v>135</v>
      </c>
      <c r="L106" s="11">
        <f>F106*Controls!$B$6</f>
        <v>13</v>
      </c>
      <c r="M106" s="11">
        <f>G106*Controls!$B$6</f>
        <v>1625</v>
      </c>
      <c r="N106" s="12">
        <f>IF(L106=0,0,SUMIFS('PSI Plan'!$N$6:$N$173,'PSI Plan'!$B$6:$B$173,B106,'PSI Plan'!$C$6:$C$173,I106))</f>
        <v>0</v>
      </c>
      <c r="O106" s="11">
        <f t="shared" si="2"/>
        <v>0</v>
      </c>
      <c r="P106" s="11">
        <f t="shared" si="3"/>
        <v>0</v>
      </c>
      <c r="Q106" s="6"/>
      <c r="R106" s="6"/>
      <c r="S106" s="6"/>
      <c r="T106" s="6"/>
    </row>
    <row r="107" spans="1:20">
      <c r="A107" s="6" t="s">
        <v>234</v>
      </c>
      <c r="B107" s="6" t="s">
        <v>77</v>
      </c>
      <c r="C107" s="6" t="s">
        <v>90</v>
      </c>
      <c r="D107" s="6" t="s">
        <v>119</v>
      </c>
      <c r="E107" s="6" t="s">
        <v>120</v>
      </c>
      <c r="F107" s="7">
        <v>11</v>
      </c>
      <c r="G107" s="7">
        <v>1375</v>
      </c>
      <c r="H107" s="16">
        <v>45244</v>
      </c>
      <c r="I107" s="6">
        <v>46</v>
      </c>
      <c r="J107" s="6" t="s">
        <v>121</v>
      </c>
      <c r="K107" s="6" t="s">
        <v>135</v>
      </c>
      <c r="L107" s="11">
        <f>F107*Controls!$B$6</f>
        <v>11</v>
      </c>
      <c r="M107" s="11">
        <f>G107*Controls!$B$6</f>
        <v>1375</v>
      </c>
      <c r="N107" s="12">
        <f>IF(L107=0,0,SUMIFS('PSI Plan'!$N$6:$N$173,'PSI Plan'!$B$6:$B$173,B107,'PSI Plan'!$C$6:$C$173,I107))</f>
        <v>0</v>
      </c>
      <c r="O107" s="11">
        <f t="shared" si="2"/>
        <v>0</v>
      </c>
      <c r="P107" s="11">
        <f t="shared" si="3"/>
        <v>0</v>
      </c>
      <c r="Q107" s="6"/>
      <c r="R107" s="6"/>
      <c r="S107" s="6"/>
      <c r="T107" s="6"/>
    </row>
    <row r="108" spans="1:20">
      <c r="A108" s="6" t="s">
        <v>235</v>
      </c>
      <c r="B108" s="6" t="s">
        <v>71</v>
      </c>
      <c r="C108" s="6" t="s">
        <v>90</v>
      </c>
      <c r="D108" s="6" t="s">
        <v>119</v>
      </c>
      <c r="E108" s="6" t="s">
        <v>120</v>
      </c>
      <c r="F108" s="7">
        <v>20</v>
      </c>
      <c r="G108" s="7">
        <v>2500</v>
      </c>
      <c r="H108" s="16">
        <v>45244</v>
      </c>
      <c r="I108" s="6">
        <v>46</v>
      </c>
      <c r="J108" s="6" t="s">
        <v>121</v>
      </c>
      <c r="K108" s="6" t="s">
        <v>169</v>
      </c>
      <c r="L108" s="11">
        <f>F108*Controls!$B$6</f>
        <v>20</v>
      </c>
      <c r="M108" s="11">
        <f>G108*Controls!$B$6</f>
        <v>2500</v>
      </c>
      <c r="N108" s="12">
        <f>IF(L108=0,0,SUMIFS('PSI Plan'!$N$6:$N$173,'PSI Plan'!$B$6:$B$173,B108,'PSI Plan'!$C$6:$C$173,I108))</f>
        <v>0</v>
      </c>
      <c r="O108" s="11">
        <f t="shared" si="2"/>
        <v>0</v>
      </c>
      <c r="P108" s="11">
        <f t="shared" si="3"/>
        <v>0</v>
      </c>
      <c r="Q108" s="6"/>
      <c r="R108" s="6"/>
      <c r="S108" s="6"/>
      <c r="T108" s="6"/>
    </row>
    <row r="109" spans="1:20">
      <c r="A109" s="6" t="s">
        <v>236</v>
      </c>
      <c r="B109" s="6" t="s">
        <v>69</v>
      </c>
      <c r="C109" s="6" t="s">
        <v>90</v>
      </c>
      <c r="D109" s="6" t="s">
        <v>119</v>
      </c>
      <c r="E109" s="6" t="s">
        <v>120</v>
      </c>
      <c r="F109" s="7">
        <v>2</v>
      </c>
      <c r="G109" s="7">
        <v>250</v>
      </c>
      <c r="H109" s="16">
        <v>45250</v>
      </c>
      <c r="I109" s="6">
        <v>47</v>
      </c>
      <c r="J109" s="6" t="s">
        <v>121</v>
      </c>
      <c r="K109" s="6" t="s">
        <v>169</v>
      </c>
      <c r="L109" s="11">
        <f>F109*Controls!$B$6</f>
        <v>2</v>
      </c>
      <c r="M109" s="11">
        <f>G109*Controls!$B$6</f>
        <v>250</v>
      </c>
      <c r="N109" s="12">
        <f>IF(L109=0,0,SUMIFS('PSI Plan'!$N$6:$N$173,'PSI Plan'!$B$6:$B$173,B109,'PSI Plan'!$C$6:$C$173,I109))</f>
        <v>0</v>
      </c>
      <c r="O109" s="11">
        <f t="shared" si="2"/>
        <v>0</v>
      </c>
      <c r="P109" s="11">
        <f t="shared" si="3"/>
        <v>0</v>
      </c>
      <c r="Q109" s="6"/>
      <c r="R109" s="6"/>
      <c r="S109" s="6"/>
      <c r="T109" s="6"/>
    </row>
    <row r="110" spans="1:20">
      <c r="A110" s="6" t="s">
        <v>237</v>
      </c>
      <c r="B110" s="6" t="s">
        <v>69</v>
      </c>
      <c r="C110" s="6" t="s">
        <v>90</v>
      </c>
      <c r="D110" s="6" t="s">
        <v>119</v>
      </c>
      <c r="E110" s="6" t="s">
        <v>120</v>
      </c>
      <c r="F110" s="7">
        <v>3</v>
      </c>
      <c r="G110" s="7">
        <v>375</v>
      </c>
      <c r="H110" s="16">
        <v>45263</v>
      </c>
      <c r="I110" s="6">
        <v>49</v>
      </c>
      <c r="J110" s="6" t="s">
        <v>121</v>
      </c>
      <c r="K110" s="6" t="s">
        <v>169</v>
      </c>
      <c r="L110" s="11">
        <f>F110*Controls!$B$6</f>
        <v>3</v>
      </c>
      <c r="M110" s="11">
        <f>G110*Controls!$B$6</f>
        <v>375</v>
      </c>
      <c r="N110" s="12">
        <f>IF(L110=0,0,SUMIFS('PSI Plan'!$N$6:$N$173,'PSI Plan'!$B$6:$B$173,B110,'PSI Plan'!$C$6:$C$173,I110))</f>
        <v>0</v>
      </c>
      <c r="O110" s="11">
        <f t="shared" si="2"/>
        <v>0</v>
      </c>
      <c r="P110" s="11">
        <f t="shared" si="3"/>
        <v>0</v>
      </c>
      <c r="Q110" s="6"/>
      <c r="R110" s="6"/>
      <c r="S110" s="6"/>
      <c r="T110" s="6"/>
    </row>
    <row r="111" spans="1:20">
      <c r="A111" s="6" t="s">
        <v>238</v>
      </c>
      <c r="B111" s="6" t="s">
        <v>77</v>
      </c>
      <c r="C111" s="6" t="s">
        <v>90</v>
      </c>
      <c r="D111" s="6" t="s">
        <v>119</v>
      </c>
      <c r="E111" s="6" t="s">
        <v>120</v>
      </c>
      <c r="F111" s="7">
        <v>7</v>
      </c>
      <c r="G111" s="7">
        <v>875</v>
      </c>
      <c r="H111" s="16">
        <v>45285</v>
      </c>
      <c r="I111" s="6">
        <v>52</v>
      </c>
      <c r="J111" s="6" t="s">
        <v>121</v>
      </c>
      <c r="K111" s="6" t="s">
        <v>169</v>
      </c>
      <c r="L111" s="11">
        <f>F111*Controls!$B$6</f>
        <v>7</v>
      </c>
      <c r="M111" s="11">
        <f>G111*Controls!$B$6</f>
        <v>875</v>
      </c>
      <c r="N111" s="12">
        <f>IF(L111=0,0,SUMIFS('PSI Plan'!$N$6:$N$173,'PSI Plan'!$B$6:$B$173,B111,'PSI Plan'!$C$6:$C$173,I111))</f>
        <v>0</v>
      </c>
      <c r="O111" s="11">
        <f t="shared" si="2"/>
        <v>0</v>
      </c>
      <c r="P111" s="11">
        <f t="shared" si="3"/>
        <v>0</v>
      </c>
      <c r="Q111" s="6"/>
      <c r="R111" s="6"/>
      <c r="S111" s="6"/>
      <c r="T111" s="6"/>
    </row>
    <row r="112" spans="1:20">
      <c r="A112" s="6" t="s">
        <v>239</v>
      </c>
      <c r="B112" s="6" t="s">
        <v>77</v>
      </c>
      <c r="C112" s="6" t="s">
        <v>90</v>
      </c>
      <c r="D112" s="6" t="s">
        <v>119</v>
      </c>
      <c r="E112" s="6" t="s">
        <v>120</v>
      </c>
      <c r="F112" s="7">
        <v>4</v>
      </c>
      <c r="G112" s="7">
        <v>500</v>
      </c>
      <c r="H112" s="16">
        <v>45212</v>
      </c>
      <c r="I112" s="6">
        <v>41</v>
      </c>
      <c r="J112" s="6" t="s">
        <v>121</v>
      </c>
      <c r="K112" s="6" t="s">
        <v>125</v>
      </c>
      <c r="L112" s="11">
        <f>F112*Controls!$B$6</f>
        <v>4</v>
      </c>
      <c r="M112" s="11">
        <f>G112*Controls!$B$6</f>
        <v>500</v>
      </c>
      <c r="N112" s="12">
        <f>IF(L112=0,0,SUMIFS('PSI Plan'!$N$6:$N$173,'PSI Plan'!$B$6:$B$173,B112,'PSI Plan'!$C$6:$C$173,I112))</f>
        <v>0</v>
      </c>
      <c r="O112" s="11">
        <f t="shared" si="2"/>
        <v>0</v>
      </c>
      <c r="P112" s="11">
        <f t="shared" si="3"/>
        <v>0</v>
      </c>
      <c r="Q112" s="6"/>
      <c r="R112" s="6"/>
      <c r="S112" s="6"/>
      <c r="T112" s="6"/>
    </row>
    <row r="113" spans="1:20">
      <c r="A113" s="6" t="s">
        <v>240</v>
      </c>
      <c r="B113" s="6" t="s">
        <v>66</v>
      </c>
      <c r="C113" s="6" t="s">
        <v>90</v>
      </c>
      <c r="D113" s="6" t="s">
        <v>119</v>
      </c>
      <c r="E113" s="6" t="s">
        <v>120</v>
      </c>
      <c r="F113" s="7">
        <v>52</v>
      </c>
      <c r="G113" s="7">
        <v>6500</v>
      </c>
      <c r="H113" s="16">
        <v>45288</v>
      </c>
      <c r="I113" s="6">
        <v>52</v>
      </c>
      <c r="J113" s="6" t="s">
        <v>121</v>
      </c>
      <c r="K113" s="6" t="s">
        <v>122</v>
      </c>
      <c r="L113" s="11">
        <f>F113*Controls!$B$6</f>
        <v>52</v>
      </c>
      <c r="M113" s="11">
        <f>G113*Controls!$B$6</f>
        <v>6500</v>
      </c>
      <c r="N113" s="12">
        <f>IF(L113=0,0,SUMIFS('PSI Plan'!$N$6:$N$173,'PSI Plan'!$B$6:$B$173,B113,'PSI Plan'!$C$6:$C$173,I113))</f>
        <v>0</v>
      </c>
      <c r="O113" s="11">
        <f t="shared" si="2"/>
        <v>0</v>
      </c>
      <c r="P113" s="11">
        <f t="shared" si="3"/>
        <v>0</v>
      </c>
      <c r="Q113" s="6"/>
      <c r="R113" s="6"/>
      <c r="S113" s="6"/>
      <c r="T113" s="6"/>
    </row>
    <row r="114" spans="1:20">
      <c r="A114" s="6" t="s">
        <v>241</v>
      </c>
      <c r="B114" s="6" t="s">
        <v>77</v>
      </c>
      <c r="C114" s="6" t="s">
        <v>90</v>
      </c>
      <c r="D114" s="6" t="s">
        <v>119</v>
      </c>
      <c r="E114" s="6" t="s">
        <v>120</v>
      </c>
      <c r="F114" s="7">
        <v>156</v>
      </c>
      <c r="G114" s="7">
        <v>19500</v>
      </c>
      <c r="H114" s="16">
        <v>45218</v>
      </c>
      <c r="I114" s="6">
        <v>42</v>
      </c>
      <c r="J114" s="6" t="s">
        <v>121</v>
      </c>
      <c r="K114" s="6" t="s">
        <v>171</v>
      </c>
      <c r="L114" s="11">
        <f>F114*Controls!$B$6</f>
        <v>156</v>
      </c>
      <c r="M114" s="11">
        <f>G114*Controls!$B$6</f>
        <v>19500</v>
      </c>
      <c r="N114" s="12">
        <f>IF(L114=0,0,SUMIFS('PSI Plan'!$N$6:$N$173,'PSI Plan'!$B$6:$B$173,B114,'PSI Plan'!$C$6:$C$173,I114))</f>
        <v>0</v>
      </c>
      <c r="O114" s="11">
        <f t="shared" si="2"/>
        <v>0</v>
      </c>
      <c r="P114" s="11">
        <f t="shared" si="3"/>
        <v>0</v>
      </c>
      <c r="Q114" s="6"/>
      <c r="R114" s="6"/>
      <c r="S114" s="6"/>
      <c r="T114" s="6"/>
    </row>
    <row r="115" spans="1:20">
      <c r="A115" s="6" t="s">
        <v>242</v>
      </c>
      <c r="B115" s="6" t="s">
        <v>77</v>
      </c>
      <c r="C115" s="6" t="s">
        <v>90</v>
      </c>
      <c r="D115" s="6" t="s">
        <v>119</v>
      </c>
      <c r="E115" s="6" t="s">
        <v>120</v>
      </c>
      <c r="F115" s="7">
        <v>14</v>
      </c>
      <c r="G115" s="7">
        <v>1750</v>
      </c>
      <c r="H115" s="16">
        <v>45202</v>
      </c>
      <c r="I115" s="6">
        <v>40</v>
      </c>
      <c r="J115" s="6" t="s">
        <v>121</v>
      </c>
      <c r="K115" s="6" t="s">
        <v>135</v>
      </c>
      <c r="L115" s="11">
        <f>F115*Controls!$B$6</f>
        <v>14</v>
      </c>
      <c r="M115" s="11">
        <f>G115*Controls!$B$6</f>
        <v>1750</v>
      </c>
      <c r="N115" s="12">
        <f>IF(L115=0,0,SUMIFS('PSI Plan'!$N$6:$N$173,'PSI Plan'!$B$6:$B$173,B115,'PSI Plan'!$C$6:$C$173,I115))</f>
        <v>0</v>
      </c>
      <c r="O115" s="11">
        <f t="shared" si="2"/>
        <v>0</v>
      </c>
      <c r="P115" s="11">
        <f t="shared" si="3"/>
        <v>0</v>
      </c>
      <c r="Q115" s="6"/>
      <c r="R115" s="6"/>
      <c r="S115" s="6"/>
      <c r="T115" s="6"/>
    </row>
    <row r="116" spans="1:20">
      <c r="A116" s="6" t="s">
        <v>243</v>
      </c>
      <c r="B116" s="6" t="s">
        <v>69</v>
      </c>
      <c r="C116" s="6" t="s">
        <v>90</v>
      </c>
      <c r="D116" s="6" t="s">
        <v>119</v>
      </c>
      <c r="E116" s="6" t="s">
        <v>120</v>
      </c>
      <c r="F116" s="7">
        <v>17</v>
      </c>
      <c r="G116" s="7">
        <v>2125</v>
      </c>
      <c r="H116" s="16">
        <v>45278</v>
      </c>
      <c r="I116" s="6">
        <v>51</v>
      </c>
      <c r="J116" s="6" t="s">
        <v>121</v>
      </c>
      <c r="K116" s="6" t="s">
        <v>135</v>
      </c>
      <c r="L116" s="11">
        <f>F116*Controls!$B$6</f>
        <v>17</v>
      </c>
      <c r="M116" s="11">
        <f>G116*Controls!$B$6</f>
        <v>2125</v>
      </c>
      <c r="N116" s="12">
        <f>IF(L116=0,0,SUMIFS('PSI Plan'!$N$6:$N$173,'PSI Plan'!$B$6:$B$173,B116,'PSI Plan'!$C$6:$C$173,I116))</f>
        <v>0</v>
      </c>
      <c r="O116" s="11">
        <f t="shared" si="2"/>
        <v>0</v>
      </c>
      <c r="P116" s="11">
        <f t="shared" si="3"/>
        <v>0</v>
      </c>
      <c r="Q116" s="6"/>
      <c r="R116" s="6"/>
      <c r="S116" s="6"/>
      <c r="T116" s="6"/>
    </row>
    <row r="117" spans="1:20">
      <c r="A117" s="6" t="s">
        <v>244</v>
      </c>
      <c r="B117" s="6" t="s">
        <v>69</v>
      </c>
      <c r="C117" s="6" t="s">
        <v>90</v>
      </c>
      <c r="D117" s="6" t="s">
        <v>119</v>
      </c>
      <c r="E117" s="6" t="s">
        <v>120</v>
      </c>
      <c r="F117" s="7">
        <v>156</v>
      </c>
      <c r="G117" s="7">
        <v>19500</v>
      </c>
      <c r="H117" s="16">
        <v>45244</v>
      </c>
      <c r="I117" s="6">
        <v>46</v>
      </c>
      <c r="J117" s="6" t="s">
        <v>121</v>
      </c>
      <c r="K117" s="6" t="s">
        <v>171</v>
      </c>
      <c r="L117" s="11">
        <f>F117*Controls!$B$6</f>
        <v>156</v>
      </c>
      <c r="M117" s="11">
        <f>G117*Controls!$B$6</f>
        <v>19500</v>
      </c>
      <c r="N117" s="12">
        <f>IF(L117=0,0,SUMIFS('PSI Plan'!$N$6:$N$173,'PSI Plan'!$B$6:$B$173,B117,'PSI Plan'!$C$6:$C$173,I117))</f>
        <v>0</v>
      </c>
      <c r="O117" s="11">
        <f t="shared" si="2"/>
        <v>0</v>
      </c>
      <c r="P117" s="11">
        <f t="shared" si="3"/>
        <v>0</v>
      </c>
      <c r="Q117" s="6"/>
      <c r="R117" s="6"/>
      <c r="S117" s="6"/>
      <c r="T117" s="6"/>
    </row>
    <row r="118" spans="1:20">
      <c r="A118" s="6" t="s">
        <v>245</v>
      </c>
      <c r="B118" s="6" t="s">
        <v>77</v>
      </c>
      <c r="C118" s="6" t="s">
        <v>90</v>
      </c>
      <c r="D118" s="6" t="s">
        <v>119</v>
      </c>
      <c r="E118" s="6" t="s">
        <v>120</v>
      </c>
      <c r="F118" s="7">
        <v>121</v>
      </c>
      <c r="G118" s="7">
        <v>15125</v>
      </c>
      <c r="H118" s="16">
        <v>45246</v>
      </c>
      <c r="I118" s="6">
        <v>46</v>
      </c>
      <c r="J118" s="6" t="s">
        <v>121</v>
      </c>
      <c r="K118" s="6" t="s">
        <v>171</v>
      </c>
      <c r="L118" s="11">
        <f>F118*Controls!$B$6</f>
        <v>121</v>
      </c>
      <c r="M118" s="11">
        <f>G118*Controls!$B$6</f>
        <v>15125</v>
      </c>
      <c r="N118" s="12">
        <f>IF(L118=0,0,SUMIFS('PSI Plan'!$N$6:$N$173,'PSI Plan'!$B$6:$B$173,B118,'PSI Plan'!$C$6:$C$173,I118))</f>
        <v>0</v>
      </c>
      <c r="O118" s="11">
        <f t="shared" si="2"/>
        <v>0</v>
      </c>
      <c r="P118" s="11">
        <f t="shared" si="3"/>
        <v>0</v>
      </c>
      <c r="Q118" s="6"/>
      <c r="R118" s="6"/>
      <c r="S118" s="6"/>
      <c r="T118" s="6"/>
    </row>
    <row r="119" spans="1:20">
      <c r="A119" s="6" t="s">
        <v>246</v>
      </c>
      <c r="B119" s="6" t="s">
        <v>69</v>
      </c>
      <c r="C119" s="6" t="s">
        <v>90</v>
      </c>
      <c r="D119" s="6" t="s">
        <v>119</v>
      </c>
      <c r="E119" s="6" t="s">
        <v>120</v>
      </c>
      <c r="F119" s="7">
        <v>6</v>
      </c>
      <c r="G119" s="7">
        <v>750</v>
      </c>
      <c r="H119" s="16">
        <v>45278</v>
      </c>
      <c r="I119" s="6">
        <v>51</v>
      </c>
      <c r="J119" s="6" t="s">
        <v>121</v>
      </c>
      <c r="K119" s="6" t="s">
        <v>139</v>
      </c>
      <c r="L119" s="11">
        <f>F119*Controls!$B$6</f>
        <v>6</v>
      </c>
      <c r="M119" s="11">
        <f>G119*Controls!$B$6</f>
        <v>750</v>
      </c>
      <c r="N119" s="12">
        <f>IF(L119=0,0,SUMIFS('PSI Plan'!$N$6:$N$173,'PSI Plan'!$B$6:$B$173,B119,'PSI Plan'!$C$6:$C$173,I119))</f>
        <v>0</v>
      </c>
      <c r="O119" s="11">
        <f t="shared" si="2"/>
        <v>0</v>
      </c>
      <c r="P119" s="11">
        <f t="shared" si="3"/>
        <v>0</v>
      </c>
      <c r="Q119" s="6"/>
      <c r="R119" s="6"/>
      <c r="S119" s="6"/>
      <c r="T119" s="6"/>
    </row>
    <row r="120" spans="1:20">
      <c r="A120" s="6" t="s">
        <v>247</v>
      </c>
      <c r="B120" s="6" t="s">
        <v>77</v>
      </c>
      <c r="C120" s="6" t="s">
        <v>90</v>
      </c>
      <c r="D120" s="6" t="s">
        <v>119</v>
      </c>
      <c r="E120" s="6" t="s">
        <v>120</v>
      </c>
      <c r="F120" s="7">
        <v>2</v>
      </c>
      <c r="G120" s="7">
        <v>250</v>
      </c>
      <c r="H120" s="16">
        <v>45285</v>
      </c>
      <c r="I120" s="6">
        <v>52</v>
      </c>
      <c r="J120" s="6" t="s">
        <v>121</v>
      </c>
      <c r="K120" s="6" t="s">
        <v>139</v>
      </c>
      <c r="L120" s="11">
        <f>F120*Controls!$B$6</f>
        <v>2</v>
      </c>
      <c r="M120" s="11">
        <f>G120*Controls!$B$6</f>
        <v>250</v>
      </c>
      <c r="N120" s="12">
        <f>IF(L120=0,0,SUMIFS('PSI Plan'!$N$6:$N$173,'PSI Plan'!$B$6:$B$173,B120,'PSI Plan'!$C$6:$C$173,I120))</f>
        <v>0</v>
      </c>
      <c r="O120" s="11">
        <f t="shared" si="2"/>
        <v>0</v>
      </c>
      <c r="P120" s="11">
        <f t="shared" si="3"/>
        <v>0</v>
      </c>
      <c r="Q120" s="6"/>
      <c r="R120" s="6"/>
      <c r="S120" s="6"/>
      <c r="T120" s="6"/>
    </row>
    <row r="121" spans="1:20">
      <c r="A121" s="6" t="s">
        <v>248</v>
      </c>
      <c r="B121" s="6" t="s">
        <v>77</v>
      </c>
      <c r="C121" s="6" t="s">
        <v>90</v>
      </c>
      <c r="D121" s="6" t="s">
        <v>119</v>
      </c>
      <c r="E121" s="6" t="s">
        <v>120</v>
      </c>
      <c r="F121" s="7">
        <v>4</v>
      </c>
      <c r="G121" s="7">
        <v>500</v>
      </c>
      <c r="H121" s="16">
        <v>45218</v>
      </c>
      <c r="I121" s="6">
        <v>42</v>
      </c>
      <c r="J121" s="6" t="s">
        <v>121</v>
      </c>
      <c r="K121" s="6" t="s">
        <v>125</v>
      </c>
      <c r="L121" s="11">
        <f>F121*Controls!$B$6</f>
        <v>4</v>
      </c>
      <c r="M121" s="11">
        <f>G121*Controls!$B$6</f>
        <v>500</v>
      </c>
      <c r="N121" s="12">
        <f>IF(L121=0,0,SUMIFS('PSI Plan'!$N$6:$N$173,'PSI Plan'!$B$6:$B$173,B121,'PSI Plan'!$C$6:$C$173,I121))</f>
        <v>0</v>
      </c>
      <c r="O121" s="11">
        <f t="shared" si="2"/>
        <v>0</v>
      </c>
      <c r="P121" s="11">
        <f t="shared" si="3"/>
        <v>0</v>
      </c>
      <c r="Q121" s="6"/>
      <c r="R121" s="6"/>
      <c r="S121" s="6"/>
      <c r="T121" s="6"/>
    </row>
    <row r="122" spans="1:20">
      <c r="A122" s="6" t="s">
        <v>249</v>
      </c>
      <c r="B122" s="6" t="s">
        <v>69</v>
      </c>
      <c r="C122" s="6" t="s">
        <v>90</v>
      </c>
      <c r="D122" s="6" t="s">
        <v>119</v>
      </c>
      <c r="E122" s="6" t="s">
        <v>120</v>
      </c>
      <c r="F122" s="7">
        <v>5</v>
      </c>
      <c r="G122" s="7">
        <v>625</v>
      </c>
      <c r="H122" s="16">
        <v>45248</v>
      </c>
      <c r="I122" s="6">
        <v>46</v>
      </c>
      <c r="J122" s="6" t="s">
        <v>121</v>
      </c>
      <c r="K122" s="6" t="s">
        <v>132</v>
      </c>
      <c r="L122" s="11">
        <f>F122*Controls!$B$6</f>
        <v>5</v>
      </c>
      <c r="M122" s="11">
        <f>G122*Controls!$B$6</f>
        <v>625</v>
      </c>
      <c r="N122" s="12">
        <f>IF(L122=0,0,SUMIFS('PSI Plan'!$N$6:$N$173,'PSI Plan'!$B$6:$B$173,B122,'PSI Plan'!$C$6:$C$173,I122))</f>
        <v>0</v>
      </c>
      <c r="O122" s="11">
        <f t="shared" si="2"/>
        <v>0</v>
      </c>
      <c r="P122" s="11">
        <f t="shared" si="3"/>
        <v>0</v>
      </c>
      <c r="Q122" s="6"/>
      <c r="R122" s="6"/>
      <c r="S122" s="6"/>
      <c r="T122" s="6"/>
    </row>
    <row r="123" spans="1:20">
      <c r="A123" s="6" t="s">
        <v>250</v>
      </c>
      <c r="B123" s="6" t="s">
        <v>77</v>
      </c>
      <c r="C123" s="6" t="s">
        <v>90</v>
      </c>
      <c r="D123" s="6" t="s">
        <v>119</v>
      </c>
      <c r="E123" s="6" t="s">
        <v>120</v>
      </c>
      <c r="F123" s="7">
        <v>53</v>
      </c>
      <c r="G123" s="7">
        <v>6625</v>
      </c>
      <c r="H123" s="16">
        <v>45283</v>
      </c>
      <c r="I123" s="6">
        <v>51</v>
      </c>
      <c r="J123" s="6" t="s">
        <v>121</v>
      </c>
      <c r="K123" s="6" t="s">
        <v>171</v>
      </c>
      <c r="L123" s="11">
        <f>F123*Controls!$B$6</f>
        <v>53</v>
      </c>
      <c r="M123" s="11">
        <f>G123*Controls!$B$6</f>
        <v>6625</v>
      </c>
      <c r="N123" s="12">
        <f>IF(L123=0,0,SUMIFS('PSI Plan'!$N$6:$N$173,'PSI Plan'!$B$6:$B$173,B123,'PSI Plan'!$C$6:$C$173,I123))</f>
        <v>0</v>
      </c>
      <c r="O123" s="11">
        <f t="shared" si="2"/>
        <v>0</v>
      </c>
      <c r="P123" s="11">
        <f t="shared" si="3"/>
        <v>0</v>
      </c>
      <c r="Q123" s="6"/>
      <c r="R123" s="6"/>
      <c r="S123" s="6"/>
      <c r="T123" s="6"/>
    </row>
    <row r="124" spans="1:20">
      <c r="A124" s="6" t="s">
        <v>251</v>
      </c>
      <c r="B124" s="6" t="s">
        <v>69</v>
      </c>
      <c r="C124" s="6" t="s">
        <v>90</v>
      </c>
      <c r="D124" s="6" t="s">
        <v>119</v>
      </c>
      <c r="E124" s="6" t="s">
        <v>120</v>
      </c>
      <c r="F124" s="7">
        <v>65</v>
      </c>
      <c r="G124" s="7">
        <v>8125</v>
      </c>
      <c r="H124" s="16">
        <v>45214</v>
      </c>
      <c r="I124" s="6">
        <v>42</v>
      </c>
      <c r="J124" s="6" t="s">
        <v>121</v>
      </c>
      <c r="K124" s="6" t="s">
        <v>171</v>
      </c>
      <c r="L124" s="11">
        <f>F124*Controls!$B$6</f>
        <v>65</v>
      </c>
      <c r="M124" s="11">
        <f>G124*Controls!$B$6</f>
        <v>8125</v>
      </c>
      <c r="N124" s="12">
        <f>IF(L124=0,0,SUMIFS('PSI Plan'!$N$6:$N$173,'PSI Plan'!$B$6:$B$173,B124,'PSI Plan'!$C$6:$C$173,I124))</f>
        <v>0</v>
      </c>
      <c r="O124" s="11">
        <f t="shared" si="2"/>
        <v>0</v>
      </c>
      <c r="P124" s="11">
        <f t="shared" si="3"/>
        <v>0</v>
      </c>
      <c r="Q124" s="6"/>
      <c r="R124" s="6"/>
      <c r="S124" s="6"/>
      <c r="T124" s="6"/>
    </row>
    <row r="125" spans="1:20">
      <c r="A125" s="6" t="s">
        <v>252</v>
      </c>
      <c r="B125" s="6" t="s">
        <v>77</v>
      </c>
      <c r="C125" s="6" t="s">
        <v>90</v>
      </c>
      <c r="D125" s="6" t="s">
        <v>119</v>
      </c>
      <c r="E125" s="6" t="s">
        <v>120</v>
      </c>
      <c r="F125" s="7">
        <v>1</v>
      </c>
      <c r="G125" s="7">
        <v>125</v>
      </c>
      <c r="H125" s="16">
        <v>45276</v>
      </c>
      <c r="I125" s="6">
        <v>50</v>
      </c>
      <c r="J125" s="6" t="s">
        <v>121</v>
      </c>
      <c r="K125" s="6" t="s">
        <v>139</v>
      </c>
      <c r="L125" s="11">
        <f>F125*Controls!$B$6</f>
        <v>1</v>
      </c>
      <c r="M125" s="11">
        <f>G125*Controls!$B$6</f>
        <v>125</v>
      </c>
      <c r="N125" s="12">
        <f>IF(L125=0,0,SUMIFS('PSI Plan'!$N$6:$N$173,'PSI Plan'!$B$6:$B$173,B125,'PSI Plan'!$C$6:$C$173,I125))</f>
        <v>0</v>
      </c>
      <c r="O125" s="11">
        <f t="shared" si="2"/>
        <v>0</v>
      </c>
      <c r="P125" s="11">
        <f t="shared" si="3"/>
        <v>0</v>
      </c>
      <c r="Q125" s="6"/>
      <c r="R125" s="6"/>
      <c r="S125" s="6"/>
      <c r="T125" s="6"/>
    </row>
    <row r="126" spans="1:20">
      <c r="A126" s="6" t="s">
        <v>253</v>
      </c>
      <c r="B126" s="6" t="s">
        <v>69</v>
      </c>
      <c r="C126" s="6" t="s">
        <v>90</v>
      </c>
      <c r="D126" s="6" t="s">
        <v>119</v>
      </c>
      <c r="E126" s="6" t="s">
        <v>120</v>
      </c>
      <c r="F126" s="7">
        <v>1</v>
      </c>
      <c r="G126" s="7">
        <v>125</v>
      </c>
      <c r="H126" s="16">
        <v>45229</v>
      </c>
      <c r="I126" s="6">
        <v>44</v>
      </c>
      <c r="J126" s="6" t="s">
        <v>121</v>
      </c>
      <c r="K126" s="6" t="s">
        <v>139</v>
      </c>
      <c r="L126" s="11">
        <f>F126*Controls!$B$6</f>
        <v>1</v>
      </c>
      <c r="M126" s="11">
        <f>G126*Controls!$B$6</f>
        <v>125</v>
      </c>
      <c r="N126" s="12">
        <f>IF(L126=0,0,SUMIFS('PSI Plan'!$N$6:$N$173,'PSI Plan'!$B$6:$B$173,B126,'PSI Plan'!$C$6:$C$173,I126))</f>
        <v>0</v>
      </c>
      <c r="O126" s="11">
        <f t="shared" si="2"/>
        <v>0</v>
      </c>
      <c r="P126" s="11">
        <f t="shared" si="3"/>
        <v>0</v>
      </c>
      <c r="Q126" s="6"/>
      <c r="R126" s="6"/>
      <c r="S126" s="6"/>
      <c r="T126" s="6"/>
    </row>
    <row r="127" spans="1:20">
      <c r="A127" s="6" t="s">
        <v>254</v>
      </c>
      <c r="B127" s="6" t="s">
        <v>66</v>
      </c>
      <c r="C127" s="6" t="s">
        <v>90</v>
      </c>
      <c r="D127" s="6" t="s">
        <v>119</v>
      </c>
      <c r="E127" s="6" t="s">
        <v>120</v>
      </c>
      <c r="F127" s="7">
        <v>3</v>
      </c>
      <c r="G127" s="7">
        <v>375</v>
      </c>
      <c r="H127" s="16">
        <v>45217</v>
      </c>
      <c r="I127" s="6">
        <v>42</v>
      </c>
      <c r="J127" s="6" t="s">
        <v>121</v>
      </c>
      <c r="K127" s="6" t="s">
        <v>139</v>
      </c>
      <c r="L127" s="11">
        <f>F127*Controls!$B$6</f>
        <v>3</v>
      </c>
      <c r="M127" s="11">
        <f>G127*Controls!$B$6</f>
        <v>375</v>
      </c>
      <c r="N127" s="12">
        <f>IF(L127=0,0,SUMIFS('PSI Plan'!$N$6:$N$173,'PSI Plan'!$B$6:$B$173,B127,'PSI Plan'!$C$6:$C$173,I127))</f>
        <v>0.59807073954983925</v>
      </c>
      <c r="O127" s="11">
        <f t="shared" si="2"/>
        <v>1.7942122186495177</v>
      </c>
      <c r="P127" s="11">
        <f t="shared" si="3"/>
        <v>224.27652733118973</v>
      </c>
      <c r="Q127" s="6"/>
      <c r="R127" s="6"/>
      <c r="S127" s="6"/>
      <c r="T127" s="6"/>
    </row>
    <row r="128" spans="1:20">
      <c r="A128" s="6" t="s">
        <v>255</v>
      </c>
      <c r="B128" s="6" t="s">
        <v>77</v>
      </c>
      <c r="C128" s="6" t="s">
        <v>90</v>
      </c>
      <c r="D128" s="6" t="s">
        <v>119</v>
      </c>
      <c r="E128" s="6" t="s">
        <v>120</v>
      </c>
      <c r="F128" s="7">
        <v>3</v>
      </c>
      <c r="G128" s="7">
        <v>375</v>
      </c>
      <c r="H128" s="16">
        <v>45255</v>
      </c>
      <c r="I128" s="6">
        <v>47</v>
      </c>
      <c r="J128" s="6" t="s">
        <v>121</v>
      </c>
      <c r="K128" s="6" t="s">
        <v>135</v>
      </c>
      <c r="L128" s="11">
        <f>F128*Controls!$B$6</f>
        <v>3</v>
      </c>
      <c r="M128" s="11">
        <f>G128*Controls!$B$6</f>
        <v>375</v>
      </c>
      <c r="N128" s="12">
        <f>IF(L128=0,0,SUMIFS('PSI Plan'!$N$6:$N$173,'PSI Plan'!$B$6:$B$173,B128,'PSI Plan'!$C$6:$C$173,I128))</f>
        <v>0</v>
      </c>
      <c r="O128" s="11">
        <f t="shared" si="2"/>
        <v>0</v>
      </c>
      <c r="P128" s="11">
        <f t="shared" si="3"/>
        <v>0</v>
      </c>
      <c r="Q128" s="6"/>
      <c r="R128" s="6"/>
      <c r="S128" s="6"/>
      <c r="T128" s="6"/>
    </row>
    <row r="129" spans="1:20">
      <c r="A129" s="6" t="s">
        <v>256</v>
      </c>
      <c r="B129" s="6" t="s">
        <v>66</v>
      </c>
      <c r="C129" s="6" t="s">
        <v>90</v>
      </c>
      <c r="D129" s="6" t="s">
        <v>119</v>
      </c>
      <c r="E129" s="6" t="s">
        <v>120</v>
      </c>
      <c r="F129" s="7">
        <v>52</v>
      </c>
      <c r="G129" s="7">
        <v>6500</v>
      </c>
      <c r="H129" s="16">
        <v>45261</v>
      </c>
      <c r="I129" s="6">
        <v>48</v>
      </c>
      <c r="J129" s="6" t="s">
        <v>121</v>
      </c>
      <c r="K129" s="6" t="s">
        <v>122</v>
      </c>
      <c r="L129" s="11">
        <f>F129*Controls!$B$6</f>
        <v>52</v>
      </c>
      <c r="M129" s="11">
        <f>G129*Controls!$B$6</f>
        <v>6500</v>
      </c>
      <c r="N129" s="12">
        <f>IF(L129=0,0,SUMIFS('PSI Plan'!$N$6:$N$173,'PSI Plan'!$B$6:$B$173,B129,'PSI Plan'!$C$6:$C$173,I129))</f>
        <v>0</v>
      </c>
      <c r="O129" s="11">
        <f t="shared" si="2"/>
        <v>0</v>
      </c>
      <c r="P129" s="11">
        <f t="shared" si="3"/>
        <v>0</v>
      </c>
      <c r="Q129" s="6"/>
      <c r="R129" s="6"/>
      <c r="S129" s="6"/>
      <c r="T129" s="6"/>
    </row>
    <row r="130" spans="1:20">
      <c r="A130" s="6" t="s">
        <v>257</v>
      </c>
      <c r="B130" s="6" t="s">
        <v>69</v>
      </c>
      <c r="C130" s="6" t="s">
        <v>90</v>
      </c>
      <c r="D130" s="6" t="s">
        <v>119</v>
      </c>
      <c r="E130" s="6" t="s">
        <v>120</v>
      </c>
      <c r="F130" s="7">
        <v>7</v>
      </c>
      <c r="G130" s="7">
        <v>875</v>
      </c>
      <c r="H130" s="16">
        <v>45236</v>
      </c>
      <c r="I130" s="6">
        <v>45</v>
      </c>
      <c r="J130" s="6" t="s">
        <v>121</v>
      </c>
      <c r="K130" s="6" t="s">
        <v>139</v>
      </c>
      <c r="L130" s="11">
        <f>F130*Controls!$B$6</f>
        <v>7</v>
      </c>
      <c r="M130" s="11">
        <f>G130*Controls!$B$6</f>
        <v>875</v>
      </c>
      <c r="N130" s="12">
        <f>IF(L130=0,0,SUMIFS('PSI Plan'!$N$6:$N$173,'PSI Plan'!$B$6:$B$173,B130,'PSI Plan'!$C$6:$C$173,I130))</f>
        <v>0</v>
      </c>
      <c r="O130" s="11">
        <f t="shared" ref="O130:O193" si="4">L130*N130</f>
        <v>0</v>
      </c>
      <c r="P130" s="11">
        <f t="shared" ref="P130:P193" si="5">M130*N130</f>
        <v>0</v>
      </c>
      <c r="Q130" s="6"/>
      <c r="R130" s="6"/>
      <c r="S130" s="6"/>
      <c r="T130" s="6"/>
    </row>
    <row r="131" spans="1:20">
      <c r="A131" s="6" t="s">
        <v>258</v>
      </c>
      <c r="B131" s="6" t="s">
        <v>77</v>
      </c>
      <c r="C131" s="6" t="s">
        <v>90</v>
      </c>
      <c r="D131" s="6" t="s">
        <v>119</v>
      </c>
      <c r="E131" s="6" t="s">
        <v>120</v>
      </c>
      <c r="F131" s="7">
        <v>5</v>
      </c>
      <c r="G131" s="7">
        <v>625</v>
      </c>
      <c r="H131" s="16">
        <v>45254</v>
      </c>
      <c r="I131" s="6">
        <v>47</v>
      </c>
      <c r="J131" s="6" t="s">
        <v>121</v>
      </c>
      <c r="K131" s="6" t="s">
        <v>139</v>
      </c>
      <c r="L131" s="11">
        <f>F131*Controls!$B$6</f>
        <v>5</v>
      </c>
      <c r="M131" s="11">
        <f>G131*Controls!$B$6</f>
        <v>625</v>
      </c>
      <c r="N131" s="12">
        <f>IF(L131=0,0,SUMIFS('PSI Plan'!$N$6:$N$173,'PSI Plan'!$B$6:$B$173,B131,'PSI Plan'!$C$6:$C$173,I131))</f>
        <v>0</v>
      </c>
      <c r="O131" s="11">
        <f t="shared" si="4"/>
        <v>0</v>
      </c>
      <c r="P131" s="11">
        <f t="shared" si="5"/>
        <v>0</v>
      </c>
      <c r="Q131" s="6"/>
      <c r="R131" s="6"/>
      <c r="S131" s="6"/>
      <c r="T131" s="6"/>
    </row>
    <row r="132" spans="1:20">
      <c r="A132" s="6" t="s">
        <v>259</v>
      </c>
      <c r="B132" s="6" t="s">
        <v>77</v>
      </c>
      <c r="C132" s="6" t="s">
        <v>90</v>
      </c>
      <c r="D132" s="6" t="s">
        <v>119</v>
      </c>
      <c r="E132" s="6" t="s">
        <v>120</v>
      </c>
      <c r="F132" s="7">
        <v>9</v>
      </c>
      <c r="G132" s="7">
        <v>1125</v>
      </c>
      <c r="H132" s="16">
        <v>45287</v>
      </c>
      <c r="I132" s="6">
        <v>52</v>
      </c>
      <c r="J132" s="6" t="s">
        <v>121</v>
      </c>
      <c r="K132" s="6" t="s">
        <v>132</v>
      </c>
      <c r="L132" s="11">
        <f>F132*Controls!$B$6</f>
        <v>9</v>
      </c>
      <c r="M132" s="11">
        <f>G132*Controls!$B$6</f>
        <v>1125</v>
      </c>
      <c r="N132" s="12">
        <f>IF(L132=0,0,SUMIFS('PSI Plan'!$N$6:$N$173,'PSI Plan'!$B$6:$B$173,B132,'PSI Plan'!$C$6:$C$173,I132))</f>
        <v>0</v>
      </c>
      <c r="O132" s="11">
        <f t="shared" si="4"/>
        <v>0</v>
      </c>
      <c r="P132" s="11">
        <f t="shared" si="5"/>
        <v>0</v>
      </c>
      <c r="Q132" s="6"/>
      <c r="R132" s="6"/>
      <c r="S132" s="6"/>
      <c r="T132" s="6"/>
    </row>
    <row r="133" spans="1:20">
      <c r="A133" s="6" t="s">
        <v>260</v>
      </c>
      <c r="B133" s="6" t="s">
        <v>77</v>
      </c>
      <c r="C133" s="6" t="s">
        <v>90</v>
      </c>
      <c r="D133" s="6" t="s">
        <v>119</v>
      </c>
      <c r="E133" s="6" t="s">
        <v>120</v>
      </c>
      <c r="F133" s="7">
        <v>34</v>
      </c>
      <c r="G133" s="7">
        <v>4250</v>
      </c>
      <c r="H133" s="16">
        <v>45214</v>
      </c>
      <c r="I133" s="6">
        <v>42</v>
      </c>
      <c r="J133" s="6" t="s">
        <v>121</v>
      </c>
      <c r="K133" s="6" t="s">
        <v>171</v>
      </c>
      <c r="L133" s="11">
        <f>F133*Controls!$B$6</f>
        <v>34</v>
      </c>
      <c r="M133" s="11">
        <f>G133*Controls!$B$6</f>
        <v>4250</v>
      </c>
      <c r="N133" s="12">
        <f>IF(L133=0,0,SUMIFS('PSI Plan'!$N$6:$N$173,'PSI Plan'!$B$6:$B$173,B133,'PSI Plan'!$C$6:$C$173,I133))</f>
        <v>0</v>
      </c>
      <c r="O133" s="11">
        <f t="shared" si="4"/>
        <v>0</v>
      </c>
      <c r="P133" s="11">
        <f t="shared" si="5"/>
        <v>0</v>
      </c>
      <c r="Q133" s="6"/>
      <c r="R133" s="6"/>
      <c r="S133" s="6"/>
      <c r="T133" s="6"/>
    </row>
    <row r="134" spans="1:20">
      <c r="A134" s="6" t="s">
        <v>261</v>
      </c>
      <c r="B134" s="6" t="s">
        <v>69</v>
      </c>
      <c r="C134" s="6" t="s">
        <v>90</v>
      </c>
      <c r="D134" s="6" t="s">
        <v>119</v>
      </c>
      <c r="E134" s="6" t="s">
        <v>120</v>
      </c>
      <c r="F134" s="7">
        <v>38</v>
      </c>
      <c r="G134" s="7">
        <v>4750</v>
      </c>
      <c r="H134" s="16">
        <v>45243</v>
      </c>
      <c r="I134" s="6">
        <v>46</v>
      </c>
      <c r="J134" s="6" t="s">
        <v>121</v>
      </c>
      <c r="K134" s="6" t="s">
        <v>171</v>
      </c>
      <c r="L134" s="11">
        <f>F134*Controls!$B$6</f>
        <v>38</v>
      </c>
      <c r="M134" s="11">
        <f>G134*Controls!$B$6</f>
        <v>4750</v>
      </c>
      <c r="N134" s="12">
        <f>IF(L134=0,0,SUMIFS('PSI Plan'!$N$6:$N$173,'PSI Plan'!$B$6:$B$173,B134,'PSI Plan'!$C$6:$C$173,I134))</f>
        <v>0</v>
      </c>
      <c r="O134" s="11">
        <f t="shared" si="4"/>
        <v>0</v>
      </c>
      <c r="P134" s="11">
        <f t="shared" si="5"/>
        <v>0</v>
      </c>
      <c r="Q134" s="6"/>
      <c r="R134" s="6"/>
      <c r="S134" s="6"/>
      <c r="T134" s="6"/>
    </row>
    <row r="135" spans="1:20">
      <c r="A135" s="6" t="s">
        <v>262</v>
      </c>
      <c r="B135" s="6" t="s">
        <v>69</v>
      </c>
      <c r="C135" s="6" t="s">
        <v>90</v>
      </c>
      <c r="D135" s="6" t="s">
        <v>119</v>
      </c>
      <c r="E135" s="6" t="s">
        <v>120</v>
      </c>
      <c r="F135" s="7">
        <v>52</v>
      </c>
      <c r="G135" s="7">
        <v>6500</v>
      </c>
      <c r="H135" s="16">
        <v>45210</v>
      </c>
      <c r="I135" s="6">
        <v>41</v>
      </c>
      <c r="J135" s="6" t="s">
        <v>121</v>
      </c>
      <c r="K135" s="6" t="s">
        <v>122</v>
      </c>
      <c r="L135" s="11">
        <f>F135*Controls!$B$6</f>
        <v>52</v>
      </c>
      <c r="M135" s="11">
        <f>G135*Controls!$B$6</f>
        <v>6500</v>
      </c>
      <c r="N135" s="12">
        <f>IF(L135=0,0,SUMIFS('PSI Plan'!$N$6:$N$173,'PSI Plan'!$B$6:$B$173,B135,'PSI Plan'!$C$6:$C$173,I135))</f>
        <v>0</v>
      </c>
      <c r="O135" s="11">
        <f t="shared" si="4"/>
        <v>0</v>
      </c>
      <c r="P135" s="11">
        <f t="shared" si="5"/>
        <v>0</v>
      </c>
      <c r="Q135" s="6"/>
      <c r="R135" s="6"/>
      <c r="S135" s="6"/>
      <c r="T135" s="6"/>
    </row>
    <row r="136" spans="1:20">
      <c r="A136" s="6" t="s">
        <v>263</v>
      </c>
      <c r="B136" s="6" t="s">
        <v>77</v>
      </c>
      <c r="C136" s="6" t="s">
        <v>90</v>
      </c>
      <c r="D136" s="6" t="s">
        <v>119</v>
      </c>
      <c r="E136" s="6" t="s">
        <v>120</v>
      </c>
      <c r="F136" s="7">
        <v>5</v>
      </c>
      <c r="G136" s="7">
        <v>625</v>
      </c>
      <c r="H136" s="16">
        <v>45245</v>
      </c>
      <c r="I136" s="6">
        <v>46</v>
      </c>
      <c r="J136" s="6" t="s">
        <v>121</v>
      </c>
      <c r="K136" s="6" t="s">
        <v>150</v>
      </c>
      <c r="L136" s="11">
        <f>F136*Controls!$B$6</f>
        <v>5</v>
      </c>
      <c r="M136" s="11">
        <f>G136*Controls!$B$6</f>
        <v>625</v>
      </c>
      <c r="N136" s="12">
        <f>IF(L136=0,0,SUMIFS('PSI Plan'!$N$6:$N$173,'PSI Plan'!$B$6:$B$173,B136,'PSI Plan'!$C$6:$C$173,I136))</f>
        <v>0</v>
      </c>
      <c r="O136" s="11">
        <f t="shared" si="4"/>
        <v>0</v>
      </c>
      <c r="P136" s="11">
        <f t="shared" si="5"/>
        <v>0</v>
      </c>
      <c r="Q136" s="6"/>
      <c r="R136" s="6"/>
      <c r="S136" s="6"/>
      <c r="T136" s="6"/>
    </row>
    <row r="137" spans="1:20">
      <c r="A137" s="6" t="s">
        <v>264</v>
      </c>
      <c r="B137" s="6" t="s">
        <v>69</v>
      </c>
      <c r="C137" s="6" t="s">
        <v>90</v>
      </c>
      <c r="D137" s="6" t="s">
        <v>119</v>
      </c>
      <c r="E137" s="6" t="s">
        <v>120</v>
      </c>
      <c r="F137" s="7">
        <v>4</v>
      </c>
      <c r="G137" s="7">
        <v>500</v>
      </c>
      <c r="H137" s="16">
        <v>45230</v>
      </c>
      <c r="I137" s="6">
        <v>44</v>
      </c>
      <c r="J137" s="6" t="s">
        <v>121</v>
      </c>
      <c r="K137" s="6" t="s">
        <v>150</v>
      </c>
      <c r="L137" s="11">
        <f>F137*Controls!$B$6</f>
        <v>4</v>
      </c>
      <c r="M137" s="11">
        <f>G137*Controls!$B$6</f>
        <v>500</v>
      </c>
      <c r="N137" s="12">
        <f>IF(L137=0,0,SUMIFS('PSI Plan'!$N$6:$N$173,'PSI Plan'!$B$6:$B$173,B137,'PSI Plan'!$C$6:$C$173,I137))</f>
        <v>0</v>
      </c>
      <c r="O137" s="11">
        <f t="shared" si="4"/>
        <v>0</v>
      </c>
      <c r="P137" s="11">
        <f t="shared" si="5"/>
        <v>0</v>
      </c>
      <c r="Q137" s="6"/>
      <c r="R137" s="6"/>
      <c r="S137" s="6"/>
      <c r="T137" s="6"/>
    </row>
    <row r="138" spans="1:20">
      <c r="A138" s="6" t="s">
        <v>265</v>
      </c>
      <c r="B138" s="6" t="s">
        <v>66</v>
      </c>
      <c r="C138" s="6" t="s">
        <v>90</v>
      </c>
      <c r="D138" s="6" t="s">
        <v>119</v>
      </c>
      <c r="E138" s="6" t="s">
        <v>120</v>
      </c>
      <c r="F138" s="7">
        <v>52</v>
      </c>
      <c r="G138" s="7">
        <v>6500</v>
      </c>
      <c r="H138" s="16">
        <v>45238</v>
      </c>
      <c r="I138" s="6">
        <v>45</v>
      </c>
      <c r="J138" s="6" t="s">
        <v>121</v>
      </c>
      <c r="K138" s="6" t="s">
        <v>122</v>
      </c>
      <c r="L138" s="11">
        <f>F138*Controls!$B$6</f>
        <v>52</v>
      </c>
      <c r="M138" s="11">
        <f>G138*Controls!$B$6</f>
        <v>6500</v>
      </c>
      <c r="N138" s="12">
        <f>IF(L138=0,0,SUMIFS('PSI Plan'!$N$6:$N$173,'PSI Plan'!$B$6:$B$173,B138,'PSI Plan'!$C$6:$C$173,I138))</f>
        <v>0</v>
      </c>
      <c r="O138" s="11">
        <f t="shared" si="4"/>
        <v>0</v>
      </c>
      <c r="P138" s="11">
        <f t="shared" si="5"/>
        <v>0</v>
      </c>
      <c r="Q138" s="6"/>
      <c r="R138" s="6"/>
      <c r="S138" s="6"/>
      <c r="T138" s="6"/>
    </row>
    <row r="139" spans="1:20">
      <c r="A139" s="6" t="s">
        <v>266</v>
      </c>
      <c r="B139" s="6" t="s">
        <v>69</v>
      </c>
      <c r="C139" s="6" t="s">
        <v>90</v>
      </c>
      <c r="D139" s="6" t="s">
        <v>119</v>
      </c>
      <c r="E139" s="6" t="s">
        <v>120</v>
      </c>
      <c r="F139" s="7">
        <v>52</v>
      </c>
      <c r="G139" s="7">
        <v>6500</v>
      </c>
      <c r="H139" s="16">
        <v>45239</v>
      </c>
      <c r="I139" s="6">
        <v>45</v>
      </c>
      <c r="J139" s="6" t="s">
        <v>121</v>
      </c>
      <c r="K139" s="6" t="s">
        <v>122</v>
      </c>
      <c r="L139" s="11">
        <f>F139*Controls!$B$6</f>
        <v>52</v>
      </c>
      <c r="M139" s="11">
        <f>G139*Controls!$B$6</f>
        <v>6500</v>
      </c>
      <c r="N139" s="12">
        <f>IF(L139=0,0,SUMIFS('PSI Plan'!$N$6:$N$173,'PSI Plan'!$B$6:$B$173,B139,'PSI Plan'!$C$6:$C$173,I139))</f>
        <v>0</v>
      </c>
      <c r="O139" s="11">
        <f t="shared" si="4"/>
        <v>0</v>
      </c>
      <c r="P139" s="11">
        <f t="shared" si="5"/>
        <v>0</v>
      </c>
      <c r="Q139" s="6"/>
      <c r="R139" s="6"/>
      <c r="S139" s="6"/>
      <c r="T139" s="6"/>
    </row>
    <row r="140" spans="1:20">
      <c r="A140" s="6" t="s">
        <v>267</v>
      </c>
      <c r="B140" s="6" t="s">
        <v>77</v>
      </c>
      <c r="C140" s="6" t="s">
        <v>90</v>
      </c>
      <c r="D140" s="6" t="s">
        <v>119</v>
      </c>
      <c r="E140" s="6" t="s">
        <v>120</v>
      </c>
      <c r="F140" s="7">
        <v>7</v>
      </c>
      <c r="G140" s="7">
        <v>875</v>
      </c>
      <c r="H140" s="16">
        <v>45235</v>
      </c>
      <c r="I140" s="6">
        <v>45</v>
      </c>
      <c r="J140" s="6" t="s">
        <v>121</v>
      </c>
      <c r="K140" s="6" t="s">
        <v>169</v>
      </c>
      <c r="L140" s="11">
        <f>F140*Controls!$B$6</f>
        <v>7</v>
      </c>
      <c r="M140" s="11">
        <f>G140*Controls!$B$6</f>
        <v>875</v>
      </c>
      <c r="N140" s="12">
        <f>IF(L140=0,0,SUMIFS('PSI Plan'!$N$6:$N$173,'PSI Plan'!$B$6:$B$173,B140,'PSI Plan'!$C$6:$C$173,I140))</f>
        <v>0</v>
      </c>
      <c r="O140" s="11">
        <f t="shared" si="4"/>
        <v>0</v>
      </c>
      <c r="P140" s="11">
        <f t="shared" si="5"/>
        <v>0</v>
      </c>
      <c r="Q140" s="6"/>
      <c r="R140" s="6"/>
      <c r="S140" s="6"/>
      <c r="T140" s="6"/>
    </row>
    <row r="141" spans="1:20">
      <c r="A141" s="6" t="s">
        <v>268</v>
      </c>
      <c r="B141" s="6" t="s">
        <v>69</v>
      </c>
      <c r="C141" s="6" t="s">
        <v>90</v>
      </c>
      <c r="D141" s="6" t="s">
        <v>119</v>
      </c>
      <c r="E141" s="6" t="s">
        <v>120</v>
      </c>
      <c r="F141" s="7">
        <v>8</v>
      </c>
      <c r="G141" s="7">
        <v>1000</v>
      </c>
      <c r="H141" s="16">
        <v>45288</v>
      </c>
      <c r="I141" s="6">
        <v>52</v>
      </c>
      <c r="J141" s="6" t="s">
        <v>121</v>
      </c>
      <c r="K141" s="6" t="s">
        <v>169</v>
      </c>
      <c r="L141" s="11">
        <f>F141*Controls!$B$6</f>
        <v>8</v>
      </c>
      <c r="M141" s="11">
        <f>G141*Controls!$B$6</f>
        <v>1000</v>
      </c>
      <c r="N141" s="12">
        <f>IF(L141=0,0,SUMIFS('PSI Plan'!$N$6:$N$173,'PSI Plan'!$B$6:$B$173,B141,'PSI Plan'!$C$6:$C$173,I141))</f>
        <v>0</v>
      </c>
      <c r="O141" s="11">
        <f t="shared" si="4"/>
        <v>0</v>
      </c>
      <c r="P141" s="11">
        <f t="shared" si="5"/>
        <v>0</v>
      </c>
      <c r="Q141" s="6"/>
      <c r="R141" s="6"/>
      <c r="S141" s="6"/>
      <c r="T141" s="6"/>
    </row>
    <row r="142" spans="1:20">
      <c r="A142" s="6" t="s">
        <v>269</v>
      </c>
      <c r="B142" s="6" t="s">
        <v>66</v>
      </c>
      <c r="C142" s="6" t="s">
        <v>90</v>
      </c>
      <c r="D142" s="6" t="s">
        <v>119</v>
      </c>
      <c r="E142" s="6" t="s">
        <v>120</v>
      </c>
      <c r="F142" s="7">
        <v>4</v>
      </c>
      <c r="G142" s="7">
        <v>500</v>
      </c>
      <c r="H142" s="16">
        <v>45204</v>
      </c>
      <c r="I142" s="6">
        <v>40</v>
      </c>
      <c r="J142" s="6" t="s">
        <v>121</v>
      </c>
      <c r="K142" s="6" t="s">
        <v>135</v>
      </c>
      <c r="L142" s="11">
        <f>F142*Controls!$B$6</f>
        <v>4</v>
      </c>
      <c r="M142" s="11">
        <f>G142*Controls!$B$6</f>
        <v>500</v>
      </c>
      <c r="N142" s="12">
        <f>IF(L142=0,0,SUMIFS('PSI Plan'!$N$6:$N$173,'PSI Plan'!$B$6:$B$173,B142,'PSI Plan'!$C$6:$C$173,I142))</f>
        <v>0</v>
      </c>
      <c r="O142" s="11">
        <f t="shared" si="4"/>
        <v>0</v>
      </c>
      <c r="P142" s="11">
        <f t="shared" si="5"/>
        <v>0</v>
      </c>
      <c r="Q142" s="6"/>
      <c r="R142" s="6"/>
      <c r="S142" s="6"/>
      <c r="T142" s="6"/>
    </row>
    <row r="143" spans="1:20">
      <c r="A143" s="6" t="s">
        <v>270</v>
      </c>
      <c r="B143" s="6" t="s">
        <v>69</v>
      </c>
      <c r="C143" s="6" t="s">
        <v>90</v>
      </c>
      <c r="D143" s="6" t="s">
        <v>119</v>
      </c>
      <c r="E143" s="6" t="s">
        <v>120</v>
      </c>
      <c r="F143" s="7">
        <v>20</v>
      </c>
      <c r="G143" s="7">
        <v>2500</v>
      </c>
      <c r="H143" s="16">
        <v>45243</v>
      </c>
      <c r="I143" s="6">
        <v>46</v>
      </c>
      <c r="J143" s="6" t="s">
        <v>121</v>
      </c>
      <c r="K143" s="6" t="s">
        <v>135</v>
      </c>
      <c r="L143" s="11">
        <f>F143*Controls!$B$6</f>
        <v>20</v>
      </c>
      <c r="M143" s="11">
        <f>G143*Controls!$B$6</f>
        <v>2500</v>
      </c>
      <c r="N143" s="12">
        <f>IF(L143=0,0,SUMIFS('PSI Plan'!$N$6:$N$173,'PSI Plan'!$B$6:$B$173,B143,'PSI Plan'!$C$6:$C$173,I143))</f>
        <v>0</v>
      </c>
      <c r="O143" s="11">
        <f t="shared" si="4"/>
        <v>0</v>
      </c>
      <c r="P143" s="11">
        <f t="shared" si="5"/>
        <v>0</v>
      </c>
      <c r="Q143" s="6"/>
      <c r="R143" s="6"/>
      <c r="S143" s="6"/>
      <c r="T143" s="6"/>
    </row>
    <row r="144" spans="1:20">
      <c r="A144" s="6" t="s">
        <v>271</v>
      </c>
      <c r="B144" s="6" t="s">
        <v>77</v>
      </c>
      <c r="C144" s="6" t="s">
        <v>90</v>
      </c>
      <c r="D144" s="6" t="s">
        <v>119</v>
      </c>
      <c r="E144" s="6" t="s">
        <v>120</v>
      </c>
      <c r="F144" s="7">
        <v>13</v>
      </c>
      <c r="G144" s="7">
        <v>1625</v>
      </c>
      <c r="H144" s="16">
        <v>45208</v>
      </c>
      <c r="I144" s="6">
        <v>41</v>
      </c>
      <c r="J144" s="6" t="s">
        <v>121</v>
      </c>
      <c r="K144" s="6" t="s">
        <v>135</v>
      </c>
      <c r="L144" s="11">
        <f>F144*Controls!$B$6</f>
        <v>13</v>
      </c>
      <c r="M144" s="11">
        <f>G144*Controls!$B$6</f>
        <v>1625</v>
      </c>
      <c r="N144" s="12">
        <f>IF(L144=0,0,SUMIFS('PSI Plan'!$N$6:$N$173,'PSI Plan'!$B$6:$B$173,B144,'PSI Plan'!$C$6:$C$173,I144))</f>
        <v>0</v>
      </c>
      <c r="O144" s="11">
        <f t="shared" si="4"/>
        <v>0</v>
      </c>
      <c r="P144" s="11">
        <f t="shared" si="5"/>
        <v>0</v>
      </c>
      <c r="Q144" s="6"/>
      <c r="R144" s="6"/>
      <c r="S144" s="6"/>
      <c r="T144" s="6"/>
    </row>
    <row r="145" spans="1:20">
      <c r="A145" s="6" t="s">
        <v>272</v>
      </c>
      <c r="B145" s="6" t="s">
        <v>66</v>
      </c>
      <c r="C145" s="6" t="s">
        <v>90</v>
      </c>
      <c r="D145" s="6" t="s">
        <v>119</v>
      </c>
      <c r="E145" s="6" t="s">
        <v>120</v>
      </c>
      <c r="F145" s="7">
        <v>11</v>
      </c>
      <c r="G145" s="7">
        <v>1375</v>
      </c>
      <c r="H145" s="16">
        <v>45224</v>
      </c>
      <c r="I145" s="6">
        <v>43</v>
      </c>
      <c r="J145" s="6" t="s">
        <v>121</v>
      </c>
      <c r="K145" s="6" t="s">
        <v>135</v>
      </c>
      <c r="L145" s="11">
        <f>F145*Controls!$B$6</f>
        <v>11</v>
      </c>
      <c r="M145" s="11">
        <f>G145*Controls!$B$6</f>
        <v>1375</v>
      </c>
      <c r="N145" s="12">
        <f>IF(L145=0,0,SUMIFS('PSI Plan'!$N$6:$N$173,'PSI Plan'!$B$6:$B$173,B145,'PSI Plan'!$C$6:$C$173,I145))</f>
        <v>0</v>
      </c>
      <c r="O145" s="11">
        <f t="shared" si="4"/>
        <v>0</v>
      </c>
      <c r="P145" s="11">
        <f t="shared" si="5"/>
        <v>0</v>
      </c>
      <c r="Q145" s="6"/>
      <c r="R145" s="6"/>
      <c r="S145" s="6"/>
      <c r="T145" s="6"/>
    </row>
    <row r="146" spans="1:20">
      <c r="A146" s="6" t="s">
        <v>273</v>
      </c>
      <c r="B146" s="6" t="s">
        <v>69</v>
      </c>
      <c r="C146" s="6" t="s">
        <v>90</v>
      </c>
      <c r="D146" s="6" t="s">
        <v>119</v>
      </c>
      <c r="E146" s="6" t="s">
        <v>120</v>
      </c>
      <c r="F146" s="7">
        <v>10</v>
      </c>
      <c r="G146" s="7">
        <v>1250</v>
      </c>
      <c r="H146" s="16">
        <v>45258</v>
      </c>
      <c r="I146" s="6">
        <v>48</v>
      </c>
      <c r="J146" s="6" t="s">
        <v>121</v>
      </c>
      <c r="K146" s="6" t="s">
        <v>135</v>
      </c>
      <c r="L146" s="11">
        <f>F146*Controls!$B$6</f>
        <v>10</v>
      </c>
      <c r="M146" s="11">
        <f>G146*Controls!$B$6</f>
        <v>1250</v>
      </c>
      <c r="N146" s="12">
        <f>IF(L146=0,0,SUMIFS('PSI Plan'!$N$6:$N$173,'PSI Plan'!$B$6:$B$173,B146,'PSI Plan'!$C$6:$C$173,I146))</f>
        <v>0</v>
      </c>
      <c r="O146" s="11">
        <f t="shared" si="4"/>
        <v>0</v>
      </c>
      <c r="P146" s="11">
        <f t="shared" si="5"/>
        <v>0</v>
      </c>
      <c r="Q146" s="6"/>
      <c r="R146" s="6"/>
      <c r="S146" s="6"/>
      <c r="T146" s="6"/>
    </row>
    <row r="147" spans="1:20">
      <c r="A147" s="6" t="s">
        <v>274</v>
      </c>
      <c r="B147" s="6" t="s">
        <v>77</v>
      </c>
      <c r="C147" s="6" t="s">
        <v>90</v>
      </c>
      <c r="D147" s="6" t="s">
        <v>119</v>
      </c>
      <c r="E147" s="6" t="s">
        <v>120</v>
      </c>
      <c r="F147" s="7">
        <v>5</v>
      </c>
      <c r="G147" s="7">
        <v>625</v>
      </c>
      <c r="H147" s="16">
        <v>45224</v>
      </c>
      <c r="I147" s="6">
        <v>43</v>
      </c>
      <c r="J147" s="6" t="s">
        <v>121</v>
      </c>
      <c r="K147" s="6" t="s">
        <v>135</v>
      </c>
      <c r="L147" s="11">
        <f>F147*Controls!$B$6</f>
        <v>5</v>
      </c>
      <c r="M147" s="11">
        <f>G147*Controls!$B$6</f>
        <v>625</v>
      </c>
      <c r="N147" s="12">
        <f>IF(L147=0,0,SUMIFS('PSI Plan'!$N$6:$N$173,'PSI Plan'!$B$6:$B$173,B147,'PSI Plan'!$C$6:$C$173,I147))</f>
        <v>0</v>
      </c>
      <c r="O147" s="11">
        <f t="shared" si="4"/>
        <v>0</v>
      </c>
      <c r="P147" s="11">
        <f t="shared" si="5"/>
        <v>0</v>
      </c>
      <c r="Q147" s="6"/>
      <c r="R147" s="6"/>
      <c r="S147" s="6"/>
      <c r="T147" s="6"/>
    </row>
    <row r="148" spans="1:20">
      <c r="A148" s="6" t="s">
        <v>275</v>
      </c>
      <c r="B148" s="6" t="s">
        <v>69</v>
      </c>
      <c r="C148" s="6" t="s">
        <v>90</v>
      </c>
      <c r="D148" s="6" t="s">
        <v>119</v>
      </c>
      <c r="E148" s="6" t="s">
        <v>120</v>
      </c>
      <c r="F148" s="7">
        <v>13</v>
      </c>
      <c r="G148" s="7">
        <v>1625</v>
      </c>
      <c r="H148" s="16">
        <v>45240</v>
      </c>
      <c r="I148" s="6">
        <v>45</v>
      </c>
      <c r="J148" s="6" t="s">
        <v>121</v>
      </c>
      <c r="K148" s="6" t="s">
        <v>132</v>
      </c>
      <c r="L148" s="11">
        <f>F148*Controls!$B$6</f>
        <v>13</v>
      </c>
      <c r="M148" s="11">
        <f>G148*Controls!$B$6</f>
        <v>1625</v>
      </c>
      <c r="N148" s="12">
        <f>IF(L148=0,0,SUMIFS('PSI Plan'!$N$6:$N$173,'PSI Plan'!$B$6:$B$173,B148,'PSI Plan'!$C$6:$C$173,I148))</f>
        <v>0</v>
      </c>
      <c r="O148" s="11">
        <f t="shared" si="4"/>
        <v>0</v>
      </c>
      <c r="P148" s="11">
        <f t="shared" si="5"/>
        <v>0</v>
      </c>
      <c r="Q148" s="6"/>
      <c r="R148" s="6"/>
      <c r="S148" s="6"/>
      <c r="T148" s="6"/>
    </row>
    <row r="149" spans="1:20">
      <c r="A149" s="6" t="s">
        <v>276</v>
      </c>
      <c r="B149" s="6" t="s">
        <v>66</v>
      </c>
      <c r="C149" s="6" t="s">
        <v>90</v>
      </c>
      <c r="D149" s="6" t="s">
        <v>119</v>
      </c>
      <c r="E149" s="6" t="s">
        <v>120</v>
      </c>
      <c r="F149" s="7">
        <v>52</v>
      </c>
      <c r="G149" s="7">
        <v>6500</v>
      </c>
      <c r="H149" s="16">
        <v>45251</v>
      </c>
      <c r="I149" s="6">
        <v>47</v>
      </c>
      <c r="J149" s="6" t="s">
        <v>121</v>
      </c>
      <c r="K149" s="6" t="s">
        <v>122</v>
      </c>
      <c r="L149" s="11">
        <f>F149*Controls!$B$6</f>
        <v>52</v>
      </c>
      <c r="M149" s="11">
        <f>G149*Controls!$B$6</f>
        <v>6500</v>
      </c>
      <c r="N149" s="12">
        <f>IF(L149=0,0,SUMIFS('PSI Plan'!$N$6:$N$173,'PSI Plan'!$B$6:$B$173,B149,'PSI Plan'!$C$6:$C$173,I149))</f>
        <v>0</v>
      </c>
      <c r="O149" s="11">
        <f t="shared" si="4"/>
        <v>0</v>
      </c>
      <c r="P149" s="11">
        <f t="shared" si="5"/>
        <v>0</v>
      </c>
      <c r="Q149" s="6"/>
      <c r="R149" s="6"/>
      <c r="S149" s="6"/>
      <c r="T149" s="6"/>
    </row>
    <row r="150" spans="1:20">
      <c r="A150" s="6" t="s">
        <v>277</v>
      </c>
      <c r="B150" s="6" t="s">
        <v>69</v>
      </c>
      <c r="C150" s="6" t="s">
        <v>90</v>
      </c>
      <c r="D150" s="6" t="s">
        <v>119</v>
      </c>
      <c r="E150" s="6" t="s">
        <v>120</v>
      </c>
      <c r="F150" s="7">
        <v>52</v>
      </c>
      <c r="G150" s="7">
        <v>6500</v>
      </c>
      <c r="H150" s="16">
        <v>45212</v>
      </c>
      <c r="I150" s="6">
        <v>41</v>
      </c>
      <c r="J150" s="6" t="s">
        <v>121</v>
      </c>
      <c r="K150" s="6" t="s">
        <v>122</v>
      </c>
      <c r="L150" s="11">
        <f>F150*Controls!$B$6</f>
        <v>52</v>
      </c>
      <c r="M150" s="11">
        <f>G150*Controls!$B$6</f>
        <v>6500</v>
      </c>
      <c r="N150" s="12">
        <f>IF(L150=0,0,SUMIFS('PSI Plan'!$N$6:$N$173,'PSI Plan'!$B$6:$B$173,B150,'PSI Plan'!$C$6:$C$173,I150))</f>
        <v>0</v>
      </c>
      <c r="O150" s="11">
        <f t="shared" si="4"/>
        <v>0</v>
      </c>
      <c r="P150" s="11">
        <f t="shared" si="5"/>
        <v>0</v>
      </c>
      <c r="Q150" s="6"/>
      <c r="R150" s="6"/>
      <c r="S150" s="6"/>
      <c r="T150" s="6"/>
    </row>
    <row r="151" spans="1:20">
      <c r="A151" s="6" t="s">
        <v>278</v>
      </c>
      <c r="B151" s="6" t="s">
        <v>77</v>
      </c>
      <c r="C151" s="6" t="s">
        <v>90</v>
      </c>
      <c r="D151" s="6" t="s">
        <v>119</v>
      </c>
      <c r="E151" s="6" t="s">
        <v>120</v>
      </c>
      <c r="F151" s="7">
        <v>52</v>
      </c>
      <c r="G151" s="7">
        <v>6500</v>
      </c>
      <c r="H151" s="16">
        <v>45269</v>
      </c>
      <c r="I151" s="6">
        <v>49</v>
      </c>
      <c r="J151" s="6" t="s">
        <v>121</v>
      </c>
      <c r="K151" s="6" t="s">
        <v>122</v>
      </c>
      <c r="L151" s="11">
        <f>F151*Controls!$B$6</f>
        <v>52</v>
      </c>
      <c r="M151" s="11">
        <f>G151*Controls!$B$6</f>
        <v>6500</v>
      </c>
      <c r="N151" s="12">
        <f>IF(L151=0,0,SUMIFS('PSI Plan'!$N$6:$N$173,'PSI Plan'!$B$6:$B$173,B151,'PSI Plan'!$C$6:$C$173,I151))</f>
        <v>0</v>
      </c>
      <c r="O151" s="11">
        <f t="shared" si="4"/>
        <v>0</v>
      </c>
      <c r="P151" s="11">
        <f t="shared" si="5"/>
        <v>0</v>
      </c>
      <c r="Q151" s="6"/>
      <c r="R151" s="6"/>
      <c r="S151" s="6"/>
      <c r="T151" s="6"/>
    </row>
    <row r="152" spans="1:20">
      <c r="A152" s="6" t="s">
        <v>279</v>
      </c>
      <c r="B152" s="6" t="s">
        <v>77</v>
      </c>
      <c r="C152" s="6" t="s">
        <v>90</v>
      </c>
      <c r="D152" s="6" t="s">
        <v>119</v>
      </c>
      <c r="E152" s="6" t="s">
        <v>120</v>
      </c>
      <c r="F152" s="7">
        <v>19</v>
      </c>
      <c r="G152" s="7">
        <v>2375</v>
      </c>
      <c r="H152" s="16">
        <v>45275</v>
      </c>
      <c r="I152" s="6">
        <v>50</v>
      </c>
      <c r="J152" s="6" t="s">
        <v>121</v>
      </c>
      <c r="K152" s="6" t="s">
        <v>125</v>
      </c>
      <c r="L152" s="11">
        <f>F152*Controls!$B$6</f>
        <v>19</v>
      </c>
      <c r="M152" s="11">
        <f>G152*Controls!$B$6</f>
        <v>2375</v>
      </c>
      <c r="N152" s="12">
        <f>IF(L152=0,0,SUMIFS('PSI Plan'!$N$6:$N$173,'PSI Plan'!$B$6:$B$173,B152,'PSI Plan'!$C$6:$C$173,I152))</f>
        <v>0</v>
      </c>
      <c r="O152" s="11">
        <f t="shared" si="4"/>
        <v>0</v>
      </c>
      <c r="P152" s="11">
        <f t="shared" si="5"/>
        <v>0</v>
      </c>
      <c r="Q152" s="6"/>
      <c r="R152" s="6"/>
      <c r="S152" s="6"/>
      <c r="T152" s="6"/>
    </row>
    <row r="153" spans="1:20">
      <c r="A153" s="6" t="s">
        <v>280</v>
      </c>
      <c r="B153" s="6" t="s">
        <v>69</v>
      </c>
      <c r="C153" s="6" t="s">
        <v>90</v>
      </c>
      <c r="D153" s="6" t="s">
        <v>119</v>
      </c>
      <c r="E153" s="6" t="s">
        <v>120</v>
      </c>
      <c r="F153" s="7">
        <v>19</v>
      </c>
      <c r="G153" s="7">
        <v>2375</v>
      </c>
      <c r="H153" s="16">
        <v>45239</v>
      </c>
      <c r="I153" s="6">
        <v>45</v>
      </c>
      <c r="J153" s="6" t="s">
        <v>121</v>
      </c>
      <c r="K153" s="6" t="s">
        <v>125</v>
      </c>
      <c r="L153" s="11">
        <f>F153*Controls!$B$6</f>
        <v>19</v>
      </c>
      <c r="M153" s="11">
        <f>G153*Controls!$B$6</f>
        <v>2375</v>
      </c>
      <c r="N153" s="12">
        <f>IF(L153=0,0,SUMIFS('PSI Plan'!$N$6:$N$173,'PSI Plan'!$B$6:$B$173,B153,'PSI Plan'!$C$6:$C$173,I153))</f>
        <v>0</v>
      </c>
      <c r="O153" s="11">
        <f t="shared" si="4"/>
        <v>0</v>
      </c>
      <c r="P153" s="11">
        <f t="shared" si="5"/>
        <v>0</v>
      </c>
      <c r="Q153" s="6"/>
      <c r="R153" s="6"/>
      <c r="S153" s="6"/>
      <c r="T153" s="6"/>
    </row>
    <row r="154" spans="1:20">
      <c r="A154" s="6" t="s">
        <v>281</v>
      </c>
      <c r="B154" s="6" t="s">
        <v>77</v>
      </c>
      <c r="C154" s="6" t="s">
        <v>90</v>
      </c>
      <c r="D154" s="6" t="s">
        <v>119</v>
      </c>
      <c r="E154" s="6" t="s">
        <v>120</v>
      </c>
      <c r="F154" s="7">
        <v>12</v>
      </c>
      <c r="G154" s="7">
        <v>1500</v>
      </c>
      <c r="H154" s="16">
        <v>45281</v>
      </c>
      <c r="I154" s="6">
        <v>51</v>
      </c>
      <c r="J154" s="6" t="s">
        <v>121</v>
      </c>
      <c r="K154" s="6" t="s">
        <v>150</v>
      </c>
      <c r="L154" s="11">
        <f>F154*Controls!$B$6</f>
        <v>12</v>
      </c>
      <c r="M154" s="11">
        <f>G154*Controls!$B$6</f>
        <v>1500</v>
      </c>
      <c r="N154" s="12">
        <f>IF(L154=0,0,SUMIFS('PSI Plan'!$N$6:$N$173,'PSI Plan'!$B$6:$B$173,B154,'PSI Plan'!$C$6:$C$173,I154))</f>
        <v>0</v>
      </c>
      <c r="O154" s="11">
        <f t="shared" si="4"/>
        <v>0</v>
      </c>
      <c r="P154" s="11">
        <f t="shared" si="5"/>
        <v>0</v>
      </c>
      <c r="Q154" s="6"/>
      <c r="R154" s="6"/>
      <c r="S154" s="6"/>
      <c r="T154" s="6"/>
    </row>
    <row r="155" spans="1:20">
      <c r="A155" s="6" t="s">
        <v>282</v>
      </c>
      <c r="B155" s="6" t="s">
        <v>69</v>
      </c>
      <c r="C155" s="6" t="s">
        <v>90</v>
      </c>
      <c r="D155" s="6" t="s">
        <v>119</v>
      </c>
      <c r="E155" s="6" t="s">
        <v>120</v>
      </c>
      <c r="F155" s="7">
        <v>12</v>
      </c>
      <c r="G155" s="7">
        <v>1500</v>
      </c>
      <c r="H155" s="16">
        <v>45215</v>
      </c>
      <c r="I155" s="6">
        <v>42</v>
      </c>
      <c r="J155" s="6" t="s">
        <v>121</v>
      </c>
      <c r="K155" s="6" t="s">
        <v>150</v>
      </c>
      <c r="L155" s="11">
        <f>F155*Controls!$B$6</f>
        <v>12</v>
      </c>
      <c r="M155" s="11">
        <f>G155*Controls!$B$6</f>
        <v>1500</v>
      </c>
      <c r="N155" s="12">
        <f>IF(L155=0,0,SUMIFS('PSI Plan'!$N$6:$N$173,'PSI Plan'!$B$6:$B$173,B155,'PSI Plan'!$C$6:$C$173,I155))</f>
        <v>0</v>
      </c>
      <c r="O155" s="11">
        <f t="shared" si="4"/>
        <v>0</v>
      </c>
      <c r="P155" s="11">
        <f t="shared" si="5"/>
        <v>0</v>
      </c>
      <c r="Q155" s="6"/>
      <c r="R155" s="6"/>
      <c r="S155" s="6"/>
      <c r="T155" s="6"/>
    </row>
    <row r="156" spans="1:20">
      <c r="A156" s="6" t="s">
        <v>283</v>
      </c>
      <c r="B156" s="6" t="s">
        <v>69</v>
      </c>
      <c r="C156" s="6" t="s">
        <v>90</v>
      </c>
      <c r="D156" s="6" t="s">
        <v>119</v>
      </c>
      <c r="E156" s="6" t="s">
        <v>120</v>
      </c>
      <c r="F156" s="7">
        <v>38</v>
      </c>
      <c r="G156" s="7">
        <v>4750</v>
      </c>
      <c r="H156" s="16">
        <v>45218</v>
      </c>
      <c r="I156" s="6">
        <v>42</v>
      </c>
      <c r="J156" s="6" t="s">
        <v>121</v>
      </c>
      <c r="K156" s="6" t="s">
        <v>135</v>
      </c>
      <c r="L156" s="11">
        <f>F156*Controls!$B$6</f>
        <v>38</v>
      </c>
      <c r="M156" s="11">
        <f>G156*Controls!$B$6</f>
        <v>4750</v>
      </c>
      <c r="N156" s="12">
        <f>IF(L156=0,0,SUMIFS('PSI Plan'!$N$6:$N$173,'PSI Plan'!$B$6:$B$173,B156,'PSI Plan'!$C$6:$C$173,I156))</f>
        <v>0</v>
      </c>
      <c r="O156" s="11">
        <f t="shared" si="4"/>
        <v>0</v>
      </c>
      <c r="P156" s="11">
        <f t="shared" si="5"/>
        <v>0</v>
      </c>
      <c r="Q156" s="6"/>
      <c r="R156" s="6"/>
      <c r="S156" s="6"/>
      <c r="T156" s="6"/>
    </row>
    <row r="157" spans="1:20">
      <c r="A157" s="6" t="s">
        <v>284</v>
      </c>
      <c r="B157" s="6" t="s">
        <v>66</v>
      </c>
      <c r="C157" s="6" t="s">
        <v>90</v>
      </c>
      <c r="D157" s="6" t="s">
        <v>119</v>
      </c>
      <c r="E157" s="6" t="s">
        <v>120</v>
      </c>
      <c r="F157" s="7">
        <v>21</v>
      </c>
      <c r="G157" s="7">
        <v>2625</v>
      </c>
      <c r="H157" s="16">
        <v>45238</v>
      </c>
      <c r="I157" s="6">
        <v>45</v>
      </c>
      <c r="J157" s="6" t="s">
        <v>121</v>
      </c>
      <c r="K157" s="6" t="s">
        <v>135</v>
      </c>
      <c r="L157" s="11">
        <f>F157*Controls!$B$6</f>
        <v>21</v>
      </c>
      <c r="M157" s="11">
        <f>G157*Controls!$B$6</f>
        <v>2625</v>
      </c>
      <c r="N157" s="12">
        <f>IF(L157=0,0,SUMIFS('PSI Plan'!$N$6:$N$173,'PSI Plan'!$B$6:$B$173,B157,'PSI Plan'!$C$6:$C$173,I157))</f>
        <v>0</v>
      </c>
      <c r="O157" s="11">
        <f t="shared" si="4"/>
        <v>0</v>
      </c>
      <c r="P157" s="11">
        <f t="shared" si="5"/>
        <v>0</v>
      </c>
      <c r="Q157" s="6"/>
      <c r="R157" s="6"/>
      <c r="S157" s="6"/>
      <c r="T157" s="6"/>
    </row>
    <row r="158" spans="1:20">
      <c r="A158" s="6" t="s">
        <v>285</v>
      </c>
      <c r="B158" s="6" t="s">
        <v>69</v>
      </c>
      <c r="C158" s="6" t="s">
        <v>90</v>
      </c>
      <c r="D158" s="6" t="s">
        <v>119</v>
      </c>
      <c r="E158" s="6" t="s">
        <v>120</v>
      </c>
      <c r="F158" s="7">
        <v>8</v>
      </c>
      <c r="G158" s="7">
        <v>1000</v>
      </c>
      <c r="H158" s="16">
        <v>45203</v>
      </c>
      <c r="I158" s="6">
        <v>40</v>
      </c>
      <c r="J158" s="6" t="s">
        <v>121</v>
      </c>
      <c r="K158" s="6" t="s">
        <v>139</v>
      </c>
      <c r="L158" s="11">
        <f>F158*Controls!$B$6</f>
        <v>8</v>
      </c>
      <c r="M158" s="11">
        <f>G158*Controls!$B$6</f>
        <v>1000</v>
      </c>
      <c r="N158" s="12">
        <f>IF(L158=0,0,SUMIFS('PSI Plan'!$N$6:$N$173,'PSI Plan'!$B$6:$B$173,B158,'PSI Plan'!$C$6:$C$173,I158))</f>
        <v>0</v>
      </c>
      <c r="O158" s="11">
        <f t="shared" si="4"/>
        <v>0</v>
      </c>
      <c r="P158" s="11">
        <f t="shared" si="5"/>
        <v>0</v>
      </c>
      <c r="Q158" s="6"/>
      <c r="R158" s="6"/>
      <c r="S158" s="6"/>
      <c r="T158" s="6"/>
    </row>
    <row r="159" spans="1:20">
      <c r="A159" s="6" t="s">
        <v>286</v>
      </c>
      <c r="B159" s="6" t="s">
        <v>77</v>
      </c>
      <c r="C159" s="6" t="s">
        <v>90</v>
      </c>
      <c r="D159" s="6" t="s">
        <v>119</v>
      </c>
      <c r="E159" s="6" t="s">
        <v>120</v>
      </c>
      <c r="F159" s="7">
        <v>1</v>
      </c>
      <c r="G159" s="7">
        <v>125</v>
      </c>
      <c r="H159" s="16">
        <v>45228</v>
      </c>
      <c r="I159" s="6">
        <v>44</v>
      </c>
      <c r="J159" s="6" t="s">
        <v>121</v>
      </c>
      <c r="K159" s="6" t="s">
        <v>139</v>
      </c>
      <c r="L159" s="11">
        <f>F159*Controls!$B$6</f>
        <v>1</v>
      </c>
      <c r="M159" s="11">
        <f>G159*Controls!$B$6</f>
        <v>125</v>
      </c>
      <c r="N159" s="12">
        <f>IF(L159=0,0,SUMIFS('PSI Plan'!$N$6:$N$173,'PSI Plan'!$B$6:$B$173,B159,'PSI Plan'!$C$6:$C$173,I159))</f>
        <v>0</v>
      </c>
      <c r="O159" s="11">
        <f t="shared" si="4"/>
        <v>0</v>
      </c>
      <c r="P159" s="11">
        <f t="shared" si="5"/>
        <v>0</v>
      </c>
      <c r="Q159" s="6"/>
      <c r="R159" s="6"/>
      <c r="S159" s="6"/>
      <c r="T159" s="6"/>
    </row>
    <row r="160" spans="1:20">
      <c r="A160" s="6" t="s">
        <v>287</v>
      </c>
      <c r="B160" s="6" t="s">
        <v>69</v>
      </c>
      <c r="C160" s="6" t="s">
        <v>90</v>
      </c>
      <c r="D160" s="6" t="s">
        <v>119</v>
      </c>
      <c r="E160" s="6" t="s">
        <v>120</v>
      </c>
      <c r="F160" s="7">
        <v>9</v>
      </c>
      <c r="G160" s="7">
        <v>1125</v>
      </c>
      <c r="H160" s="16">
        <v>45205</v>
      </c>
      <c r="I160" s="6">
        <v>40</v>
      </c>
      <c r="J160" s="6" t="s">
        <v>121</v>
      </c>
      <c r="K160" s="6" t="s">
        <v>132</v>
      </c>
      <c r="L160" s="11">
        <f>F160*Controls!$B$6</f>
        <v>9</v>
      </c>
      <c r="M160" s="11">
        <f>G160*Controls!$B$6</f>
        <v>1125</v>
      </c>
      <c r="N160" s="12">
        <f>IF(L160=0,0,SUMIFS('PSI Plan'!$N$6:$N$173,'PSI Plan'!$B$6:$B$173,B160,'PSI Plan'!$C$6:$C$173,I160))</f>
        <v>0</v>
      </c>
      <c r="O160" s="11">
        <f t="shared" si="4"/>
        <v>0</v>
      </c>
      <c r="P160" s="11">
        <f t="shared" si="5"/>
        <v>0</v>
      </c>
      <c r="Q160" s="6"/>
      <c r="R160" s="6"/>
      <c r="S160" s="6"/>
      <c r="T160" s="6"/>
    </row>
    <row r="161" spans="1:20">
      <c r="A161" s="6" t="s">
        <v>288</v>
      </c>
      <c r="B161" s="6" t="s">
        <v>77</v>
      </c>
      <c r="C161" s="6" t="s">
        <v>90</v>
      </c>
      <c r="D161" s="6" t="s">
        <v>119</v>
      </c>
      <c r="E161" s="6" t="s">
        <v>120</v>
      </c>
      <c r="F161" s="7">
        <v>8</v>
      </c>
      <c r="G161" s="7">
        <v>1000</v>
      </c>
      <c r="H161" s="16">
        <v>45241</v>
      </c>
      <c r="I161" s="6">
        <v>45</v>
      </c>
      <c r="J161" s="6" t="s">
        <v>121</v>
      </c>
      <c r="K161" s="6" t="s">
        <v>132</v>
      </c>
      <c r="L161" s="11">
        <f>F161*Controls!$B$6</f>
        <v>8</v>
      </c>
      <c r="M161" s="11">
        <f>G161*Controls!$B$6</f>
        <v>1000</v>
      </c>
      <c r="N161" s="12">
        <f>IF(L161=0,0,SUMIFS('PSI Plan'!$N$6:$N$173,'PSI Plan'!$B$6:$B$173,B161,'PSI Plan'!$C$6:$C$173,I161))</f>
        <v>0</v>
      </c>
      <c r="O161" s="11">
        <f t="shared" si="4"/>
        <v>0</v>
      </c>
      <c r="P161" s="11">
        <f t="shared" si="5"/>
        <v>0</v>
      </c>
      <c r="Q161" s="6"/>
      <c r="R161" s="6"/>
      <c r="S161" s="6"/>
      <c r="T161" s="6"/>
    </row>
    <row r="162" spans="1:20">
      <c r="A162" s="6" t="s">
        <v>289</v>
      </c>
      <c r="B162" s="6" t="s">
        <v>77</v>
      </c>
      <c r="C162" s="6" t="s">
        <v>90</v>
      </c>
      <c r="D162" s="6" t="s">
        <v>119</v>
      </c>
      <c r="E162" s="6" t="s">
        <v>120</v>
      </c>
      <c r="F162" s="7">
        <v>104</v>
      </c>
      <c r="G162" s="7">
        <v>13000</v>
      </c>
      <c r="H162" s="16">
        <v>45217</v>
      </c>
      <c r="I162" s="6">
        <v>42</v>
      </c>
      <c r="J162" s="6" t="s">
        <v>121</v>
      </c>
      <c r="K162" s="6" t="s">
        <v>122</v>
      </c>
      <c r="L162" s="11">
        <f>F162*Controls!$B$6</f>
        <v>104</v>
      </c>
      <c r="M162" s="11">
        <f>G162*Controls!$B$6</f>
        <v>13000</v>
      </c>
      <c r="N162" s="12">
        <f>IF(L162=0,0,SUMIFS('PSI Plan'!$N$6:$N$173,'PSI Plan'!$B$6:$B$173,B162,'PSI Plan'!$C$6:$C$173,I162))</f>
        <v>0</v>
      </c>
      <c r="O162" s="11">
        <f t="shared" si="4"/>
        <v>0</v>
      </c>
      <c r="P162" s="11">
        <f t="shared" si="5"/>
        <v>0</v>
      </c>
      <c r="Q162" s="6"/>
      <c r="R162" s="6"/>
      <c r="S162" s="6"/>
      <c r="T162" s="6"/>
    </row>
    <row r="163" spans="1:20">
      <c r="A163" s="6" t="s">
        <v>290</v>
      </c>
      <c r="B163" s="6" t="s">
        <v>69</v>
      </c>
      <c r="C163" s="6" t="s">
        <v>90</v>
      </c>
      <c r="D163" s="6" t="s">
        <v>119</v>
      </c>
      <c r="E163" s="6" t="s">
        <v>120</v>
      </c>
      <c r="F163" s="7">
        <v>52</v>
      </c>
      <c r="G163" s="7">
        <v>6500</v>
      </c>
      <c r="H163" s="16">
        <v>45286</v>
      </c>
      <c r="I163" s="6">
        <v>52</v>
      </c>
      <c r="J163" s="6" t="s">
        <v>121</v>
      </c>
      <c r="K163" s="6" t="s">
        <v>122</v>
      </c>
      <c r="L163" s="11">
        <f>F163*Controls!$B$6</f>
        <v>52</v>
      </c>
      <c r="M163" s="11">
        <f>G163*Controls!$B$6</f>
        <v>6500</v>
      </c>
      <c r="N163" s="12">
        <f>IF(L163=0,0,SUMIFS('PSI Plan'!$N$6:$N$173,'PSI Plan'!$B$6:$B$173,B163,'PSI Plan'!$C$6:$C$173,I163))</f>
        <v>0</v>
      </c>
      <c r="O163" s="11">
        <f t="shared" si="4"/>
        <v>0</v>
      </c>
      <c r="P163" s="11">
        <f t="shared" si="5"/>
        <v>0</v>
      </c>
      <c r="Q163" s="6"/>
      <c r="R163" s="6"/>
      <c r="S163" s="6"/>
      <c r="T163" s="6"/>
    </row>
    <row r="164" spans="1:20">
      <c r="A164" s="6" t="s">
        <v>291</v>
      </c>
      <c r="B164" s="6" t="s">
        <v>69</v>
      </c>
      <c r="C164" s="6" t="s">
        <v>90</v>
      </c>
      <c r="D164" s="6" t="s">
        <v>119</v>
      </c>
      <c r="E164" s="6" t="s">
        <v>120</v>
      </c>
      <c r="F164" s="7">
        <v>14</v>
      </c>
      <c r="G164" s="7">
        <v>1750</v>
      </c>
      <c r="H164" s="16">
        <v>45290</v>
      </c>
      <c r="I164" s="6">
        <v>52</v>
      </c>
      <c r="J164" s="6" t="s">
        <v>121</v>
      </c>
      <c r="K164" s="6" t="s">
        <v>132</v>
      </c>
      <c r="L164" s="11">
        <f>F164*Controls!$B$6</f>
        <v>14</v>
      </c>
      <c r="M164" s="11">
        <f>G164*Controls!$B$6</f>
        <v>1750</v>
      </c>
      <c r="N164" s="12">
        <f>IF(L164=0,0,SUMIFS('PSI Plan'!$N$6:$N$173,'PSI Plan'!$B$6:$B$173,B164,'PSI Plan'!$C$6:$C$173,I164))</f>
        <v>0</v>
      </c>
      <c r="O164" s="11">
        <f t="shared" si="4"/>
        <v>0</v>
      </c>
      <c r="P164" s="11">
        <f t="shared" si="5"/>
        <v>0</v>
      </c>
      <c r="Q164" s="6"/>
      <c r="R164" s="6"/>
      <c r="S164" s="6"/>
      <c r="T164" s="6"/>
    </row>
    <row r="165" spans="1:20">
      <c r="A165" s="6" t="s">
        <v>292</v>
      </c>
      <c r="B165" s="6" t="s">
        <v>77</v>
      </c>
      <c r="C165" s="6" t="s">
        <v>90</v>
      </c>
      <c r="D165" s="6" t="s">
        <v>119</v>
      </c>
      <c r="E165" s="6" t="s">
        <v>120</v>
      </c>
      <c r="F165" s="7">
        <v>7</v>
      </c>
      <c r="G165" s="7">
        <v>875</v>
      </c>
      <c r="H165" s="16">
        <v>45218</v>
      </c>
      <c r="I165" s="6">
        <v>42</v>
      </c>
      <c r="J165" s="6" t="s">
        <v>121</v>
      </c>
      <c r="K165" s="6" t="s">
        <v>132</v>
      </c>
      <c r="L165" s="11">
        <f>F165*Controls!$B$6</f>
        <v>7</v>
      </c>
      <c r="M165" s="11">
        <f>G165*Controls!$B$6</f>
        <v>875</v>
      </c>
      <c r="N165" s="12">
        <f>IF(L165=0,0,SUMIFS('PSI Plan'!$N$6:$N$173,'PSI Plan'!$B$6:$B$173,B165,'PSI Plan'!$C$6:$C$173,I165))</f>
        <v>0</v>
      </c>
      <c r="O165" s="11">
        <f t="shared" si="4"/>
        <v>0</v>
      </c>
      <c r="P165" s="11">
        <f t="shared" si="5"/>
        <v>0</v>
      </c>
      <c r="Q165" s="6"/>
      <c r="R165" s="6"/>
      <c r="S165" s="6"/>
      <c r="T165" s="6"/>
    </row>
    <row r="166" spans="1:20">
      <c r="A166" s="6" t="s">
        <v>293</v>
      </c>
      <c r="B166" s="6" t="s">
        <v>69</v>
      </c>
      <c r="C166" s="6" t="s">
        <v>90</v>
      </c>
      <c r="D166" s="6" t="s">
        <v>119</v>
      </c>
      <c r="E166" s="6" t="s">
        <v>120</v>
      </c>
      <c r="F166" s="7">
        <v>11</v>
      </c>
      <c r="G166" s="7">
        <v>1375</v>
      </c>
      <c r="H166" s="16">
        <v>45235</v>
      </c>
      <c r="I166" s="6">
        <v>45</v>
      </c>
      <c r="J166" s="6" t="s">
        <v>121</v>
      </c>
      <c r="K166" s="6" t="s">
        <v>139</v>
      </c>
      <c r="L166" s="11">
        <f>F166*Controls!$B$6</f>
        <v>11</v>
      </c>
      <c r="M166" s="11">
        <f>G166*Controls!$B$6</f>
        <v>1375</v>
      </c>
      <c r="N166" s="12">
        <f>IF(L166=0,0,SUMIFS('PSI Plan'!$N$6:$N$173,'PSI Plan'!$B$6:$B$173,B166,'PSI Plan'!$C$6:$C$173,I166))</f>
        <v>0</v>
      </c>
      <c r="O166" s="11">
        <f t="shared" si="4"/>
        <v>0</v>
      </c>
      <c r="P166" s="11">
        <f t="shared" si="5"/>
        <v>0</v>
      </c>
      <c r="Q166" s="6"/>
      <c r="R166" s="6"/>
      <c r="S166" s="6"/>
      <c r="T166" s="6"/>
    </row>
    <row r="167" spans="1:20">
      <c r="A167" s="6" t="s">
        <v>294</v>
      </c>
      <c r="B167" s="6" t="s">
        <v>66</v>
      </c>
      <c r="C167" s="6" t="s">
        <v>90</v>
      </c>
      <c r="D167" s="6" t="s">
        <v>119</v>
      </c>
      <c r="E167" s="6" t="s">
        <v>120</v>
      </c>
      <c r="F167" s="7">
        <v>2</v>
      </c>
      <c r="G167" s="7">
        <v>250</v>
      </c>
      <c r="H167" s="16">
        <v>45255</v>
      </c>
      <c r="I167" s="6">
        <v>47</v>
      </c>
      <c r="J167" s="6" t="s">
        <v>121</v>
      </c>
      <c r="K167" s="6" t="s">
        <v>139</v>
      </c>
      <c r="L167" s="11">
        <f>F167*Controls!$B$6</f>
        <v>2</v>
      </c>
      <c r="M167" s="11">
        <f>G167*Controls!$B$6</f>
        <v>250</v>
      </c>
      <c r="N167" s="12">
        <f>IF(L167=0,0,SUMIFS('PSI Plan'!$N$6:$N$173,'PSI Plan'!$B$6:$B$173,B167,'PSI Plan'!$C$6:$C$173,I167))</f>
        <v>0</v>
      </c>
      <c r="O167" s="11">
        <f t="shared" si="4"/>
        <v>0</v>
      </c>
      <c r="P167" s="11">
        <f t="shared" si="5"/>
        <v>0</v>
      </c>
      <c r="Q167" s="6"/>
      <c r="R167" s="6"/>
      <c r="S167" s="6"/>
      <c r="T167" s="6"/>
    </row>
    <row r="168" spans="1:20">
      <c r="A168" s="6" t="s">
        <v>295</v>
      </c>
      <c r="B168" s="6" t="s">
        <v>69</v>
      </c>
      <c r="C168" s="6" t="s">
        <v>90</v>
      </c>
      <c r="D168" s="6" t="s">
        <v>119</v>
      </c>
      <c r="E168" s="6" t="s">
        <v>120</v>
      </c>
      <c r="F168" s="7">
        <v>11</v>
      </c>
      <c r="G168" s="7">
        <v>1375</v>
      </c>
      <c r="H168" s="16">
        <v>45287</v>
      </c>
      <c r="I168" s="6">
        <v>52</v>
      </c>
      <c r="J168" s="6" t="s">
        <v>121</v>
      </c>
      <c r="K168" s="6" t="s">
        <v>171</v>
      </c>
      <c r="L168" s="11">
        <f>F168*Controls!$B$6</f>
        <v>11</v>
      </c>
      <c r="M168" s="11">
        <f>G168*Controls!$B$6</f>
        <v>1375</v>
      </c>
      <c r="N168" s="12">
        <f>IF(L168=0,0,SUMIFS('PSI Plan'!$N$6:$N$173,'PSI Plan'!$B$6:$B$173,B168,'PSI Plan'!$C$6:$C$173,I168))</f>
        <v>0</v>
      </c>
      <c r="O168" s="11">
        <f t="shared" si="4"/>
        <v>0</v>
      </c>
      <c r="P168" s="11">
        <f t="shared" si="5"/>
        <v>0</v>
      </c>
      <c r="Q168" s="6"/>
      <c r="R168" s="6"/>
      <c r="S168" s="6"/>
      <c r="T168" s="6"/>
    </row>
    <row r="169" spans="1:20">
      <c r="A169" s="6" t="s">
        <v>296</v>
      </c>
      <c r="B169" s="6" t="s">
        <v>69</v>
      </c>
      <c r="C169" s="6" t="s">
        <v>90</v>
      </c>
      <c r="D169" s="6" t="s">
        <v>119</v>
      </c>
      <c r="E169" s="6" t="s">
        <v>120</v>
      </c>
      <c r="F169" s="7">
        <v>3</v>
      </c>
      <c r="G169" s="7">
        <v>375</v>
      </c>
      <c r="H169" s="16">
        <v>45222</v>
      </c>
      <c r="I169" s="6">
        <v>43</v>
      </c>
      <c r="J169" s="6" t="s">
        <v>121</v>
      </c>
      <c r="K169" s="6" t="s">
        <v>135</v>
      </c>
      <c r="L169" s="11">
        <f>F169*Controls!$B$6</f>
        <v>3</v>
      </c>
      <c r="M169" s="11">
        <f>G169*Controls!$B$6</f>
        <v>375</v>
      </c>
      <c r="N169" s="12">
        <f>IF(L169=0,0,SUMIFS('PSI Plan'!$N$6:$N$173,'PSI Plan'!$B$6:$B$173,B169,'PSI Plan'!$C$6:$C$173,I169))</f>
        <v>0</v>
      </c>
      <c r="O169" s="11">
        <f t="shared" si="4"/>
        <v>0</v>
      </c>
      <c r="P169" s="11">
        <f t="shared" si="5"/>
        <v>0</v>
      </c>
      <c r="Q169" s="6"/>
      <c r="R169" s="6"/>
      <c r="S169" s="6"/>
      <c r="T169" s="6"/>
    </row>
    <row r="170" spans="1:20">
      <c r="A170" s="6" t="s">
        <v>297</v>
      </c>
      <c r="B170" s="6" t="s">
        <v>69</v>
      </c>
      <c r="C170" s="6" t="s">
        <v>90</v>
      </c>
      <c r="D170" s="6" t="s">
        <v>119</v>
      </c>
      <c r="E170" s="6" t="s">
        <v>120</v>
      </c>
      <c r="F170" s="7">
        <v>39</v>
      </c>
      <c r="G170" s="7">
        <v>4875</v>
      </c>
      <c r="H170" s="16">
        <v>45222</v>
      </c>
      <c r="I170" s="6">
        <v>43</v>
      </c>
      <c r="J170" s="6" t="s">
        <v>121</v>
      </c>
      <c r="K170" s="6" t="s">
        <v>298</v>
      </c>
      <c r="L170" s="11">
        <f>F170*Controls!$B$6</f>
        <v>39</v>
      </c>
      <c r="M170" s="11">
        <f>G170*Controls!$B$6</f>
        <v>4875</v>
      </c>
      <c r="N170" s="12">
        <f>IF(L170=0,0,SUMIFS('PSI Plan'!$N$6:$N$173,'PSI Plan'!$B$6:$B$173,B170,'PSI Plan'!$C$6:$C$173,I170))</f>
        <v>0</v>
      </c>
      <c r="O170" s="11">
        <f t="shared" si="4"/>
        <v>0</v>
      </c>
      <c r="P170" s="11">
        <f t="shared" si="5"/>
        <v>0</v>
      </c>
      <c r="Q170" s="6"/>
      <c r="R170" s="6"/>
      <c r="S170" s="6"/>
      <c r="T170" s="6"/>
    </row>
    <row r="171" spans="1:20">
      <c r="A171" s="6" t="s">
        <v>299</v>
      </c>
      <c r="B171" s="6" t="s">
        <v>77</v>
      </c>
      <c r="C171" s="6" t="s">
        <v>90</v>
      </c>
      <c r="D171" s="6" t="s">
        <v>119</v>
      </c>
      <c r="E171" s="6" t="s">
        <v>120</v>
      </c>
      <c r="F171" s="7">
        <v>4</v>
      </c>
      <c r="G171" s="7">
        <v>500</v>
      </c>
      <c r="H171" s="16">
        <v>45235</v>
      </c>
      <c r="I171" s="6">
        <v>45</v>
      </c>
      <c r="J171" s="6" t="s">
        <v>121</v>
      </c>
      <c r="K171" s="6" t="s">
        <v>139</v>
      </c>
      <c r="L171" s="11">
        <f>F171*Controls!$B$6</f>
        <v>4</v>
      </c>
      <c r="M171" s="11">
        <f>G171*Controls!$B$6</f>
        <v>500</v>
      </c>
      <c r="N171" s="12">
        <f>IF(L171=0,0,SUMIFS('PSI Plan'!$N$6:$N$173,'PSI Plan'!$B$6:$B$173,B171,'PSI Plan'!$C$6:$C$173,I171))</f>
        <v>0</v>
      </c>
      <c r="O171" s="11">
        <f t="shared" si="4"/>
        <v>0</v>
      </c>
      <c r="P171" s="11">
        <f t="shared" si="5"/>
        <v>0</v>
      </c>
      <c r="Q171" s="6"/>
      <c r="R171" s="6"/>
      <c r="S171" s="6"/>
      <c r="T171" s="6"/>
    </row>
    <row r="172" spans="1:20">
      <c r="A172" s="6" t="s">
        <v>300</v>
      </c>
      <c r="B172" s="6" t="s">
        <v>66</v>
      </c>
      <c r="C172" s="6" t="s">
        <v>90</v>
      </c>
      <c r="D172" s="6" t="s">
        <v>119</v>
      </c>
      <c r="E172" s="6" t="s">
        <v>120</v>
      </c>
      <c r="F172" s="7">
        <v>13</v>
      </c>
      <c r="G172" s="7">
        <v>1625</v>
      </c>
      <c r="H172" s="16">
        <v>45201</v>
      </c>
      <c r="I172" s="6">
        <v>40</v>
      </c>
      <c r="J172" s="6" t="s">
        <v>121</v>
      </c>
      <c r="K172" s="6" t="s">
        <v>139</v>
      </c>
      <c r="L172" s="11">
        <f>F172*Controls!$B$6</f>
        <v>13</v>
      </c>
      <c r="M172" s="11">
        <f>G172*Controls!$B$6</f>
        <v>1625</v>
      </c>
      <c r="N172" s="12">
        <f>IF(L172=0,0,SUMIFS('PSI Plan'!$N$6:$N$173,'PSI Plan'!$B$6:$B$173,B172,'PSI Plan'!$C$6:$C$173,I172))</f>
        <v>0</v>
      </c>
      <c r="O172" s="11">
        <f t="shared" si="4"/>
        <v>0</v>
      </c>
      <c r="P172" s="11">
        <f t="shared" si="5"/>
        <v>0</v>
      </c>
      <c r="Q172" s="6"/>
      <c r="R172" s="6"/>
      <c r="S172" s="6"/>
      <c r="T172" s="6"/>
    </row>
    <row r="173" spans="1:20">
      <c r="A173" s="6" t="s">
        <v>301</v>
      </c>
      <c r="B173" s="6" t="s">
        <v>69</v>
      </c>
      <c r="C173" s="6" t="s">
        <v>90</v>
      </c>
      <c r="D173" s="6" t="s">
        <v>119</v>
      </c>
      <c r="E173" s="6" t="s">
        <v>120</v>
      </c>
      <c r="F173" s="7">
        <v>3</v>
      </c>
      <c r="G173" s="7">
        <v>375</v>
      </c>
      <c r="H173" s="16">
        <v>45213</v>
      </c>
      <c r="I173" s="6">
        <v>41</v>
      </c>
      <c r="J173" s="6" t="s">
        <v>121</v>
      </c>
      <c r="K173" s="6" t="s">
        <v>139</v>
      </c>
      <c r="L173" s="11">
        <f>F173*Controls!$B$6</f>
        <v>3</v>
      </c>
      <c r="M173" s="11">
        <f>G173*Controls!$B$6</f>
        <v>375</v>
      </c>
      <c r="N173" s="12">
        <f>IF(L173=0,0,SUMIFS('PSI Plan'!$N$6:$N$173,'PSI Plan'!$B$6:$B$173,B173,'PSI Plan'!$C$6:$C$173,I173))</f>
        <v>0</v>
      </c>
      <c r="O173" s="11">
        <f t="shared" si="4"/>
        <v>0</v>
      </c>
      <c r="P173" s="11">
        <f t="shared" si="5"/>
        <v>0</v>
      </c>
      <c r="Q173" s="6"/>
      <c r="R173" s="6"/>
      <c r="S173" s="6"/>
      <c r="T173" s="6"/>
    </row>
    <row r="174" spans="1:20">
      <c r="A174" s="6" t="s">
        <v>302</v>
      </c>
      <c r="B174" s="6" t="s">
        <v>69</v>
      </c>
      <c r="C174" s="6" t="s">
        <v>90</v>
      </c>
      <c r="D174" s="6" t="s">
        <v>119</v>
      </c>
      <c r="E174" s="6" t="s">
        <v>120</v>
      </c>
      <c r="F174" s="7">
        <v>52</v>
      </c>
      <c r="G174" s="7">
        <v>6500</v>
      </c>
      <c r="H174" s="16">
        <v>45275</v>
      </c>
      <c r="I174" s="6">
        <v>50</v>
      </c>
      <c r="J174" s="6" t="s">
        <v>121</v>
      </c>
      <c r="K174" s="6" t="s">
        <v>122</v>
      </c>
      <c r="L174" s="11">
        <f>F174*Controls!$B$6</f>
        <v>52</v>
      </c>
      <c r="M174" s="11">
        <f>G174*Controls!$B$6</f>
        <v>6500</v>
      </c>
      <c r="N174" s="12">
        <f>IF(L174=0,0,SUMIFS('PSI Plan'!$N$6:$N$173,'PSI Plan'!$B$6:$B$173,B174,'PSI Plan'!$C$6:$C$173,I174))</f>
        <v>0</v>
      </c>
      <c r="O174" s="11">
        <f t="shared" si="4"/>
        <v>0</v>
      </c>
      <c r="P174" s="11">
        <f t="shared" si="5"/>
        <v>0</v>
      </c>
      <c r="Q174" s="6"/>
      <c r="R174" s="6"/>
      <c r="S174" s="6"/>
      <c r="T174" s="6"/>
    </row>
    <row r="175" spans="1:20">
      <c r="A175" s="6" t="s">
        <v>303</v>
      </c>
      <c r="B175" s="6" t="s">
        <v>77</v>
      </c>
      <c r="C175" s="6" t="s">
        <v>90</v>
      </c>
      <c r="D175" s="6" t="s">
        <v>119</v>
      </c>
      <c r="E175" s="6" t="s">
        <v>120</v>
      </c>
      <c r="F175" s="7">
        <v>52</v>
      </c>
      <c r="G175" s="7">
        <v>6500</v>
      </c>
      <c r="H175" s="16">
        <v>45241</v>
      </c>
      <c r="I175" s="6">
        <v>45</v>
      </c>
      <c r="J175" s="6" t="s">
        <v>121</v>
      </c>
      <c r="K175" s="6" t="s">
        <v>122</v>
      </c>
      <c r="L175" s="11">
        <f>F175*Controls!$B$6</f>
        <v>52</v>
      </c>
      <c r="M175" s="11">
        <f>G175*Controls!$B$6</f>
        <v>6500</v>
      </c>
      <c r="N175" s="12">
        <f>IF(L175=0,0,SUMIFS('PSI Plan'!$N$6:$N$173,'PSI Plan'!$B$6:$B$173,B175,'PSI Plan'!$C$6:$C$173,I175))</f>
        <v>0</v>
      </c>
      <c r="O175" s="11">
        <f t="shared" si="4"/>
        <v>0</v>
      </c>
      <c r="P175" s="11">
        <f t="shared" si="5"/>
        <v>0</v>
      </c>
      <c r="Q175" s="6"/>
      <c r="R175" s="6"/>
      <c r="S175" s="6"/>
      <c r="T175" s="6"/>
    </row>
    <row r="176" spans="1:20">
      <c r="A176" s="6" t="s">
        <v>304</v>
      </c>
      <c r="B176" s="6" t="s">
        <v>66</v>
      </c>
      <c r="C176" s="6" t="s">
        <v>90</v>
      </c>
      <c r="D176" s="6" t="s">
        <v>119</v>
      </c>
      <c r="E176" s="6" t="s">
        <v>120</v>
      </c>
      <c r="F176" s="7">
        <v>52</v>
      </c>
      <c r="G176" s="7">
        <v>6500</v>
      </c>
      <c r="H176" s="16">
        <v>45211</v>
      </c>
      <c r="I176" s="6">
        <v>41</v>
      </c>
      <c r="J176" s="6" t="s">
        <v>121</v>
      </c>
      <c r="K176" s="6" t="s">
        <v>122</v>
      </c>
      <c r="L176" s="11">
        <f>F176*Controls!$B$6</f>
        <v>52</v>
      </c>
      <c r="M176" s="11">
        <f>G176*Controls!$B$6</f>
        <v>6500</v>
      </c>
      <c r="N176" s="12">
        <f>IF(L176=0,0,SUMIFS('PSI Plan'!$N$6:$N$173,'PSI Plan'!$B$6:$B$173,B176,'PSI Plan'!$C$6:$C$173,I176))</f>
        <v>0.22897465437788017</v>
      </c>
      <c r="O176" s="11">
        <f t="shared" si="4"/>
        <v>11.906682027649769</v>
      </c>
      <c r="P176" s="11">
        <f t="shared" si="5"/>
        <v>1488.3352534562212</v>
      </c>
      <c r="Q176" s="6"/>
      <c r="R176" s="6"/>
      <c r="S176" s="6"/>
      <c r="T176" s="6"/>
    </row>
    <row r="177" spans="1:20">
      <c r="A177" s="6" t="s">
        <v>305</v>
      </c>
      <c r="B177" s="6" t="s">
        <v>77</v>
      </c>
      <c r="C177" s="6" t="s">
        <v>90</v>
      </c>
      <c r="D177" s="6" t="s">
        <v>119</v>
      </c>
      <c r="E177" s="6" t="s">
        <v>120</v>
      </c>
      <c r="F177" s="7">
        <v>52</v>
      </c>
      <c r="G177" s="7">
        <v>6500</v>
      </c>
      <c r="H177" s="16">
        <v>45266</v>
      </c>
      <c r="I177" s="6">
        <v>49</v>
      </c>
      <c r="J177" s="6" t="s">
        <v>121</v>
      </c>
      <c r="K177" s="6" t="s">
        <v>122</v>
      </c>
      <c r="L177" s="11">
        <f>F177*Controls!$B$6</f>
        <v>52</v>
      </c>
      <c r="M177" s="11">
        <f>G177*Controls!$B$6</f>
        <v>6500</v>
      </c>
      <c r="N177" s="12">
        <f>IF(L177=0,0,SUMIFS('PSI Plan'!$N$6:$N$173,'PSI Plan'!$B$6:$B$173,B177,'PSI Plan'!$C$6:$C$173,I177))</f>
        <v>0</v>
      </c>
      <c r="O177" s="11">
        <f t="shared" si="4"/>
        <v>0</v>
      </c>
      <c r="P177" s="11">
        <f t="shared" si="5"/>
        <v>0</v>
      </c>
      <c r="Q177" s="6"/>
      <c r="R177" s="6"/>
      <c r="S177" s="6"/>
      <c r="T177" s="6"/>
    </row>
    <row r="178" spans="1:20">
      <c r="A178" s="6" t="s">
        <v>306</v>
      </c>
      <c r="B178" s="6" t="s">
        <v>66</v>
      </c>
      <c r="C178" s="6" t="s">
        <v>90</v>
      </c>
      <c r="D178" s="6" t="s">
        <v>119</v>
      </c>
      <c r="E178" s="6" t="s">
        <v>120</v>
      </c>
      <c r="F178" s="7">
        <v>52</v>
      </c>
      <c r="G178" s="7">
        <v>6500</v>
      </c>
      <c r="H178" s="16">
        <v>45277</v>
      </c>
      <c r="I178" s="6">
        <v>51</v>
      </c>
      <c r="J178" s="6" t="s">
        <v>121</v>
      </c>
      <c r="K178" s="6" t="s">
        <v>122</v>
      </c>
      <c r="L178" s="11">
        <f>F178*Controls!$B$6</f>
        <v>52</v>
      </c>
      <c r="M178" s="11">
        <f>G178*Controls!$B$6</f>
        <v>6500</v>
      </c>
      <c r="N178" s="12">
        <f>IF(L178=0,0,SUMIFS('PSI Plan'!$N$6:$N$173,'PSI Plan'!$B$6:$B$173,B178,'PSI Plan'!$C$6:$C$173,I178))</f>
        <v>0</v>
      </c>
      <c r="O178" s="11">
        <f t="shared" si="4"/>
        <v>0</v>
      </c>
      <c r="P178" s="11">
        <f t="shared" si="5"/>
        <v>0</v>
      </c>
      <c r="Q178" s="6"/>
      <c r="R178" s="6"/>
      <c r="S178" s="6"/>
      <c r="T178" s="6"/>
    </row>
    <row r="179" spans="1:20">
      <c r="A179" s="6" t="s">
        <v>307</v>
      </c>
      <c r="B179" s="6" t="s">
        <v>69</v>
      </c>
      <c r="C179" s="6" t="s">
        <v>90</v>
      </c>
      <c r="D179" s="6" t="s">
        <v>119</v>
      </c>
      <c r="E179" s="6" t="s">
        <v>120</v>
      </c>
      <c r="F179" s="7">
        <v>52</v>
      </c>
      <c r="G179" s="7">
        <v>6500</v>
      </c>
      <c r="H179" s="16">
        <v>45213</v>
      </c>
      <c r="I179" s="6">
        <v>41</v>
      </c>
      <c r="J179" s="6" t="s">
        <v>121</v>
      </c>
      <c r="K179" s="6" t="s">
        <v>122</v>
      </c>
      <c r="L179" s="11">
        <f>F179*Controls!$B$6</f>
        <v>52</v>
      </c>
      <c r="M179" s="11">
        <f>G179*Controls!$B$6</f>
        <v>6500</v>
      </c>
      <c r="N179" s="12">
        <f>IF(L179=0,0,SUMIFS('PSI Plan'!$N$6:$N$173,'PSI Plan'!$B$6:$B$173,B179,'PSI Plan'!$C$6:$C$173,I179))</f>
        <v>0</v>
      </c>
      <c r="O179" s="11">
        <f t="shared" si="4"/>
        <v>0</v>
      </c>
      <c r="P179" s="11">
        <f t="shared" si="5"/>
        <v>0</v>
      </c>
      <c r="Q179" s="6"/>
      <c r="R179" s="6"/>
      <c r="S179" s="6"/>
      <c r="T179" s="6"/>
    </row>
    <row r="180" spans="1:20">
      <c r="A180" s="6" t="s">
        <v>308</v>
      </c>
      <c r="B180" s="6" t="s">
        <v>69</v>
      </c>
      <c r="C180" s="6" t="s">
        <v>90</v>
      </c>
      <c r="D180" s="6" t="s">
        <v>119</v>
      </c>
      <c r="E180" s="6" t="s">
        <v>120</v>
      </c>
      <c r="F180" s="7">
        <v>7</v>
      </c>
      <c r="G180" s="7">
        <v>875</v>
      </c>
      <c r="H180" s="16">
        <v>45238</v>
      </c>
      <c r="I180" s="6">
        <v>45</v>
      </c>
      <c r="J180" s="6" t="s">
        <v>121</v>
      </c>
      <c r="K180" s="6" t="s">
        <v>132</v>
      </c>
      <c r="L180" s="11">
        <f>F180*Controls!$B$6</f>
        <v>7</v>
      </c>
      <c r="M180" s="11">
        <f>G180*Controls!$B$6</f>
        <v>875</v>
      </c>
      <c r="N180" s="12">
        <f>IF(L180=0,0,SUMIFS('PSI Plan'!$N$6:$N$173,'PSI Plan'!$B$6:$B$173,B180,'PSI Plan'!$C$6:$C$173,I180))</f>
        <v>0</v>
      </c>
      <c r="O180" s="11">
        <f t="shared" si="4"/>
        <v>0</v>
      </c>
      <c r="P180" s="11">
        <f t="shared" si="5"/>
        <v>0</v>
      </c>
      <c r="Q180" s="6"/>
      <c r="R180" s="6"/>
      <c r="S180" s="6"/>
      <c r="T180" s="6"/>
    </row>
    <row r="181" spans="1:20">
      <c r="A181" s="6" t="s">
        <v>309</v>
      </c>
      <c r="B181" s="6" t="s">
        <v>69</v>
      </c>
      <c r="C181" s="6" t="s">
        <v>90</v>
      </c>
      <c r="D181" s="6" t="s">
        <v>119</v>
      </c>
      <c r="E181" s="6" t="s">
        <v>120</v>
      </c>
      <c r="F181" s="7">
        <v>9</v>
      </c>
      <c r="G181" s="7">
        <v>1125</v>
      </c>
      <c r="H181" s="16">
        <v>45245</v>
      </c>
      <c r="I181" s="6">
        <v>46</v>
      </c>
      <c r="J181" s="6" t="s">
        <v>121</v>
      </c>
      <c r="K181" s="6" t="s">
        <v>139</v>
      </c>
      <c r="L181" s="11">
        <f>F181*Controls!$B$6</f>
        <v>9</v>
      </c>
      <c r="M181" s="11">
        <f>G181*Controls!$B$6</f>
        <v>1125</v>
      </c>
      <c r="N181" s="12">
        <f>IF(L181=0,0,SUMIFS('PSI Plan'!$N$6:$N$173,'PSI Plan'!$B$6:$B$173,B181,'PSI Plan'!$C$6:$C$173,I181))</f>
        <v>0</v>
      </c>
      <c r="O181" s="11">
        <f t="shared" si="4"/>
        <v>0</v>
      </c>
      <c r="P181" s="11">
        <f t="shared" si="5"/>
        <v>0</v>
      </c>
      <c r="Q181" s="6"/>
      <c r="R181" s="6"/>
      <c r="S181" s="6"/>
      <c r="T181" s="6"/>
    </row>
    <row r="182" spans="1:20">
      <c r="A182" s="6" t="s">
        <v>310</v>
      </c>
      <c r="B182" s="6" t="s">
        <v>69</v>
      </c>
      <c r="C182" s="6" t="s">
        <v>90</v>
      </c>
      <c r="D182" s="6" t="s">
        <v>119</v>
      </c>
      <c r="E182" s="6" t="s">
        <v>120</v>
      </c>
      <c r="F182" s="7">
        <v>10</v>
      </c>
      <c r="G182" s="7">
        <v>1250</v>
      </c>
      <c r="H182" s="16">
        <v>45219</v>
      </c>
      <c r="I182" s="6">
        <v>42</v>
      </c>
      <c r="J182" s="6" t="s">
        <v>121</v>
      </c>
      <c r="K182" s="6" t="s">
        <v>135</v>
      </c>
      <c r="L182" s="11">
        <f>F182*Controls!$B$6</f>
        <v>10</v>
      </c>
      <c r="M182" s="11">
        <f>G182*Controls!$B$6</f>
        <v>1250</v>
      </c>
      <c r="N182" s="12">
        <f>IF(L182=0,0,SUMIFS('PSI Plan'!$N$6:$N$173,'PSI Plan'!$B$6:$B$173,B182,'PSI Plan'!$C$6:$C$173,I182))</f>
        <v>0</v>
      </c>
      <c r="O182" s="11">
        <f t="shared" si="4"/>
        <v>0</v>
      </c>
      <c r="P182" s="11">
        <f t="shared" si="5"/>
        <v>0</v>
      </c>
      <c r="Q182" s="6"/>
      <c r="R182" s="6"/>
      <c r="S182" s="6"/>
      <c r="T182" s="6"/>
    </row>
    <row r="183" spans="1:20">
      <c r="A183" s="6" t="s">
        <v>311</v>
      </c>
      <c r="B183" s="6" t="s">
        <v>69</v>
      </c>
      <c r="C183" s="6" t="s">
        <v>90</v>
      </c>
      <c r="D183" s="6" t="s">
        <v>119</v>
      </c>
      <c r="E183" s="6" t="s">
        <v>120</v>
      </c>
      <c r="F183" s="7">
        <v>14</v>
      </c>
      <c r="G183" s="7">
        <v>1750</v>
      </c>
      <c r="H183" s="16">
        <v>45202</v>
      </c>
      <c r="I183" s="6">
        <v>40</v>
      </c>
      <c r="J183" s="6" t="s">
        <v>121</v>
      </c>
      <c r="K183" s="6" t="s">
        <v>171</v>
      </c>
      <c r="L183" s="11">
        <f>F183*Controls!$B$6</f>
        <v>14</v>
      </c>
      <c r="M183" s="11">
        <f>G183*Controls!$B$6</f>
        <v>1750</v>
      </c>
      <c r="N183" s="12">
        <f>IF(L183=0,0,SUMIFS('PSI Plan'!$N$6:$N$173,'PSI Plan'!$B$6:$B$173,B183,'PSI Plan'!$C$6:$C$173,I183))</f>
        <v>0</v>
      </c>
      <c r="O183" s="11">
        <f t="shared" si="4"/>
        <v>0</v>
      </c>
      <c r="P183" s="11">
        <f t="shared" si="5"/>
        <v>0</v>
      </c>
      <c r="Q183" s="6"/>
      <c r="R183" s="6"/>
      <c r="S183" s="6"/>
      <c r="T183" s="6"/>
    </row>
    <row r="184" spans="1:20">
      <c r="A184" s="6" t="s">
        <v>312</v>
      </c>
      <c r="B184" s="6" t="s">
        <v>69</v>
      </c>
      <c r="C184" s="6" t="s">
        <v>90</v>
      </c>
      <c r="D184" s="6" t="s">
        <v>119</v>
      </c>
      <c r="E184" s="6" t="s">
        <v>120</v>
      </c>
      <c r="F184" s="7">
        <v>63</v>
      </c>
      <c r="G184" s="7">
        <v>7875</v>
      </c>
      <c r="H184" s="16">
        <v>45250</v>
      </c>
      <c r="I184" s="6">
        <v>47</v>
      </c>
      <c r="J184" s="6" t="s">
        <v>121</v>
      </c>
      <c r="K184" s="6" t="s">
        <v>171</v>
      </c>
      <c r="L184" s="11">
        <f>F184*Controls!$B$6</f>
        <v>63</v>
      </c>
      <c r="M184" s="11">
        <f>G184*Controls!$B$6</f>
        <v>7875</v>
      </c>
      <c r="N184" s="12">
        <f>IF(L184=0,0,SUMIFS('PSI Plan'!$N$6:$N$173,'PSI Plan'!$B$6:$B$173,B184,'PSI Plan'!$C$6:$C$173,I184))</f>
        <v>0</v>
      </c>
      <c r="O184" s="11">
        <f t="shared" si="4"/>
        <v>0</v>
      </c>
      <c r="P184" s="11">
        <f t="shared" si="5"/>
        <v>0</v>
      </c>
      <c r="Q184" s="6"/>
      <c r="R184" s="6"/>
      <c r="S184" s="6"/>
      <c r="T184" s="6"/>
    </row>
    <row r="185" spans="1:20">
      <c r="A185" s="6" t="s">
        <v>313</v>
      </c>
      <c r="B185" s="6" t="s">
        <v>69</v>
      </c>
      <c r="C185" s="6" t="s">
        <v>90</v>
      </c>
      <c r="D185" s="6" t="s">
        <v>119</v>
      </c>
      <c r="E185" s="6" t="s">
        <v>120</v>
      </c>
      <c r="F185" s="7">
        <v>1</v>
      </c>
      <c r="G185" s="7">
        <v>125</v>
      </c>
      <c r="H185" s="16">
        <v>45238</v>
      </c>
      <c r="I185" s="6">
        <v>45</v>
      </c>
      <c r="J185" s="6" t="s">
        <v>121</v>
      </c>
      <c r="K185" s="6" t="s">
        <v>132</v>
      </c>
      <c r="L185" s="11">
        <f>F185*Controls!$B$6</f>
        <v>1</v>
      </c>
      <c r="M185" s="11">
        <f>G185*Controls!$B$6</f>
        <v>125</v>
      </c>
      <c r="N185" s="12">
        <f>IF(L185=0,0,SUMIFS('PSI Plan'!$N$6:$N$173,'PSI Plan'!$B$6:$B$173,B185,'PSI Plan'!$C$6:$C$173,I185))</f>
        <v>0</v>
      </c>
      <c r="O185" s="11">
        <f t="shared" si="4"/>
        <v>0</v>
      </c>
      <c r="P185" s="11">
        <f t="shared" si="5"/>
        <v>0</v>
      </c>
      <c r="Q185" s="6"/>
      <c r="R185" s="6"/>
      <c r="S185" s="6"/>
      <c r="T185" s="6"/>
    </row>
    <row r="186" spans="1:20">
      <c r="A186" s="6" t="s">
        <v>314</v>
      </c>
      <c r="B186" s="6" t="s">
        <v>77</v>
      </c>
      <c r="C186" s="6" t="s">
        <v>90</v>
      </c>
      <c r="D186" s="6" t="s">
        <v>119</v>
      </c>
      <c r="E186" s="6" t="s">
        <v>120</v>
      </c>
      <c r="F186" s="7">
        <v>23</v>
      </c>
      <c r="G186" s="7">
        <v>2875</v>
      </c>
      <c r="H186" s="16">
        <v>45233</v>
      </c>
      <c r="I186" s="6">
        <v>44</v>
      </c>
      <c r="J186" s="6" t="s">
        <v>121</v>
      </c>
      <c r="K186" s="6" t="s">
        <v>132</v>
      </c>
      <c r="L186" s="11">
        <f>F186*Controls!$B$6</f>
        <v>23</v>
      </c>
      <c r="M186" s="11">
        <f>G186*Controls!$B$6</f>
        <v>2875</v>
      </c>
      <c r="N186" s="12">
        <f>IF(L186=0,0,SUMIFS('PSI Plan'!$N$6:$N$173,'PSI Plan'!$B$6:$B$173,B186,'PSI Plan'!$C$6:$C$173,I186))</f>
        <v>0</v>
      </c>
      <c r="O186" s="11">
        <f t="shared" si="4"/>
        <v>0</v>
      </c>
      <c r="P186" s="11">
        <f t="shared" si="5"/>
        <v>0</v>
      </c>
      <c r="Q186" s="6"/>
      <c r="R186" s="6"/>
      <c r="S186" s="6"/>
      <c r="T186" s="6"/>
    </row>
    <row r="187" spans="1:20">
      <c r="A187" s="6" t="s">
        <v>315</v>
      </c>
      <c r="B187" s="6" t="s">
        <v>66</v>
      </c>
      <c r="C187" s="6" t="s">
        <v>90</v>
      </c>
      <c r="D187" s="6" t="s">
        <v>119</v>
      </c>
      <c r="E187" s="6" t="s">
        <v>120</v>
      </c>
      <c r="F187" s="7">
        <v>52</v>
      </c>
      <c r="G187" s="7">
        <v>6500</v>
      </c>
      <c r="H187" s="16">
        <v>45253</v>
      </c>
      <c r="I187" s="6">
        <v>47</v>
      </c>
      <c r="J187" s="6" t="s">
        <v>121</v>
      </c>
      <c r="K187" s="6" t="s">
        <v>122</v>
      </c>
      <c r="L187" s="11">
        <f>F187*Controls!$B$6</f>
        <v>52</v>
      </c>
      <c r="M187" s="11">
        <f>G187*Controls!$B$6</f>
        <v>6500</v>
      </c>
      <c r="N187" s="12">
        <f>IF(L187=0,0,SUMIFS('PSI Plan'!$N$6:$N$173,'PSI Plan'!$B$6:$B$173,B187,'PSI Plan'!$C$6:$C$173,I187))</f>
        <v>0</v>
      </c>
      <c r="O187" s="11">
        <f t="shared" si="4"/>
        <v>0</v>
      </c>
      <c r="P187" s="11">
        <f t="shared" si="5"/>
        <v>0</v>
      </c>
      <c r="Q187" s="6"/>
      <c r="R187" s="6"/>
      <c r="S187" s="6"/>
      <c r="T187" s="6"/>
    </row>
    <row r="188" spans="1:20">
      <c r="A188" s="6" t="s">
        <v>316</v>
      </c>
      <c r="B188" s="6" t="s">
        <v>77</v>
      </c>
      <c r="C188" s="6" t="s">
        <v>90</v>
      </c>
      <c r="D188" s="6" t="s">
        <v>119</v>
      </c>
      <c r="E188" s="6" t="s">
        <v>120</v>
      </c>
      <c r="F188" s="7">
        <v>52</v>
      </c>
      <c r="G188" s="7">
        <v>6500</v>
      </c>
      <c r="H188" s="16">
        <v>45277</v>
      </c>
      <c r="I188" s="6">
        <v>51</v>
      </c>
      <c r="J188" s="6" t="s">
        <v>121</v>
      </c>
      <c r="K188" s="6" t="s">
        <v>122</v>
      </c>
      <c r="L188" s="11">
        <f>F188*Controls!$B$6</f>
        <v>52</v>
      </c>
      <c r="M188" s="11">
        <f>G188*Controls!$B$6</f>
        <v>6500</v>
      </c>
      <c r="N188" s="12">
        <f>IF(L188=0,0,SUMIFS('PSI Plan'!$N$6:$N$173,'PSI Plan'!$B$6:$B$173,B188,'PSI Plan'!$C$6:$C$173,I188))</f>
        <v>0</v>
      </c>
      <c r="O188" s="11">
        <f t="shared" si="4"/>
        <v>0</v>
      </c>
      <c r="P188" s="11">
        <f t="shared" si="5"/>
        <v>0</v>
      </c>
      <c r="Q188" s="6"/>
      <c r="R188" s="6"/>
      <c r="S188" s="6"/>
      <c r="T188" s="6"/>
    </row>
    <row r="189" spans="1:20">
      <c r="A189" s="6" t="s">
        <v>317</v>
      </c>
      <c r="B189" s="6" t="s">
        <v>69</v>
      </c>
      <c r="C189" s="6" t="s">
        <v>90</v>
      </c>
      <c r="D189" s="6" t="s">
        <v>119</v>
      </c>
      <c r="E189" s="6" t="s">
        <v>120</v>
      </c>
      <c r="F189" s="7">
        <v>52</v>
      </c>
      <c r="G189" s="7">
        <v>6500</v>
      </c>
      <c r="H189" s="16">
        <v>45207</v>
      </c>
      <c r="I189" s="6">
        <v>41</v>
      </c>
      <c r="J189" s="6" t="s">
        <v>121</v>
      </c>
      <c r="K189" s="6" t="s">
        <v>122</v>
      </c>
      <c r="L189" s="11">
        <f>F189*Controls!$B$6</f>
        <v>52</v>
      </c>
      <c r="M189" s="11">
        <f>G189*Controls!$B$6</f>
        <v>6500</v>
      </c>
      <c r="N189" s="12">
        <f>IF(L189=0,0,SUMIFS('PSI Plan'!$N$6:$N$173,'PSI Plan'!$B$6:$B$173,B189,'PSI Plan'!$C$6:$C$173,I189))</f>
        <v>0</v>
      </c>
      <c r="O189" s="11">
        <f t="shared" si="4"/>
        <v>0</v>
      </c>
      <c r="P189" s="11">
        <f t="shared" si="5"/>
        <v>0</v>
      </c>
      <c r="Q189" s="6"/>
      <c r="R189" s="6"/>
      <c r="S189" s="6"/>
      <c r="T189" s="6"/>
    </row>
    <row r="190" spans="1:20">
      <c r="A190" s="6" t="s">
        <v>318</v>
      </c>
      <c r="B190" s="6" t="s">
        <v>66</v>
      </c>
      <c r="C190" s="6" t="s">
        <v>90</v>
      </c>
      <c r="D190" s="6" t="s">
        <v>319</v>
      </c>
      <c r="E190" s="6" t="s">
        <v>120</v>
      </c>
      <c r="F190" s="7">
        <v>29</v>
      </c>
      <c r="G190" s="7">
        <v>3625</v>
      </c>
      <c r="H190" s="16">
        <v>45257</v>
      </c>
      <c r="I190" s="6">
        <v>48</v>
      </c>
      <c r="J190" s="6" t="s">
        <v>121</v>
      </c>
      <c r="K190" s="6" t="s">
        <v>320</v>
      </c>
      <c r="L190" s="11">
        <f>F190*Controls!$B$6</f>
        <v>29</v>
      </c>
      <c r="M190" s="11">
        <f>G190*Controls!$B$6</f>
        <v>3625</v>
      </c>
      <c r="N190" s="12">
        <f>IF(L190=0,0,SUMIFS('PSI Plan'!$N$6:$N$173,'PSI Plan'!$B$6:$B$173,B190,'PSI Plan'!$C$6:$C$173,I190))</f>
        <v>0</v>
      </c>
      <c r="O190" s="11">
        <f t="shared" si="4"/>
        <v>0</v>
      </c>
      <c r="P190" s="11">
        <f t="shared" si="5"/>
        <v>0</v>
      </c>
      <c r="Q190" s="6"/>
      <c r="R190" s="6"/>
      <c r="S190" s="6"/>
      <c r="T190" s="6"/>
    </row>
    <row r="191" spans="1:20">
      <c r="A191" s="6" t="s">
        <v>321</v>
      </c>
      <c r="B191" s="6" t="s">
        <v>77</v>
      </c>
      <c r="C191" s="6" t="s">
        <v>90</v>
      </c>
      <c r="D191" s="6" t="s">
        <v>319</v>
      </c>
      <c r="E191" s="6" t="s">
        <v>120</v>
      </c>
      <c r="F191" s="7">
        <v>33</v>
      </c>
      <c r="G191" s="7">
        <v>4125</v>
      </c>
      <c r="H191" s="16">
        <v>45269</v>
      </c>
      <c r="I191" s="6">
        <v>49</v>
      </c>
      <c r="J191" s="6" t="s">
        <v>121</v>
      </c>
      <c r="K191" s="6" t="s">
        <v>320</v>
      </c>
      <c r="L191" s="11">
        <f>F191*Controls!$B$6</f>
        <v>33</v>
      </c>
      <c r="M191" s="11">
        <f>G191*Controls!$B$6</f>
        <v>4125</v>
      </c>
      <c r="N191" s="12">
        <f>IF(L191=0,0,SUMIFS('PSI Plan'!$N$6:$N$173,'PSI Plan'!$B$6:$B$173,B191,'PSI Plan'!$C$6:$C$173,I191))</f>
        <v>0</v>
      </c>
      <c r="O191" s="11">
        <f t="shared" si="4"/>
        <v>0</v>
      </c>
      <c r="P191" s="11">
        <f t="shared" si="5"/>
        <v>0</v>
      </c>
      <c r="Q191" s="6"/>
      <c r="R191" s="6"/>
      <c r="S191" s="6"/>
      <c r="T191" s="6"/>
    </row>
    <row r="192" spans="1:20">
      <c r="A192" s="6" t="s">
        <v>322</v>
      </c>
      <c r="B192" s="6" t="s">
        <v>69</v>
      </c>
      <c r="C192" s="6" t="s">
        <v>90</v>
      </c>
      <c r="D192" s="6" t="s">
        <v>319</v>
      </c>
      <c r="E192" s="6" t="s">
        <v>120</v>
      </c>
      <c r="F192" s="7">
        <v>52</v>
      </c>
      <c r="G192" s="7">
        <v>6500</v>
      </c>
      <c r="H192" s="16">
        <v>45260</v>
      </c>
      <c r="I192" s="6">
        <v>48</v>
      </c>
      <c r="J192" s="6" t="s">
        <v>121</v>
      </c>
      <c r="K192" s="6" t="s">
        <v>320</v>
      </c>
      <c r="L192" s="11">
        <f>F192*Controls!$B$6</f>
        <v>52</v>
      </c>
      <c r="M192" s="11">
        <f>G192*Controls!$B$6</f>
        <v>6500</v>
      </c>
      <c r="N192" s="12">
        <f>IF(L192=0,0,SUMIFS('PSI Plan'!$N$6:$N$173,'PSI Plan'!$B$6:$B$173,B192,'PSI Plan'!$C$6:$C$173,I192))</f>
        <v>0</v>
      </c>
      <c r="O192" s="11">
        <f t="shared" si="4"/>
        <v>0</v>
      </c>
      <c r="P192" s="11">
        <f t="shared" si="5"/>
        <v>0</v>
      </c>
      <c r="Q192" s="6"/>
      <c r="R192" s="6"/>
      <c r="S192" s="6"/>
      <c r="T192" s="6"/>
    </row>
    <row r="193" spans="1:20">
      <c r="A193" s="6" t="s">
        <v>323</v>
      </c>
      <c r="B193" s="6" t="s">
        <v>66</v>
      </c>
      <c r="C193" s="6" t="s">
        <v>90</v>
      </c>
      <c r="D193" s="6" t="s">
        <v>319</v>
      </c>
      <c r="E193" s="6" t="s">
        <v>120</v>
      </c>
      <c r="F193" s="7">
        <v>58</v>
      </c>
      <c r="G193" s="7">
        <v>7250</v>
      </c>
      <c r="H193" s="16">
        <v>45214</v>
      </c>
      <c r="I193" s="6">
        <v>42</v>
      </c>
      <c r="J193" s="6" t="s">
        <v>121</v>
      </c>
      <c r="K193" s="6" t="s">
        <v>324</v>
      </c>
      <c r="L193" s="11">
        <f>F193*Controls!$B$6</f>
        <v>58</v>
      </c>
      <c r="M193" s="11">
        <f>G193*Controls!$B$6</f>
        <v>7250</v>
      </c>
      <c r="N193" s="12">
        <f>IF(L193=0,0,SUMIFS('PSI Plan'!$N$6:$N$173,'PSI Plan'!$B$6:$B$173,B193,'PSI Plan'!$C$6:$C$173,I193))</f>
        <v>0.59807073954983925</v>
      </c>
      <c r="O193" s="11">
        <f t="shared" si="4"/>
        <v>34.688102893890679</v>
      </c>
      <c r="P193" s="11">
        <f t="shared" si="5"/>
        <v>4336.0128617363343</v>
      </c>
      <c r="Q193" s="6"/>
      <c r="R193" s="6"/>
      <c r="S193" s="6"/>
      <c r="T193" s="6"/>
    </row>
    <row r="194" spans="1:20">
      <c r="A194" s="6" t="s">
        <v>325</v>
      </c>
      <c r="B194" s="6" t="s">
        <v>77</v>
      </c>
      <c r="C194" s="6" t="s">
        <v>90</v>
      </c>
      <c r="D194" s="6" t="s">
        <v>319</v>
      </c>
      <c r="E194" s="6" t="s">
        <v>120</v>
      </c>
      <c r="F194" s="7">
        <v>37</v>
      </c>
      <c r="G194" s="7">
        <v>4625</v>
      </c>
      <c r="H194" s="16">
        <v>45229</v>
      </c>
      <c r="I194" s="6">
        <v>44</v>
      </c>
      <c r="J194" s="6" t="s">
        <v>121</v>
      </c>
      <c r="K194" s="6" t="s">
        <v>324</v>
      </c>
      <c r="L194" s="11">
        <f>F194*Controls!$B$6</f>
        <v>37</v>
      </c>
      <c r="M194" s="11">
        <f>G194*Controls!$B$6</f>
        <v>4625</v>
      </c>
      <c r="N194" s="12">
        <f>IF(L194=0,0,SUMIFS('PSI Plan'!$N$6:$N$173,'PSI Plan'!$B$6:$B$173,B194,'PSI Plan'!$C$6:$C$173,I194))</f>
        <v>0</v>
      </c>
      <c r="O194" s="11">
        <f t="shared" ref="O194:O257" si="6">L194*N194</f>
        <v>0</v>
      </c>
      <c r="P194" s="11">
        <f t="shared" ref="P194:P257" si="7">M194*N194</f>
        <v>0</v>
      </c>
      <c r="Q194" s="6"/>
      <c r="R194" s="6"/>
      <c r="S194" s="6"/>
      <c r="T194" s="6"/>
    </row>
    <row r="195" spans="1:20">
      <c r="A195" s="6" t="s">
        <v>326</v>
      </c>
      <c r="B195" s="6" t="s">
        <v>69</v>
      </c>
      <c r="C195" s="6" t="s">
        <v>90</v>
      </c>
      <c r="D195" s="6" t="s">
        <v>319</v>
      </c>
      <c r="E195" s="6" t="s">
        <v>120</v>
      </c>
      <c r="F195" s="7">
        <v>52</v>
      </c>
      <c r="G195" s="7">
        <v>6500</v>
      </c>
      <c r="H195" s="16">
        <v>45263</v>
      </c>
      <c r="I195" s="6">
        <v>49</v>
      </c>
      <c r="J195" s="6" t="s">
        <v>121</v>
      </c>
      <c r="K195" s="6" t="s">
        <v>324</v>
      </c>
      <c r="L195" s="11">
        <f>F195*Controls!$B$6</f>
        <v>52</v>
      </c>
      <c r="M195" s="11">
        <f>G195*Controls!$B$6</f>
        <v>6500</v>
      </c>
      <c r="N195" s="12">
        <f>IF(L195=0,0,SUMIFS('PSI Plan'!$N$6:$N$173,'PSI Plan'!$B$6:$B$173,B195,'PSI Plan'!$C$6:$C$173,I195))</f>
        <v>0</v>
      </c>
      <c r="O195" s="11">
        <f t="shared" si="6"/>
        <v>0</v>
      </c>
      <c r="P195" s="11">
        <f t="shared" si="7"/>
        <v>0</v>
      </c>
      <c r="Q195" s="6"/>
      <c r="R195" s="6"/>
      <c r="S195" s="6"/>
      <c r="T195" s="6"/>
    </row>
    <row r="196" spans="1:20">
      <c r="A196" s="6" t="s">
        <v>327</v>
      </c>
      <c r="B196" s="6" t="s">
        <v>69</v>
      </c>
      <c r="C196" s="6" t="s">
        <v>90</v>
      </c>
      <c r="D196" s="6" t="s">
        <v>119</v>
      </c>
      <c r="E196" s="6" t="s">
        <v>120</v>
      </c>
      <c r="F196" s="7">
        <v>5</v>
      </c>
      <c r="G196" s="7">
        <v>625</v>
      </c>
      <c r="H196" s="16">
        <v>45226</v>
      </c>
      <c r="I196" s="6">
        <v>43</v>
      </c>
      <c r="J196" s="6" t="s">
        <v>121</v>
      </c>
      <c r="K196" s="6" t="s">
        <v>135</v>
      </c>
      <c r="L196" s="11">
        <f>F196*Controls!$B$6</f>
        <v>5</v>
      </c>
      <c r="M196" s="11">
        <f>G196*Controls!$B$6</f>
        <v>625</v>
      </c>
      <c r="N196" s="12">
        <f>IF(L196=0,0,SUMIFS('PSI Plan'!$N$6:$N$173,'PSI Plan'!$B$6:$B$173,B196,'PSI Plan'!$C$6:$C$173,I196))</f>
        <v>0</v>
      </c>
      <c r="O196" s="11">
        <f t="shared" si="6"/>
        <v>0</v>
      </c>
      <c r="P196" s="11">
        <f t="shared" si="7"/>
        <v>0</v>
      </c>
      <c r="Q196" s="6"/>
      <c r="R196" s="6"/>
      <c r="S196" s="6"/>
      <c r="T196" s="6"/>
    </row>
    <row r="197" spans="1:20">
      <c r="A197" s="6" t="s">
        <v>328</v>
      </c>
      <c r="B197" s="6" t="s">
        <v>66</v>
      </c>
      <c r="C197" s="6" t="s">
        <v>90</v>
      </c>
      <c r="D197" s="6" t="s">
        <v>119</v>
      </c>
      <c r="E197" s="6" t="s">
        <v>120</v>
      </c>
      <c r="F197" s="7">
        <v>16</v>
      </c>
      <c r="G197" s="7">
        <v>2000</v>
      </c>
      <c r="H197" s="16">
        <v>45264</v>
      </c>
      <c r="I197" s="6">
        <v>49</v>
      </c>
      <c r="J197" s="6" t="s">
        <v>121</v>
      </c>
      <c r="K197" s="6" t="s">
        <v>320</v>
      </c>
      <c r="L197" s="11">
        <f>F197*Controls!$B$6</f>
        <v>16</v>
      </c>
      <c r="M197" s="11">
        <f>G197*Controls!$B$6</f>
        <v>2000</v>
      </c>
      <c r="N197" s="12">
        <f>IF(L197=0,0,SUMIFS('PSI Plan'!$N$6:$N$173,'PSI Plan'!$B$6:$B$173,B197,'PSI Plan'!$C$6:$C$173,I197))</f>
        <v>0</v>
      </c>
      <c r="O197" s="11">
        <f t="shared" si="6"/>
        <v>0</v>
      </c>
      <c r="P197" s="11">
        <f t="shared" si="7"/>
        <v>0</v>
      </c>
      <c r="Q197" s="6"/>
      <c r="R197" s="6"/>
      <c r="S197" s="6"/>
      <c r="T197" s="6"/>
    </row>
    <row r="198" spans="1:20">
      <c r="A198" s="6" t="s">
        <v>329</v>
      </c>
      <c r="B198" s="6" t="s">
        <v>77</v>
      </c>
      <c r="C198" s="6" t="s">
        <v>90</v>
      </c>
      <c r="D198" s="6" t="s">
        <v>119</v>
      </c>
      <c r="E198" s="6" t="s">
        <v>120</v>
      </c>
      <c r="F198" s="7">
        <v>23</v>
      </c>
      <c r="G198" s="7">
        <v>2875</v>
      </c>
      <c r="H198" s="16">
        <v>45245</v>
      </c>
      <c r="I198" s="6">
        <v>46</v>
      </c>
      <c r="J198" s="6" t="s">
        <v>121</v>
      </c>
      <c r="K198" s="6" t="s">
        <v>320</v>
      </c>
      <c r="L198" s="11">
        <f>F198*Controls!$B$6</f>
        <v>23</v>
      </c>
      <c r="M198" s="11">
        <f>G198*Controls!$B$6</f>
        <v>2875</v>
      </c>
      <c r="N198" s="12">
        <f>IF(L198=0,0,SUMIFS('PSI Plan'!$N$6:$N$173,'PSI Plan'!$B$6:$B$173,B198,'PSI Plan'!$C$6:$C$173,I198))</f>
        <v>0</v>
      </c>
      <c r="O198" s="11">
        <f t="shared" si="6"/>
        <v>0</v>
      </c>
      <c r="P198" s="11">
        <f t="shared" si="7"/>
        <v>0</v>
      </c>
      <c r="Q198" s="6"/>
      <c r="R198" s="6"/>
      <c r="S198" s="6"/>
      <c r="T198" s="6"/>
    </row>
    <row r="199" spans="1:20">
      <c r="A199" s="6" t="s">
        <v>330</v>
      </c>
      <c r="B199" s="6" t="s">
        <v>69</v>
      </c>
      <c r="C199" s="6" t="s">
        <v>90</v>
      </c>
      <c r="D199" s="6" t="s">
        <v>119</v>
      </c>
      <c r="E199" s="6" t="s">
        <v>120</v>
      </c>
      <c r="F199" s="7">
        <v>20</v>
      </c>
      <c r="G199" s="7">
        <v>2500</v>
      </c>
      <c r="H199" s="16">
        <v>45290</v>
      </c>
      <c r="I199" s="6">
        <v>52</v>
      </c>
      <c r="J199" s="6" t="s">
        <v>121</v>
      </c>
      <c r="K199" s="6" t="s">
        <v>320</v>
      </c>
      <c r="L199" s="11">
        <f>F199*Controls!$B$6</f>
        <v>20</v>
      </c>
      <c r="M199" s="11">
        <f>G199*Controls!$B$6</f>
        <v>2500</v>
      </c>
      <c r="N199" s="12">
        <f>IF(L199=0,0,SUMIFS('PSI Plan'!$N$6:$N$173,'PSI Plan'!$B$6:$B$173,B199,'PSI Plan'!$C$6:$C$173,I199))</f>
        <v>0</v>
      </c>
      <c r="O199" s="11">
        <f t="shared" si="6"/>
        <v>0</v>
      </c>
      <c r="P199" s="11">
        <f t="shared" si="7"/>
        <v>0</v>
      </c>
      <c r="Q199" s="6"/>
      <c r="R199" s="6"/>
      <c r="S199" s="6"/>
      <c r="T199" s="6"/>
    </row>
    <row r="200" spans="1:20">
      <c r="A200" s="6" t="s">
        <v>331</v>
      </c>
      <c r="B200" s="6" t="s">
        <v>66</v>
      </c>
      <c r="C200" s="6" t="s">
        <v>90</v>
      </c>
      <c r="D200" s="6" t="s">
        <v>119</v>
      </c>
      <c r="E200" s="6" t="s">
        <v>120</v>
      </c>
      <c r="F200" s="7">
        <v>35</v>
      </c>
      <c r="G200" s="7">
        <v>4375</v>
      </c>
      <c r="H200" s="16">
        <v>45287</v>
      </c>
      <c r="I200" s="6">
        <v>52</v>
      </c>
      <c r="J200" s="6" t="s">
        <v>121</v>
      </c>
      <c r="K200" s="6" t="s">
        <v>135</v>
      </c>
      <c r="L200" s="11">
        <f>F200*Controls!$B$6</f>
        <v>35</v>
      </c>
      <c r="M200" s="11">
        <f>G200*Controls!$B$6</f>
        <v>4375</v>
      </c>
      <c r="N200" s="12">
        <f>IF(L200=0,0,SUMIFS('PSI Plan'!$N$6:$N$173,'PSI Plan'!$B$6:$B$173,B200,'PSI Plan'!$C$6:$C$173,I200))</f>
        <v>0</v>
      </c>
      <c r="O200" s="11">
        <f t="shared" si="6"/>
        <v>0</v>
      </c>
      <c r="P200" s="11">
        <f t="shared" si="7"/>
        <v>0</v>
      </c>
      <c r="Q200" s="6"/>
      <c r="R200" s="6"/>
      <c r="S200" s="6"/>
      <c r="T200" s="6"/>
    </row>
    <row r="201" spans="1:20">
      <c r="A201" s="6" t="s">
        <v>332</v>
      </c>
      <c r="B201" s="6" t="s">
        <v>69</v>
      </c>
      <c r="C201" s="6" t="s">
        <v>90</v>
      </c>
      <c r="D201" s="6" t="s">
        <v>119</v>
      </c>
      <c r="E201" s="6" t="s">
        <v>120</v>
      </c>
      <c r="F201" s="7">
        <v>13</v>
      </c>
      <c r="G201" s="7">
        <v>1625</v>
      </c>
      <c r="H201" s="16">
        <v>45256</v>
      </c>
      <c r="I201" s="6">
        <v>48</v>
      </c>
      <c r="J201" s="6" t="s">
        <v>121</v>
      </c>
      <c r="K201" s="6" t="s">
        <v>135</v>
      </c>
      <c r="L201" s="11">
        <f>F201*Controls!$B$6</f>
        <v>13</v>
      </c>
      <c r="M201" s="11">
        <f>G201*Controls!$B$6</f>
        <v>1625</v>
      </c>
      <c r="N201" s="12">
        <f>IF(L201=0,0,SUMIFS('PSI Plan'!$N$6:$N$173,'PSI Plan'!$B$6:$B$173,B201,'PSI Plan'!$C$6:$C$173,I201))</f>
        <v>0</v>
      </c>
      <c r="O201" s="11">
        <f t="shared" si="6"/>
        <v>0</v>
      </c>
      <c r="P201" s="11">
        <f t="shared" si="7"/>
        <v>0</v>
      </c>
      <c r="Q201" s="6"/>
      <c r="R201" s="6"/>
      <c r="S201" s="6"/>
      <c r="T201" s="6"/>
    </row>
    <row r="202" spans="1:20">
      <c r="A202" s="6" t="s">
        <v>333</v>
      </c>
      <c r="B202" s="6" t="s">
        <v>69</v>
      </c>
      <c r="C202" s="6" t="s">
        <v>90</v>
      </c>
      <c r="D202" s="6" t="s">
        <v>119</v>
      </c>
      <c r="E202" s="6" t="s">
        <v>120</v>
      </c>
      <c r="F202" s="7">
        <v>52</v>
      </c>
      <c r="G202" s="7">
        <v>6500</v>
      </c>
      <c r="H202" s="16">
        <v>45214</v>
      </c>
      <c r="I202" s="6">
        <v>42</v>
      </c>
      <c r="J202" s="6" t="s">
        <v>121</v>
      </c>
      <c r="K202" s="6" t="s">
        <v>298</v>
      </c>
      <c r="L202" s="11">
        <f>F202*Controls!$B$6</f>
        <v>52</v>
      </c>
      <c r="M202" s="11">
        <f>G202*Controls!$B$6</f>
        <v>6500</v>
      </c>
      <c r="N202" s="12">
        <f>IF(L202=0,0,SUMIFS('PSI Plan'!$N$6:$N$173,'PSI Plan'!$B$6:$B$173,B202,'PSI Plan'!$C$6:$C$173,I202))</f>
        <v>0</v>
      </c>
      <c r="O202" s="11">
        <f t="shared" si="6"/>
        <v>0</v>
      </c>
      <c r="P202" s="11">
        <f t="shared" si="7"/>
        <v>0</v>
      </c>
      <c r="Q202" s="6"/>
      <c r="R202" s="6"/>
      <c r="S202" s="6"/>
      <c r="T202" s="6"/>
    </row>
    <row r="203" spans="1:20">
      <c r="A203" s="6" t="s">
        <v>334</v>
      </c>
      <c r="B203" s="6" t="s">
        <v>69</v>
      </c>
      <c r="C203" s="6" t="s">
        <v>90</v>
      </c>
      <c r="D203" s="6" t="s">
        <v>119</v>
      </c>
      <c r="E203" s="6" t="s">
        <v>120</v>
      </c>
      <c r="F203" s="7">
        <v>52</v>
      </c>
      <c r="G203" s="7">
        <v>6500</v>
      </c>
      <c r="H203" s="16">
        <v>45287</v>
      </c>
      <c r="I203" s="6">
        <v>52</v>
      </c>
      <c r="J203" s="6" t="s">
        <v>121</v>
      </c>
      <c r="K203" s="6" t="s">
        <v>122</v>
      </c>
      <c r="L203" s="11">
        <f>F203*Controls!$B$6</f>
        <v>52</v>
      </c>
      <c r="M203" s="11">
        <f>G203*Controls!$B$6</f>
        <v>6500</v>
      </c>
      <c r="N203" s="12">
        <f>IF(L203=0,0,SUMIFS('PSI Plan'!$N$6:$N$173,'PSI Plan'!$B$6:$B$173,B203,'PSI Plan'!$C$6:$C$173,I203))</f>
        <v>0</v>
      </c>
      <c r="O203" s="11">
        <f t="shared" si="6"/>
        <v>0</v>
      </c>
      <c r="P203" s="11">
        <f t="shared" si="7"/>
        <v>0</v>
      </c>
      <c r="Q203" s="6"/>
      <c r="R203" s="6"/>
      <c r="S203" s="6"/>
      <c r="T203" s="6"/>
    </row>
    <row r="204" spans="1:20">
      <c r="A204" s="6" t="s">
        <v>335</v>
      </c>
      <c r="B204" s="6" t="s">
        <v>77</v>
      </c>
      <c r="C204" s="6" t="s">
        <v>90</v>
      </c>
      <c r="D204" s="6" t="s">
        <v>119</v>
      </c>
      <c r="E204" s="6" t="s">
        <v>120</v>
      </c>
      <c r="F204" s="7">
        <v>52</v>
      </c>
      <c r="G204" s="7">
        <v>6500</v>
      </c>
      <c r="H204" s="16">
        <v>45237</v>
      </c>
      <c r="I204" s="6">
        <v>45</v>
      </c>
      <c r="J204" s="6" t="s">
        <v>121</v>
      </c>
      <c r="K204" s="6" t="s">
        <v>122</v>
      </c>
      <c r="L204" s="11">
        <f>F204*Controls!$B$6</f>
        <v>52</v>
      </c>
      <c r="M204" s="11">
        <f>G204*Controls!$B$6</f>
        <v>6500</v>
      </c>
      <c r="N204" s="12">
        <f>IF(L204=0,0,SUMIFS('PSI Plan'!$N$6:$N$173,'PSI Plan'!$B$6:$B$173,B204,'PSI Plan'!$C$6:$C$173,I204))</f>
        <v>0</v>
      </c>
      <c r="O204" s="11">
        <f t="shared" si="6"/>
        <v>0</v>
      </c>
      <c r="P204" s="11">
        <f t="shared" si="7"/>
        <v>0</v>
      </c>
      <c r="Q204" s="6"/>
      <c r="R204" s="6"/>
      <c r="S204" s="6"/>
      <c r="T204" s="6"/>
    </row>
    <row r="205" spans="1:20">
      <c r="A205" s="6" t="s">
        <v>336</v>
      </c>
      <c r="B205" s="6" t="s">
        <v>69</v>
      </c>
      <c r="C205" s="6" t="s">
        <v>90</v>
      </c>
      <c r="D205" s="6" t="s">
        <v>119</v>
      </c>
      <c r="E205" s="6" t="s">
        <v>120</v>
      </c>
      <c r="F205" s="7">
        <v>7</v>
      </c>
      <c r="G205" s="7">
        <v>875</v>
      </c>
      <c r="H205" s="16">
        <v>45266</v>
      </c>
      <c r="I205" s="6">
        <v>49</v>
      </c>
      <c r="J205" s="6" t="s">
        <v>121</v>
      </c>
      <c r="K205" s="6" t="s">
        <v>139</v>
      </c>
      <c r="L205" s="11">
        <f>F205*Controls!$B$6</f>
        <v>7</v>
      </c>
      <c r="M205" s="11">
        <f>G205*Controls!$B$6</f>
        <v>875</v>
      </c>
      <c r="N205" s="12">
        <f>IF(L205=0,0,SUMIFS('PSI Plan'!$N$6:$N$173,'PSI Plan'!$B$6:$B$173,B205,'PSI Plan'!$C$6:$C$173,I205))</f>
        <v>0</v>
      </c>
      <c r="O205" s="11">
        <f t="shared" si="6"/>
        <v>0</v>
      </c>
      <c r="P205" s="11">
        <f t="shared" si="7"/>
        <v>0</v>
      </c>
      <c r="Q205" s="6"/>
      <c r="R205" s="6"/>
      <c r="S205" s="6"/>
      <c r="T205" s="6"/>
    </row>
    <row r="206" spans="1:20">
      <c r="A206" s="6" t="s">
        <v>337</v>
      </c>
      <c r="B206" s="6" t="s">
        <v>77</v>
      </c>
      <c r="C206" s="6" t="s">
        <v>90</v>
      </c>
      <c r="D206" s="6" t="s">
        <v>119</v>
      </c>
      <c r="E206" s="6" t="s">
        <v>120</v>
      </c>
      <c r="F206" s="7">
        <v>2</v>
      </c>
      <c r="G206" s="7">
        <v>250</v>
      </c>
      <c r="H206" s="16">
        <v>45247</v>
      </c>
      <c r="I206" s="6">
        <v>46</v>
      </c>
      <c r="J206" s="6" t="s">
        <v>121</v>
      </c>
      <c r="K206" s="6" t="s">
        <v>139</v>
      </c>
      <c r="L206" s="11">
        <f>F206*Controls!$B$6</f>
        <v>2</v>
      </c>
      <c r="M206" s="11">
        <f>G206*Controls!$B$6</f>
        <v>250</v>
      </c>
      <c r="N206" s="12">
        <f>IF(L206=0,0,SUMIFS('PSI Plan'!$N$6:$N$173,'PSI Plan'!$B$6:$B$173,B206,'PSI Plan'!$C$6:$C$173,I206))</f>
        <v>0</v>
      </c>
      <c r="O206" s="11">
        <f t="shared" si="6"/>
        <v>0</v>
      </c>
      <c r="P206" s="11">
        <f t="shared" si="7"/>
        <v>0</v>
      </c>
      <c r="Q206" s="6"/>
      <c r="R206" s="6"/>
      <c r="S206" s="6"/>
      <c r="T206" s="6"/>
    </row>
    <row r="207" spans="1:20">
      <c r="A207" s="6" t="s">
        <v>338</v>
      </c>
      <c r="B207" s="6" t="s">
        <v>66</v>
      </c>
      <c r="C207" s="6" t="s">
        <v>90</v>
      </c>
      <c r="D207" s="6" t="s">
        <v>119</v>
      </c>
      <c r="E207" s="6" t="s">
        <v>120</v>
      </c>
      <c r="F207" s="7">
        <v>5</v>
      </c>
      <c r="G207" s="7">
        <v>625</v>
      </c>
      <c r="H207" s="16">
        <v>45275</v>
      </c>
      <c r="I207" s="6">
        <v>50</v>
      </c>
      <c r="J207" s="6" t="s">
        <v>121</v>
      </c>
      <c r="K207" s="6" t="s">
        <v>139</v>
      </c>
      <c r="L207" s="11">
        <f>F207*Controls!$B$6</f>
        <v>5</v>
      </c>
      <c r="M207" s="11">
        <f>G207*Controls!$B$6</f>
        <v>625</v>
      </c>
      <c r="N207" s="12">
        <f>IF(L207=0,0,SUMIFS('PSI Plan'!$N$6:$N$173,'PSI Plan'!$B$6:$B$173,B207,'PSI Plan'!$C$6:$C$173,I207))</f>
        <v>0</v>
      </c>
      <c r="O207" s="11">
        <f t="shared" si="6"/>
        <v>0</v>
      </c>
      <c r="P207" s="11">
        <f t="shared" si="7"/>
        <v>0</v>
      </c>
      <c r="Q207" s="6"/>
      <c r="R207" s="6"/>
      <c r="S207" s="6"/>
      <c r="T207" s="6"/>
    </row>
    <row r="208" spans="1:20">
      <c r="A208" s="6" t="s">
        <v>339</v>
      </c>
      <c r="B208" s="6" t="s">
        <v>69</v>
      </c>
      <c r="C208" s="6" t="s">
        <v>90</v>
      </c>
      <c r="D208" s="6" t="s">
        <v>119</v>
      </c>
      <c r="E208" s="6" t="s">
        <v>120</v>
      </c>
      <c r="F208" s="7">
        <v>29</v>
      </c>
      <c r="G208" s="7">
        <v>3625</v>
      </c>
      <c r="H208" s="16">
        <v>45201</v>
      </c>
      <c r="I208" s="6">
        <v>40</v>
      </c>
      <c r="J208" s="6" t="s">
        <v>121</v>
      </c>
      <c r="K208" s="6" t="s">
        <v>171</v>
      </c>
      <c r="L208" s="11">
        <f>F208*Controls!$B$6</f>
        <v>29</v>
      </c>
      <c r="M208" s="11">
        <f>G208*Controls!$B$6</f>
        <v>3625</v>
      </c>
      <c r="N208" s="12">
        <f>IF(L208=0,0,SUMIFS('PSI Plan'!$N$6:$N$173,'PSI Plan'!$B$6:$B$173,B208,'PSI Plan'!$C$6:$C$173,I208))</f>
        <v>0</v>
      </c>
      <c r="O208" s="11">
        <f t="shared" si="6"/>
        <v>0</v>
      </c>
      <c r="P208" s="11">
        <f t="shared" si="7"/>
        <v>0</v>
      </c>
      <c r="Q208" s="6"/>
      <c r="R208" s="6"/>
      <c r="S208" s="6"/>
      <c r="T208" s="6"/>
    </row>
    <row r="209" spans="1:20">
      <c r="A209" s="6" t="s">
        <v>340</v>
      </c>
      <c r="B209" s="6" t="s">
        <v>69</v>
      </c>
      <c r="C209" s="6" t="s">
        <v>90</v>
      </c>
      <c r="D209" s="6" t="s">
        <v>119</v>
      </c>
      <c r="E209" s="6" t="s">
        <v>120</v>
      </c>
      <c r="F209" s="7">
        <v>8</v>
      </c>
      <c r="G209" s="7">
        <v>1000</v>
      </c>
      <c r="H209" s="16">
        <v>45211</v>
      </c>
      <c r="I209" s="6">
        <v>41</v>
      </c>
      <c r="J209" s="6" t="s">
        <v>121</v>
      </c>
      <c r="K209" s="6" t="s">
        <v>132</v>
      </c>
      <c r="L209" s="11">
        <f>F209*Controls!$B$6</f>
        <v>8</v>
      </c>
      <c r="M209" s="11">
        <f>G209*Controls!$B$6</f>
        <v>1000</v>
      </c>
      <c r="N209" s="12">
        <f>IF(L209=0,0,SUMIFS('PSI Plan'!$N$6:$N$173,'PSI Plan'!$B$6:$B$173,B209,'PSI Plan'!$C$6:$C$173,I209))</f>
        <v>0</v>
      </c>
      <c r="O209" s="11">
        <f t="shared" si="6"/>
        <v>0</v>
      </c>
      <c r="P209" s="11">
        <f t="shared" si="7"/>
        <v>0</v>
      </c>
      <c r="Q209" s="6"/>
      <c r="R209" s="6"/>
      <c r="S209" s="6"/>
      <c r="T209" s="6"/>
    </row>
    <row r="210" spans="1:20">
      <c r="A210" s="6" t="s">
        <v>341</v>
      </c>
      <c r="B210" s="6" t="s">
        <v>69</v>
      </c>
      <c r="C210" s="6" t="s">
        <v>90</v>
      </c>
      <c r="D210" s="6" t="s">
        <v>119</v>
      </c>
      <c r="E210" s="6" t="s">
        <v>120</v>
      </c>
      <c r="F210" s="7">
        <v>8</v>
      </c>
      <c r="G210" s="7">
        <v>1000</v>
      </c>
      <c r="H210" s="16">
        <v>45234</v>
      </c>
      <c r="I210" s="6">
        <v>44</v>
      </c>
      <c r="J210" s="6" t="s">
        <v>121</v>
      </c>
      <c r="K210" s="6" t="s">
        <v>132</v>
      </c>
      <c r="L210" s="11">
        <f>F210*Controls!$B$6</f>
        <v>8</v>
      </c>
      <c r="M210" s="11">
        <f>G210*Controls!$B$6</f>
        <v>1000</v>
      </c>
      <c r="N210" s="12">
        <f>IF(L210=0,0,SUMIFS('PSI Plan'!$N$6:$N$173,'PSI Plan'!$B$6:$B$173,B210,'PSI Plan'!$C$6:$C$173,I210))</f>
        <v>0</v>
      </c>
      <c r="O210" s="11">
        <f t="shared" si="6"/>
        <v>0</v>
      </c>
      <c r="P210" s="11">
        <f t="shared" si="7"/>
        <v>0</v>
      </c>
      <c r="Q210" s="6"/>
      <c r="R210" s="6"/>
      <c r="S210" s="6"/>
      <c r="T210" s="6"/>
    </row>
    <row r="211" spans="1:20">
      <c r="A211" s="6" t="s">
        <v>342</v>
      </c>
      <c r="B211" s="6" t="s">
        <v>69</v>
      </c>
      <c r="C211" s="6" t="s">
        <v>90</v>
      </c>
      <c r="D211" s="6" t="s">
        <v>119</v>
      </c>
      <c r="E211" s="6" t="s">
        <v>120</v>
      </c>
      <c r="F211" s="7">
        <v>37</v>
      </c>
      <c r="G211" s="7">
        <v>4625</v>
      </c>
      <c r="H211" s="16">
        <v>45232</v>
      </c>
      <c r="I211" s="6">
        <v>44</v>
      </c>
      <c r="J211" s="6" t="s">
        <v>121</v>
      </c>
      <c r="K211" s="6" t="s">
        <v>171</v>
      </c>
      <c r="L211" s="11">
        <f>F211*Controls!$B$6</f>
        <v>37</v>
      </c>
      <c r="M211" s="11">
        <f>G211*Controls!$B$6</f>
        <v>4625</v>
      </c>
      <c r="N211" s="12">
        <f>IF(L211=0,0,SUMIFS('PSI Plan'!$N$6:$N$173,'PSI Plan'!$B$6:$B$173,B211,'PSI Plan'!$C$6:$C$173,I211))</f>
        <v>0</v>
      </c>
      <c r="O211" s="11">
        <f t="shared" si="6"/>
        <v>0</v>
      </c>
      <c r="P211" s="11">
        <f t="shared" si="7"/>
        <v>0</v>
      </c>
      <c r="Q211" s="6"/>
      <c r="R211" s="6"/>
      <c r="S211" s="6"/>
      <c r="T211" s="6"/>
    </row>
    <row r="212" spans="1:20">
      <c r="A212" s="6" t="s">
        <v>343</v>
      </c>
      <c r="B212" s="6" t="s">
        <v>66</v>
      </c>
      <c r="C212" s="6" t="s">
        <v>90</v>
      </c>
      <c r="D212" s="6" t="s">
        <v>119</v>
      </c>
      <c r="E212" s="6" t="s">
        <v>120</v>
      </c>
      <c r="F212" s="7">
        <v>104</v>
      </c>
      <c r="G212" s="7">
        <v>13000</v>
      </c>
      <c r="H212" s="16">
        <v>45286</v>
      </c>
      <c r="I212" s="6">
        <v>52</v>
      </c>
      <c r="J212" s="6" t="s">
        <v>121</v>
      </c>
      <c r="K212" s="6" t="s">
        <v>344</v>
      </c>
      <c r="L212" s="11">
        <f>F212*Controls!$B$6</f>
        <v>104</v>
      </c>
      <c r="M212" s="11">
        <f>G212*Controls!$B$6</f>
        <v>13000</v>
      </c>
      <c r="N212" s="12">
        <f>IF(L212=0,0,SUMIFS('PSI Plan'!$N$6:$N$173,'PSI Plan'!$B$6:$B$173,B212,'PSI Plan'!$C$6:$C$173,I212))</f>
        <v>0</v>
      </c>
      <c r="O212" s="11">
        <f t="shared" si="6"/>
        <v>0</v>
      </c>
      <c r="P212" s="11">
        <f t="shared" si="7"/>
        <v>0</v>
      </c>
      <c r="Q212" s="6"/>
      <c r="R212" s="6"/>
      <c r="S212" s="6"/>
      <c r="T212" s="6"/>
    </row>
    <row r="213" spans="1:20">
      <c r="A213" s="6" t="s">
        <v>345</v>
      </c>
      <c r="B213" s="6" t="s">
        <v>69</v>
      </c>
      <c r="C213" s="6" t="s">
        <v>90</v>
      </c>
      <c r="D213" s="6" t="s">
        <v>119</v>
      </c>
      <c r="E213" s="6" t="s">
        <v>120</v>
      </c>
      <c r="F213" s="7">
        <v>52</v>
      </c>
      <c r="G213" s="7">
        <v>6500</v>
      </c>
      <c r="H213" s="16">
        <v>45257</v>
      </c>
      <c r="I213" s="6">
        <v>48</v>
      </c>
      <c r="J213" s="6" t="s">
        <v>121</v>
      </c>
      <c r="K213" s="6" t="s">
        <v>344</v>
      </c>
      <c r="L213" s="11">
        <f>F213*Controls!$B$6</f>
        <v>52</v>
      </c>
      <c r="M213" s="11">
        <f>G213*Controls!$B$6</f>
        <v>6500</v>
      </c>
      <c r="N213" s="12">
        <f>IF(L213=0,0,SUMIFS('PSI Plan'!$N$6:$N$173,'PSI Plan'!$B$6:$B$173,B213,'PSI Plan'!$C$6:$C$173,I213))</f>
        <v>0</v>
      </c>
      <c r="O213" s="11">
        <f t="shared" si="6"/>
        <v>0</v>
      </c>
      <c r="P213" s="11">
        <f t="shared" si="7"/>
        <v>0</v>
      </c>
      <c r="Q213" s="6"/>
      <c r="R213" s="6"/>
      <c r="S213" s="6"/>
      <c r="T213" s="6"/>
    </row>
    <row r="214" spans="1:20">
      <c r="A214" s="6" t="s">
        <v>346</v>
      </c>
      <c r="B214" s="6" t="s">
        <v>69</v>
      </c>
      <c r="C214" s="6" t="s">
        <v>90</v>
      </c>
      <c r="D214" s="6" t="s">
        <v>119</v>
      </c>
      <c r="E214" s="6" t="s">
        <v>120</v>
      </c>
      <c r="F214" s="7">
        <v>52</v>
      </c>
      <c r="G214" s="7">
        <v>6500</v>
      </c>
      <c r="H214" s="16">
        <v>45275</v>
      </c>
      <c r="I214" s="6">
        <v>50</v>
      </c>
      <c r="J214" s="6" t="s">
        <v>121</v>
      </c>
      <c r="K214" s="6" t="s">
        <v>347</v>
      </c>
      <c r="L214" s="11">
        <f>F214*Controls!$B$6</f>
        <v>52</v>
      </c>
      <c r="M214" s="11">
        <f>G214*Controls!$B$6</f>
        <v>6500</v>
      </c>
      <c r="N214" s="12">
        <f>IF(L214=0,0,SUMIFS('PSI Plan'!$N$6:$N$173,'PSI Plan'!$B$6:$B$173,B214,'PSI Plan'!$C$6:$C$173,I214))</f>
        <v>0</v>
      </c>
      <c r="O214" s="11">
        <f t="shared" si="6"/>
        <v>0</v>
      </c>
      <c r="P214" s="11">
        <f t="shared" si="7"/>
        <v>0</v>
      </c>
      <c r="Q214" s="6"/>
      <c r="R214" s="6"/>
      <c r="S214" s="6"/>
      <c r="T214" s="6"/>
    </row>
    <row r="215" spans="1:20">
      <c r="A215" s="6" t="s">
        <v>348</v>
      </c>
      <c r="B215" s="6" t="s">
        <v>77</v>
      </c>
      <c r="C215" s="6" t="s">
        <v>90</v>
      </c>
      <c r="D215" s="6" t="s">
        <v>119</v>
      </c>
      <c r="E215" s="6" t="s">
        <v>120</v>
      </c>
      <c r="F215" s="7">
        <v>52</v>
      </c>
      <c r="G215" s="7">
        <v>6500</v>
      </c>
      <c r="H215" s="16">
        <v>45273</v>
      </c>
      <c r="I215" s="6">
        <v>50</v>
      </c>
      <c r="J215" s="6" t="s">
        <v>121</v>
      </c>
      <c r="K215" s="6" t="s">
        <v>347</v>
      </c>
      <c r="L215" s="11">
        <f>F215*Controls!$B$6</f>
        <v>52</v>
      </c>
      <c r="M215" s="11">
        <f>G215*Controls!$B$6</f>
        <v>6500</v>
      </c>
      <c r="N215" s="12">
        <f>IF(L215=0,0,SUMIFS('PSI Plan'!$N$6:$N$173,'PSI Plan'!$B$6:$B$173,B215,'PSI Plan'!$C$6:$C$173,I215))</f>
        <v>0</v>
      </c>
      <c r="O215" s="11">
        <f t="shared" si="6"/>
        <v>0</v>
      </c>
      <c r="P215" s="11">
        <f t="shared" si="7"/>
        <v>0</v>
      </c>
      <c r="Q215" s="6"/>
      <c r="R215" s="6"/>
      <c r="S215" s="6"/>
      <c r="T215" s="6"/>
    </row>
    <row r="216" spans="1:20">
      <c r="A216" s="6" t="s">
        <v>349</v>
      </c>
      <c r="B216" s="6" t="s">
        <v>66</v>
      </c>
      <c r="C216" s="6" t="s">
        <v>90</v>
      </c>
      <c r="D216" s="6" t="s">
        <v>119</v>
      </c>
      <c r="E216" s="6" t="s">
        <v>120</v>
      </c>
      <c r="F216" s="7">
        <v>104</v>
      </c>
      <c r="G216" s="7">
        <v>13000</v>
      </c>
      <c r="H216" s="16">
        <v>45234</v>
      </c>
      <c r="I216" s="6">
        <v>44</v>
      </c>
      <c r="J216" s="6" t="s">
        <v>121</v>
      </c>
      <c r="K216" s="6" t="s">
        <v>347</v>
      </c>
      <c r="L216" s="11">
        <f>F216*Controls!$B$6</f>
        <v>104</v>
      </c>
      <c r="M216" s="11">
        <f>G216*Controls!$B$6</f>
        <v>13000</v>
      </c>
      <c r="N216" s="12">
        <f>IF(L216=0,0,SUMIFS('PSI Plan'!$N$6:$N$173,'PSI Plan'!$B$6:$B$173,B216,'PSI Plan'!$C$6:$C$173,I216))</f>
        <v>0</v>
      </c>
      <c r="O216" s="11">
        <f t="shared" si="6"/>
        <v>0</v>
      </c>
      <c r="P216" s="11">
        <f t="shared" si="7"/>
        <v>0</v>
      </c>
      <c r="Q216" s="6"/>
      <c r="R216" s="6"/>
      <c r="S216" s="6"/>
      <c r="T216" s="6"/>
    </row>
    <row r="217" spans="1:20">
      <c r="A217" s="6" t="s">
        <v>350</v>
      </c>
      <c r="B217" s="6" t="s">
        <v>69</v>
      </c>
      <c r="C217" s="6" t="s">
        <v>90</v>
      </c>
      <c r="D217" s="6" t="s">
        <v>119</v>
      </c>
      <c r="E217" s="6" t="s">
        <v>120</v>
      </c>
      <c r="F217" s="7">
        <v>104</v>
      </c>
      <c r="G217" s="7">
        <v>13000</v>
      </c>
      <c r="H217" s="16">
        <v>45273</v>
      </c>
      <c r="I217" s="6">
        <v>50</v>
      </c>
      <c r="J217" s="6" t="s">
        <v>121</v>
      </c>
      <c r="K217" s="6" t="s">
        <v>122</v>
      </c>
      <c r="L217" s="11">
        <f>F217*Controls!$B$6</f>
        <v>104</v>
      </c>
      <c r="M217" s="11">
        <f>G217*Controls!$B$6</f>
        <v>13000</v>
      </c>
      <c r="N217" s="12">
        <f>IF(L217=0,0,SUMIFS('PSI Plan'!$N$6:$N$173,'PSI Plan'!$B$6:$B$173,B217,'PSI Plan'!$C$6:$C$173,I217))</f>
        <v>0</v>
      </c>
      <c r="O217" s="11">
        <f t="shared" si="6"/>
        <v>0</v>
      </c>
      <c r="P217" s="11">
        <f t="shared" si="7"/>
        <v>0</v>
      </c>
      <c r="Q217" s="6"/>
      <c r="R217" s="6"/>
      <c r="S217" s="6"/>
      <c r="T217" s="6"/>
    </row>
    <row r="218" spans="1:20">
      <c r="A218" s="6" t="s">
        <v>351</v>
      </c>
      <c r="B218" s="6" t="s">
        <v>77</v>
      </c>
      <c r="C218" s="6" t="s">
        <v>90</v>
      </c>
      <c r="D218" s="6" t="s">
        <v>119</v>
      </c>
      <c r="E218" s="6" t="s">
        <v>120</v>
      </c>
      <c r="F218" s="7">
        <v>52</v>
      </c>
      <c r="G218" s="7">
        <v>6500</v>
      </c>
      <c r="H218" s="16">
        <v>45266</v>
      </c>
      <c r="I218" s="6">
        <v>49</v>
      </c>
      <c r="J218" s="6" t="s">
        <v>121</v>
      </c>
      <c r="K218" s="6" t="s">
        <v>122</v>
      </c>
      <c r="L218" s="11">
        <f>F218*Controls!$B$6</f>
        <v>52</v>
      </c>
      <c r="M218" s="11">
        <f>G218*Controls!$B$6</f>
        <v>6500</v>
      </c>
      <c r="N218" s="12">
        <f>IF(L218=0,0,SUMIFS('PSI Plan'!$N$6:$N$173,'PSI Plan'!$B$6:$B$173,B218,'PSI Plan'!$C$6:$C$173,I218))</f>
        <v>0</v>
      </c>
      <c r="O218" s="11">
        <f t="shared" si="6"/>
        <v>0</v>
      </c>
      <c r="P218" s="11">
        <f t="shared" si="7"/>
        <v>0</v>
      </c>
      <c r="Q218" s="6"/>
      <c r="R218" s="6"/>
      <c r="S218" s="6"/>
      <c r="T218" s="6"/>
    </row>
    <row r="219" spans="1:20">
      <c r="A219" s="6" t="s">
        <v>352</v>
      </c>
      <c r="B219" s="6" t="s">
        <v>66</v>
      </c>
      <c r="C219" s="6" t="s">
        <v>90</v>
      </c>
      <c r="D219" s="6" t="s">
        <v>119</v>
      </c>
      <c r="E219" s="6" t="s">
        <v>120</v>
      </c>
      <c r="F219" s="7">
        <v>30</v>
      </c>
      <c r="G219" s="7">
        <v>3750</v>
      </c>
      <c r="H219" s="16">
        <v>45215</v>
      </c>
      <c r="I219" s="6">
        <v>42</v>
      </c>
      <c r="J219" s="6" t="s">
        <v>121</v>
      </c>
      <c r="K219" s="6" t="s">
        <v>135</v>
      </c>
      <c r="L219" s="11">
        <f>F219*Controls!$B$6</f>
        <v>30</v>
      </c>
      <c r="M219" s="11">
        <f>G219*Controls!$B$6</f>
        <v>3750</v>
      </c>
      <c r="N219" s="12">
        <f>IF(L219=0,0,SUMIFS('PSI Plan'!$N$6:$N$173,'PSI Plan'!$B$6:$B$173,B219,'PSI Plan'!$C$6:$C$173,I219))</f>
        <v>0.59807073954983925</v>
      </c>
      <c r="O219" s="11">
        <f t="shared" si="6"/>
        <v>17.942122186495176</v>
      </c>
      <c r="P219" s="11">
        <f t="shared" si="7"/>
        <v>2242.7652733118971</v>
      </c>
      <c r="Q219" s="6"/>
      <c r="R219" s="6"/>
      <c r="S219" s="6"/>
      <c r="T219" s="6"/>
    </row>
    <row r="220" spans="1:20">
      <c r="A220" s="6" t="s">
        <v>353</v>
      </c>
      <c r="B220" s="6" t="s">
        <v>77</v>
      </c>
      <c r="C220" s="6" t="s">
        <v>90</v>
      </c>
      <c r="D220" s="6" t="s">
        <v>119</v>
      </c>
      <c r="E220" s="6" t="s">
        <v>120</v>
      </c>
      <c r="F220" s="7">
        <v>52</v>
      </c>
      <c r="G220" s="7">
        <v>6500</v>
      </c>
      <c r="H220" s="16">
        <v>45249</v>
      </c>
      <c r="I220" s="6">
        <v>47</v>
      </c>
      <c r="J220" s="6" t="s">
        <v>121</v>
      </c>
      <c r="K220" s="6" t="s">
        <v>135</v>
      </c>
      <c r="L220" s="11">
        <f>F220*Controls!$B$6</f>
        <v>52</v>
      </c>
      <c r="M220" s="11">
        <f>G220*Controls!$B$6</f>
        <v>6500</v>
      </c>
      <c r="N220" s="12">
        <f>IF(L220=0,0,SUMIFS('PSI Plan'!$N$6:$N$173,'PSI Plan'!$B$6:$B$173,B220,'PSI Plan'!$C$6:$C$173,I220))</f>
        <v>0</v>
      </c>
      <c r="O220" s="11">
        <f t="shared" si="6"/>
        <v>0</v>
      </c>
      <c r="P220" s="11">
        <f t="shared" si="7"/>
        <v>0</v>
      </c>
      <c r="Q220" s="6"/>
      <c r="R220" s="6"/>
      <c r="S220" s="6"/>
      <c r="T220" s="6"/>
    </row>
    <row r="221" spans="1:20">
      <c r="A221" s="6" t="s">
        <v>354</v>
      </c>
      <c r="B221" s="6" t="s">
        <v>69</v>
      </c>
      <c r="C221" s="6" t="s">
        <v>90</v>
      </c>
      <c r="D221" s="6" t="s">
        <v>119</v>
      </c>
      <c r="E221" s="6" t="s">
        <v>120</v>
      </c>
      <c r="F221" s="7">
        <v>57</v>
      </c>
      <c r="G221" s="7">
        <v>7125</v>
      </c>
      <c r="H221" s="16">
        <v>45280</v>
      </c>
      <c r="I221" s="6">
        <v>51</v>
      </c>
      <c r="J221" s="6" t="s">
        <v>121</v>
      </c>
      <c r="K221" s="6" t="s">
        <v>135</v>
      </c>
      <c r="L221" s="11">
        <f>F221*Controls!$B$6</f>
        <v>57</v>
      </c>
      <c r="M221" s="11">
        <f>G221*Controls!$B$6</f>
        <v>7125</v>
      </c>
      <c r="N221" s="12">
        <f>IF(L221=0,0,SUMIFS('PSI Plan'!$N$6:$N$173,'PSI Plan'!$B$6:$B$173,B221,'PSI Plan'!$C$6:$C$173,I221))</f>
        <v>0</v>
      </c>
      <c r="O221" s="11">
        <f t="shared" si="6"/>
        <v>0</v>
      </c>
      <c r="P221" s="11">
        <f t="shared" si="7"/>
        <v>0</v>
      </c>
      <c r="Q221" s="6"/>
      <c r="R221" s="6"/>
      <c r="S221" s="6"/>
      <c r="T221" s="6"/>
    </row>
    <row r="222" spans="1:20">
      <c r="A222" s="6" t="s">
        <v>355</v>
      </c>
      <c r="B222" s="6" t="s">
        <v>69</v>
      </c>
      <c r="C222" s="6" t="s">
        <v>90</v>
      </c>
      <c r="D222" s="6" t="s">
        <v>119</v>
      </c>
      <c r="E222" s="6" t="s">
        <v>120</v>
      </c>
      <c r="F222" s="7">
        <v>18</v>
      </c>
      <c r="G222" s="7">
        <v>2250</v>
      </c>
      <c r="H222" s="16">
        <v>45263</v>
      </c>
      <c r="I222" s="6">
        <v>49</v>
      </c>
      <c r="J222" s="6" t="s">
        <v>121</v>
      </c>
      <c r="K222" s="6" t="s">
        <v>298</v>
      </c>
      <c r="L222" s="11">
        <f>F222*Controls!$B$6</f>
        <v>18</v>
      </c>
      <c r="M222" s="11">
        <f>G222*Controls!$B$6</f>
        <v>2250</v>
      </c>
      <c r="N222" s="12">
        <f>IF(L222=0,0,SUMIFS('PSI Plan'!$N$6:$N$173,'PSI Plan'!$B$6:$B$173,B222,'PSI Plan'!$C$6:$C$173,I222))</f>
        <v>0</v>
      </c>
      <c r="O222" s="11">
        <f t="shared" si="6"/>
        <v>0</v>
      </c>
      <c r="P222" s="11">
        <f t="shared" si="7"/>
        <v>0</v>
      </c>
      <c r="Q222" s="6"/>
      <c r="R222" s="6"/>
      <c r="S222" s="6"/>
      <c r="T222" s="6"/>
    </row>
    <row r="223" spans="1:20">
      <c r="A223" s="6" t="s">
        <v>356</v>
      </c>
      <c r="B223" s="6" t="s">
        <v>69</v>
      </c>
      <c r="C223" s="6" t="s">
        <v>90</v>
      </c>
      <c r="D223" s="6" t="s">
        <v>119</v>
      </c>
      <c r="E223" s="6" t="s">
        <v>120</v>
      </c>
      <c r="F223" s="7">
        <v>52</v>
      </c>
      <c r="G223" s="7">
        <v>6500</v>
      </c>
      <c r="H223" s="16">
        <v>45251</v>
      </c>
      <c r="I223" s="6">
        <v>47</v>
      </c>
      <c r="J223" s="6" t="s">
        <v>121</v>
      </c>
      <c r="K223" s="6" t="s">
        <v>122</v>
      </c>
      <c r="L223" s="11">
        <f>F223*Controls!$B$6</f>
        <v>52</v>
      </c>
      <c r="M223" s="11">
        <f>G223*Controls!$B$6</f>
        <v>6500</v>
      </c>
      <c r="N223" s="12">
        <f>IF(L223=0,0,SUMIFS('PSI Plan'!$N$6:$N$173,'PSI Plan'!$B$6:$B$173,B223,'PSI Plan'!$C$6:$C$173,I223))</f>
        <v>0</v>
      </c>
      <c r="O223" s="11">
        <f t="shared" si="6"/>
        <v>0</v>
      </c>
      <c r="P223" s="11">
        <f t="shared" si="7"/>
        <v>0</v>
      </c>
      <c r="Q223" s="6"/>
      <c r="R223" s="6"/>
      <c r="S223" s="6"/>
      <c r="T223" s="6"/>
    </row>
    <row r="224" spans="1:20">
      <c r="A224" s="6" t="s">
        <v>357</v>
      </c>
      <c r="B224" s="6" t="s">
        <v>69</v>
      </c>
      <c r="C224" s="6" t="s">
        <v>90</v>
      </c>
      <c r="D224" s="6" t="s">
        <v>119</v>
      </c>
      <c r="E224" s="6" t="s">
        <v>120</v>
      </c>
      <c r="F224" s="7">
        <v>5</v>
      </c>
      <c r="G224" s="7">
        <v>625</v>
      </c>
      <c r="H224" s="16">
        <v>45283</v>
      </c>
      <c r="I224" s="6">
        <v>51</v>
      </c>
      <c r="J224" s="6" t="s">
        <v>121</v>
      </c>
      <c r="K224" s="6" t="s">
        <v>298</v>
      </c>
      <c r="L224" s="11">
        <f>F224*Controls!$B$6</f>
        <v>5</v>
      </c>
      <c r="M224" s="11">
        <f>G224*Controls!$B$6</f>
        <v>625</v>
      </c>
      <c r="N224" s="12">
        <f>IF(L224=0,0,SUMIFS('PSI Plan'!$N$6:$N$173,'PSI Plan'!$B$6:$B$173,B224,'PSI Plan'!$C$6:$C$173,I224))</f>
        <v>0</v>
      </c>
      <c r="O224" s="11">
        <f t="shared" si="6"/>
        <v>0</v>
      </c>
      <c r="P224" s="11">
        <f t="shared" si="7"/>
        <v>0</v>
      </c>
      <c r="Q224" s="6"/>
      <c r="R224" s="6"/>
      <c r="S224" s="6"/>
      <c r="T224" s="6"/>
    </row>
    <row r="225" spans="1:20">
      <c r="A225" s="6" t="s">
        <v>358</v>
      </c>
      <c r="B225" s="6" t="s">
        <v>66</v>
      </c>
      <c r="C225" s="6" t="s">
        <v>90</v>
      </c>
      <c r="D225" s="6" t="s">
        <v>119</v>
      </c>
      <c r="E225" s="6" t="s">
        <v>120</v>
      </c>
      <c r="F225" s="7">
        <v>3</v>
      </c>
      <c r="G225" s="7">
        <v>375</v>
      </c>
      <c r="H225" s="16">
        <v>45267</v>
      </c>
      <c r="I225" s="6">
        <v>49</v>
      </c>
      <c r="J225" s="6" t="s">
        <v>121</v>
      </c>
      <c r="K225" s="6" t="s">
        <v>139</v>
      </c>
      <c r="L225" s="11">
        <f>F225*Controls!$B$6</f>
        <v>3</v>
      </c>
      <c r="M225" s="11">
        <f>G225*Controls!$B$6</f>
        <v>375</v>
      </c>
      <c r="N225" s="12">
        <f>IF(L225=0,0,SUMIFS('PSI Plan'!$N$6:$N$173,'PSI Plan'!$B$6:$B$173,B225,'PSI Plan'!$C$6:$C$173,I225))</f>
        <v>0</v>
      </c>
      <c r="O225" s="11">
        <f t="shared" si="6"/>
        <v>0</v>
      </c>
      <c r="P225" s="11">
        <f t="shared" si="7"/>
        <v>0</v>
      </c>
      <c r="Q225" s="6"/>
      <c r="R225" s="6"/>
      <c r="S225" s="6"/>
      <c r="T225" s="6"/>
    </row>
    <row r="226" spans="1:20">
      <c r="A226" s="6" t="s">
        <v>359</v>
      </c>
      <c r="B226" s="6" t="s">
        <v>69</v>
      </c>
      <c r="C226" s="6" t="s">
        <v>90</v>
      </c>
      <c r="D226" s="6" t="s">
        <v>119</v>
      </c>
      <c r="E226" s="6" t="s">
        <v>120</v>
      </c>
      <c r="F226" s="7">
        <v>4</v>
      </c>
      <c r="G226" s="7">
        <v>500</v>
      </c>
      <c r="H226" s="16">
        <v>45289</v>
      </c>
      <c r="I226" s="6">
        <v>52</v>
      </c>
      <c r="J226" s="6" t="s">
        <v>121</v>
      </c>
      <c r="K226" s="6" t="s">
        <v>139</v>
      </c>
      <c r="L226" s="11">
        <f>F226*Controls!$B$6</f>
        <v>4</v>
      </c>
      <c r="M226" s="11">
        <f>G226*Controls!$B$6</f>
        <v>500</v>
      </c>
      <c r="N226" s="12">
        <f>IF(L226=0,0,SUMIFS('PSI Plan'!$N$6:$N$173,'PSI Plan'!$B$6:$B$173,B226,'PSI Plan'!$C$6:$C$173,I226))</f>
        <v>0</v>
      </c>
      <c r="O226" s="11">
        <f t="shared" si="6"/>
        <v>0</v>
      </c>
      <c r="P226" s="11">
        <f t="shared" si="7"/>
        <v>0</v>
      </c>
      <c r="Q226" s="6"/>
      <c r="R226" s="6"/>
      <c r="S226" s="6"/>
      <c r="T226" s="6"/>
    </row>
    <row r="227" spans="1:20">
      <c r="A227" s="6" t="s">
        <v>360</v>
      </c>
      <c r="B227" s="6" t="s">
        <v>66</v>
      </c>
      <c r="C227" s="6" t="s">
        <v>90</v>
      </c>
      <c r="D227" s="6" t="s">
        <v>119</v>
      </c>
      <c r="E227" s="6" t="s">
        <v>120</v>
      </c>
      <c r="F227" s="7">
        <v>10</v>
      </c>
      <c r="G227" s="7">
        <v>1250</v>
      </c>
      <c r="H227" s="16">
        <v>45260</v>
      </c>
      <c r="I227" s="6">
        <v>48</v>
      </c>
      <c r="J227" s="6" t="s">
        <v>121</v>
      </c>
      <c r="K227" s="6" t="s">
        <v>361</v>
      </c>
      <c r="L227" s="11">
        <f>F227*Controls!$B$6</f>
        <v>10</v>
      </c>
      <c r="M227" s="11">
        <f>G227*Controls!$B$6</f>
        <v>1250</v>
      </c>
      <c r="N227" s="12">
        <f>IF(L227=0,0,SUMIFS('PSI Plan'!$N$6:$N$173,'PSI Plan'!$B$6:$B$173,B227,'PSI Plan'!$C$6:$C$173,I227))</f>
        <v>0</v>
      </c>
      <c r="O227" s="11">
        <f t="shared" si="6"/>
        <v>0</v>
      </c>
      <c r="P227" s="11">
        <f t="shared" si="7"/>
        <v>0</v>
      </c>
      <c r="Q227" s="6"/>
      <c r="R227" s="6"/>
      <c r="S227" s="6"/>
      <c r="T227" s="6"/>
    </row>
    <row r="228" spans="1:20">
      <c r="A228" s="6" t="s">
        <v>362</v>
      </c>
      <c r="B228" s="6" t="s">
        <v>77</v>
      </c>
      <c r="C228" s="6" t="s">
        <v>90</v>
      </c>
      <c r="D228" s="6" t="s">
        <v>119</v>
      </c>
      <c r="E228" s="6" t="s">
        <v>120</v>
      </c>
      <c r="F228" s="7">
        <v>11</v>
      </c>
      <c r="G228" s="7">
        <v>1375</v>
      </c>
      <c r="H228" s="16">
        <v>45249</v>
      </c>
      <c r="I228" s="6">
        <v>47</v>
      </c>
      <c r="J228" s="6" t="s">
        <v>121</v>
      </c>
      <c r="K228" s="6" t="s">
        <v>361</v>
      </c>
      <c r="L228" s="11">
        <f>F228*Controls!$B$6</f>
        <v>11</v>
      </c>
      <c r="M228" s="11">
        <f>G228*Controls!$B$6</f>
        <v>1375</v>
      </c>
      <c r="N228" s="12">
        <f>IF(L228=0,0,SUMIFS('PSI Plan'!$N$6:$N$173,'PSI Plan'!$B$6:$B$173,B228,'PSI Plan'!$C$6:$C$173,I228))</f>
        <v>0</v>
      </c>
      <c r="O228" s="11">
        <f t="shared" si="6"/>
        <v>0</v>
      </c>
      <c r="P228" s="11">
        <f t="shared" si="7"/>
        <v>0</v>
      </c>
      <c r="Q228" s="6"/>
      <c r="R228" s="6"/>
      <c r="S228" s="6"/>
      <c r="T228" s="6"/>
    </row>
    <row r="229" spans="1:20">
      <c r="A229" s="6" t="s">
        <v>363</v>
      </c>
      <c r="B229" s="6" t="s">
        <v>69</v>
      </c>
      <c r="C229" s="6" t="s">
        <v>90</v>
      </c>
      <c r="D229" s="6" t="s">
        <v>119</v>
      </c>
      <c r="E229" s="6" t="s">
        <v>120</v>
      </c>
      <c r="F229" s="7">
        <v>93</v>
      </c>
      <c r="G229" s="7">
        <v>11625</v>
      </c>
      <c r="H229" s="16">
        <v>45270</v>
      </c>
      <c r="I229" s="6">
        <v>50</v>
      </c>
      <c r="J229" s="6" t="s">
        <v>121</v>
      </c>
      <c r="K229" s="6" t="s">
        <v>361</v>
      </c>
      <c r="L229" s="11">
        <f>F229*Controls!$B$6</f>
        <v>93</v>
      </c>
      <c r="M229" s="11">
        <f>G229*Controls!$B$6</f>
        <v>11625</v>
      </c>
      <c r="N229" s="12">
        <f>IF(L229=0,0,SUMIFS('PSI Plan'!$N$6:$N$173,'PSI Plan'!$B$6:$B$173,B229,'PSI Plan'!$C$6:$C$173,I229))</f>
        <v>0</v>
      </c>
      <c r="O229" s="11">
        <f t="shared" si="6"/>
        <v>0</v>
      </c>
      <c r="P229" s="11">
        <f t="shared" si="7"/>
        <v>0</v>
      </c>
      <c r="Q229" s="6"/>
      <c r="R229" s="6"/>
      <c r="S229" s="6"/>
      <c r="T229" s="6"/>
    </row>
    <row r="230" spans="1:20">
      <c r="A230" s="6" t="s">
        <v>364</v>
      </c>
      <c r="B230" s="6" t="s">
        <v>66</v>
      </c>
      <c r="C230" s="6" t="s">
        <v>90</v>
      </c>
      <c r="D230" s="6" t="s">
        <v>119</v>
      </c>
      <c r="E230" s="6" t="s">
        <v>120</v>
      </c>
      <c r="F230" s="7">
        <v>24</v>
      </c>
      <c r="G230" s="7">
        <v>3000</v>
      </c>
      <c r="H230" s="16">
        <v>45234</v>
      </c>
      <c r="I230" s="6">
        <v>44</v>
      </c>
      <c r="J230" s="6" t="s">
        <v>121</v>
      </c>
      <c r="K230" s="6" t="s">
        <v>365</v>
      </c>
      <c r="L230" s="11">
        <f>F230*Controls!$B$6</f>
        <v>24</v>
      </c>
      <c r="M230" s="11">
        <f>G230*Controls!$B$6</f>
        <v>3000</v>
      </c>
      <c r="N230" s="12">
        <f>IF(L230=0,0,SUMIFS('PSI Plan'!$N$6:$N$173,'PSI Plan'!$B$6:$B$173,B230,'PSI Plan'!$C$6:$C$173,I230))</f>
        <v>0</v>
      </c>
      <c r="O230" s="11">
        <f t="shared" si="6"/>
        <v>0</v>
      </c>
      <c r="P230" s="11">
        <f t="shared" si="7"/>
        <v>0</v>
      </c>
      <c r="Q230" s="6"/>
      <c r="R230" s="6"/>
      <c r="S230" s="6"/>
      <c r="T230" s="6"/>
    </row>
    <row r="231" spans="1:20">
      <c r="A231" s="6" t="s">
        <v>366</v>
      </c>
      <c r="B231" s="6" t="s">
        <v>77</v>
      </c>
      <c r="C231" s="6" t="s">
        <v>90</v>
      </c>
      <c r="D231" s="6" t="s">
        <v>119</v>
      </c>
      <c r="E231" s="6" t="s">
        <v>120</v>
      </c>
      <c r="F231" s="7">
        <v>47</v>
      </c>
      <c r="G231" s="7">
        <v>5875</v>
      </c>
      <c r="H231" s="16">
        <v>45254</v>
      </c>
      <c r="I231" s="6">
        <v>47</v>
      </c>
      <c r="J231" s="6" t="s">
        <v>121</v>
      </c>
      <c r="K231" s="6" t="s">
        <v>365</v>
      </c>
      <c r="L231" s="11">
        <f>F231*Controls!$B$6</f>
        <v>47</v>
      </c>
      <c r="M231" s="11">
        <f>G231*Controls!$B$6</f>
        <v>5875</v>
      </c>
      <c r="N231" s="12">
        <f>IF(L231=0,0,SUMIFS('PSI Plan'!$N$6:$N$173,'PSI Plan'!$B$6:$B$173,B231,'PSI Plan'!$C$6:$C$173,I231))</f>
        <v>0</v>
      </c>
      <c r="O231" s="11">
        <f t="shared" si="6"/>
        <v>0</v>
      </c>
      <c r="P231" s="11">
        <f t="shared" si="7"/>
        <v>0</v>
      </c>
      <c r="Q231" s="6"/>
      <c r="R231" s="6"/>
      <c r="S231" s="6"/>
      <c r="T231" s="6"/>
    </row>
    <row r="232" spans="1:20">
      <c r="A232" s="6" t="s">
        <v>367</v>
      </c>
      <c r="B232" s="6" t="s">
        <v>66</v>
      </c>
      <c r="C232" s="6" t="s">
        <v>90</v>
      </c>
      <c r="D232" s="6" t="s">
        <v>119</v>
      </c>
      <c r="E232" s="6" t="s">
        <v>120</v>
      </c>
      <c r="F232" s="7">
        <v>12</v>
      </c>
      <c r="G232" s="7">
        <v>1500</v>
      </c>
      <c r="H232" s="16">
        <v>45210</v>
      </c>
      <c r="I232" s="6">
        <v>41</v>
      </c>
      <c r="J232" s="6" t="s">
        <v>121</v>
      </c>
      <c r="K232" s="6" t="s">
        <v>135</v>
      </c>
      <c r="L232" s="11">
        <f>F232*Controls!$B$6</f>
        <v>12</v>
      </c>
      <c r="M232" s="11">
        <f>G232*Controls!$B$6</f>
        <v>1500</v>
      </c>
      <c r="N232" s="12">
        <f>IF(L232=0,0,SUMIFS('PSI Plan'!$N$6:$N$173,'PSI Plan'!$B$6:$B$173,B232,'PSI Plan'!$C$6:$C$173,I232))</f>
        <v>0.22897465437788017</v>
      </c>
      <c r="O232" s="11">
        <f t="shared" si="6"/>
        <v>2.7476958525345623</v>
      </c>
      <c r="P232" s="11">
        <f t="shared" si="7"/>
        <v>343.46198156682027</v>
      </c>
      <c r="Q232" s="6"/>
      <c r="R232" s="6"/>
      <c r="S232" s="6"/>
      <c r="T232" s="6"/>
    </row>
    <row r="233" spans="1:20">
      <c r="A233" s="6" t="s">
        <v>368</v>
      </c>
      <c r="B233" s="6" t="s">
        <v>69</v>
      </c>
      <c r="C233" s="6" t="s">
        <v>90</v>
      </c>
      <c r="D233" s="6" t="s">
        <v>119</v>
      </c>
      <c r="E233" s="6" t="s">
        <v>120</v>
      </c>
      <c r="F233" s="7">
        <v>35</v>
      </c>
      <c r="G233" s="7">
        <v>4375</v>
      </c>
      <c r="H233" s="16">
        <v>45254</v>
      </c>
      <c r="I233" s="6">
        <v>47</v>
      </c>
      <c r="J233" s="6" t="s">
        <v>121</v>
      </c>
      <c r="K233" s="6" t="s">
        <v>135</v>
      </c>
      <c r="L233" s="11">
        <f>F233*Controls!$B$6</f>
        <v>35</v>
      </c>
      <c r="M233" s="11">
        <f>G233*Controls!$B$6</f>
        <v>4375</v>
      </c>
      <c r="N233" s="12">
        <f>IF(L233=0,0,SUMIFS('PSI Plan'!$N$6:$N$173,'PSI Plan'!$B$6:$B$173,B233,'PSI Plan'!$C$6:$C$173,I233))</f>
        <v>0</v>
      </c>
      <c r="O233" s="11">
        <f t="shared" si="6"/>
        <v>0</v>
      </c>
      <c r="P233" s="11">
        <f t="shared" si="7"/>
        <v>0</v>
      </c>
      <c r="Q233" s="6"/>
      <c r="R233" s="6"/>
      <c r="S233" s="6"/>
      <c r="T233" s="6"/>
    </row>
    <row r="234" spans="1:20">
      <c r="A234" s="6" t="s">
        <v>369</v>
      </c>
      <c r="B234" s="6" t="s">
        <v>69</v>
      </c>
      <c r="C234" s="6" t="s">
        <v>90</v>
      </c>
      <c r="D234" s="6" t="s">
        <v>119</v>
      </c>
      <c r="E234" s="6" t="s">
        <v>120</v>
      </c>
      <c r="F234" s="7">
        <v>54</v>
      </c>
      <c r="G234" s="7">
        <v>6750</v>
      </c>
      <c r="H234" s="16">
        <v>45228</v>
      </c>
      <c r="I234" s="6">
        <v>44</v>
      </c>
      <c r="J234" s="6" t="s">
        <v>121</v>
      </c>
      <c r="K234" s="6" t="s">
        <v>365</v>
      </c>
      <c r="L234" s="11">
        <f>F234*Controls!$B$6</f>
        <v>54</v>
      </c>
      <c r="M234" s="11">
        <f>G234*Controls!$B$6</f>
        <v>6750</v>
      </c>
      <c r="N234" s="12">
        <f>IF(L234=0,0,SUMIFS('PSI Plan'!$N$6:$N$173,'PSI Plan'!$B$6:$B$173,B234,'PSI Plan'!$C$6:$C$173,I234))</f>
        <v>0</v>
      </c>
      <c r="O234" s="11">
        <f t="shared" si="6"/>
        <v>0</v>
      </c>
      <c r="P234" s="11">
        <f t="shared" si="7"/>
        <v>0</v>
      </c>
      <c r="Q234" s="6"/>
      <c r="R234" s="6"/>
      <c r="S234" s="6"/>
      <c r="T234" s="6"/>
    </row>
    <row r="235" spans="1:20">
      <c r="A235" s="6" t="s">
        <v>370</v>
      </c>
      <c r="B235" s="6" t="s">
        <v>66</v>
      </c>
      <c r="C235" s="6" t="s">
        <v>90</v>
      </c>
      <c r="D235" s="6" t="s">
        <v>119</v>
      </c>
      <c r="E235" s="6" t="s">
        <v>120</v>
      </c>
      <c r="F235" s="7">
        <v>52</v>
      </c>
      <c r="G235" s="7">
        <v>6500</v>
      </c>
      <c r="H235" s="16">
        <v>45234</v>
      </c>
      <c r="I235" s="6">
        <v>44</v>
      </c>
      <c r="J235" s="6" t="s">
        <v>121</v>
      </c>
      <c r="K235" s="6" t="s">
        <v>347</v>
      </c>
      <c r="L235" s="11">
        <f>F235*Controls!$B$6</f>
        <v>52</v>
      </c>
      <c r="M235" s="11">
        <f>G235*Controls!$B$6</f>
        <v>6500</v>
      </c>
      <c r="N235" s="12">
        <f>IF(L235=0,0,SUMIFS('PSI Plan'!$N$6:$N$173,'PSI Plan'!$B$6:$B$173,B235,'PSI Plan'!$C$6:$C$173,I235))</f>
        <v>0</v>
      </c>
      <c r="O235" s="11">
        <f t="shared" si="6"/>
        <v>0</v>
      </c>
      <c r="P235" s="11">
        <f t="shared" si="7"/>
        <v>0</v>
      </c>
      <c r="Q235" s="6"/>
      <c r="R235" s="6"/>
      <c r="S235" s="6"/>
      <c r="T235" s="6"/>
    </row>
    <row r="236" spans="1:20">
      <c r="A236" s="6" t="s">
        <v>371</v>
      </c>
      <c r="B236" s="6" t="s">
        <v>77</v>
      </c>
      <c r="C236" s="6" t="s">
        <v>90</v>
      </c>
      <c r="D236" s="6" t="s">
        <v>119</v>
      </c>
      <c r="E236" s="6" t="s">
        <v>120</v>
      </c>
      <c r="F236" s="7">
        <v>52</v>
      </c>
      <c r="G236" s="7">
        <v>6500</v>
      </c>
      <c r="H236" s="16">
        <v>45255</v>
      </c>
      <c r="I236" s="6">
        <v>47</v>
      </c>
      <c r="J236" s="6" t="s">
        <v>121</v>
      </c>
      <c r="K236" s="6" t="s">
        <v>347</v>
      </c>
      <c r="L236" s="11">
        <f>F236*Controls!$B$6</f>
        <v>52</v>
      </c>
      <c r="M236" s="11">
        <f>G236*Controls!$B$6</f>
        <v>6500</v>
      </c>
      <c r="N236" s="12">
        <f>IF(L236=0,0,SUMIFS('PSI Plan'!$N$6:$N$173,'PSI Plan'!$B$6:$B$173,B236,'PSI Plan'!$C$6:$C$173,I236))</f>
        <v>0</v>
      </c>
      <c r="O236" s="11">
        <f t="shared" si="6"/>
        <v>0</v>
      </c>
      <c r="P236" s="11">
        <f t="shared" si="7"/>
        <v>0</v>
      </c>
      <c r="Q236" s="6"/>
      <c r="R236" s="6"/>
      <c r="S236" s="6"/>
      <c r="T236" s="6"/>
    </row>
    <row r="237" spans="1:20">
      <c r="A237" s="6" t="s">
        <v>372</v>
      </c>
      <c r="B237" s="6" t="s">
        <v>69</v>
      </c>
      <c r="C237" s="6" t="s">
        <v>90</v>
      </c>
      <c r="D237" s="6" t="s">
        <v>119</v>
      </c>
      <c r="E237" s="6" t="s">
        <v>120</v>
      </c>
      <c r="F237" s="7">
        <v>104</v>
      </c>
      <c r="G237" s="7">
        <v>13000</v>
      </c>
      <c r="H237" s="16">
        <v>45238</v>
      </c>
      <c r="I237" s="6">
        <v>45</v>
      </c>
      <c r="J237" s="6" t="s">
        <v>121</v>
      </c>
      <c r="K237" s="6" t="s">
        <v>347</v>
      </c>
      <c r="L237" s="11">
        <f>F237*Controls!$B$6</f>
        <v>104</v>
      </c>
      <c r="M237" s="11">
        <f>G237*Controls!$B$6</f>
        <v>13000</v>
      </c>
      <c r="N237" s="12">
        <f>IF(L237=0,0,SUMIFS('PSI Plan'!$N$6:$N$173,'PSI Plan'!$B$6:$B$173,B237,'PSI Plan'!$C$6:$C$173,I237))</f>
        <v>0</v>
      </c>
      <c r="O237" s="11">
        <f t="shared" si="6"/>
        <v>0</v>
      </c>
      <c r="P237" s="11">
        <f t="shared" si="7"/>
        <v>0</v>
      </c>
      <c r="Q237" s="6"/>
      <c r="R237" s="6"/>
      <c r="S237" s="6"/>
      <c r="T237" s="6"/>
    </row>
    <row r="238" spans="1:20">
      <c r="A238" s="6" t="s">
        <v>373</v>
      </c>
      <c r="B238" s="6" t="s">
        <v>69</v>
      </c>
      <c r="C238" s="6" t="s">
        <v>90</v>
      </c>
      <c r="D238" s="6" t="s">
        <v>119</v>
      </c>
      <c r="E238" s="6" t="s">
        <v>120</v>
      </c>
      <c r="F238" s="7">
        <v>462</v>
      </c>
      <c r="G238" s="7">
        <v>57750</v>
      </c>
      <c r="H238" s="16">
        <v>45200</v>
      </c>
      <c r="I238" s="6">
        <v>40</v>
      </c>
      <c r="J238" s="6" t="s">
        <v>121</v>
      </c>
      <c r="K238" s="6" t="s">
        <v>374</v>
      </c>
      <c r="L238" s="11">
        <f>F238*Controls!$B$6</f>
        <v>462</v>
      </c>
      <c r="M238" s="11">
        <f>G238*Controls!$B$6</f>
        <v>57750</v>
      </c>
      <c r="N238" s="12">
        <f>IF(L238=0,0,SUMIFS('PSI Plan'!$N$6:$N$173,'PSI Plan'!$B$6:$B$173,B238,'PSI Plan'!$C$6:$C$173,I238))</f>
        <v>0</v>
      </c>
      <c r="O238" s="11">
        <f t="shared" si="6"/>
        <v>0</v>
      </c>
      <c r="P238" s="11">
        <f t="shared" si="7"/>
        <v>0</v>
      </c>
      <c r="Q238" s="6"/>
      <c r="R238" s="6"/>
      <c r="S238" s="6"/>
      <c r="T238" s="6"/>
    </row>
    <row r="239" spans="1:20">
      <c r="A239" s="6" t="s">
        <v>375</v>
      </c>
      <c r="B239" s="6" t="s">
        <v>77</v>
      </c>
      <c r="C239" s="6" t="s">
        <v>90</v>
      </c>
      <c r="D239" s="6" t="s">
        <v>119</v>
      </c>
      <c r="E239" s="6" t="s">
        <v>120</v>
      </c>
      <c r="F239" s="7">
        <v>52</v>
      </c>
      <c r="G239" s="7">
        <v>6500</v>
      </c>
      <c r="H239" s="16">
        <v>45278</v>
      </c>
      <c r="I239" s="6">
        <v>51</v>
      </c>
      <c r="J239" s="6" t="s">
        <v>121</v>
      </c>
      <c r="K239" s="6" t="s">
        <v>374</v>
      </c>
      <c r="L239" s="11">
        <f>F239*Controls!$B$6</f>
        <v>52</v>
      </c>
      <c r="M239" s="11">
        <f>G239*Controls!$B$6</f>
        <v>6500</v>
      </c>
      <c r="N239" s="12">
        <f>IF(L239=0,0,SUMIFS('PSI Plan'!$N$6:$N$173,'PSI Plan'!$B$6:$B$173,B239,'PSI Plan'!$C$6:$C$173,I239))</f>
        <v>0</v>
      </c>
      <c r="O239" s="11">
        <f t="shared" si="6"/>
        <v>0</v>
      </c>
      <c r="P239" s="11">
        <f t="shared" si="7"/>
        <v>0</v>
      </c>
      <c r="Q239" s="6"/>
      <c r="R239" s="6"/>
      <c r="S239" s="6"/>
      <c r="T239" s="6"/>
    </row>
    <row r="240" spans="1:20">
      <c r="A240" s="6" t="s">
        <v>376</v>
      </c>
      <c r="B240" s="6" t="s">
        <v>66</v>
      </c>
      <c r="C240" s="6" t="s">
        <v>90</v>
      </c>
      <c r="D240" s="6" t="s">
        <v>119</v>
      </c>
      <c r="E240" s="6" t="s">
        <v>120</v>
      </c>
      <c r="F240" s="7">
        <v>44</v>
      </c>
      <c r="G240" s="7">
        <v>5500</v>
      </c>
      <c r="H240" s="16">
        <v>45274</v>
      </c>
      <c r="I240" s="6">
        <v>50</v>
      </c>
      <c r="J240" s="6" t="s">
        <v>121</v>
      </c>
      <c r="K240" s="6" t="s">
        <v>374</v>
      </c>
      <c r="L240" s="11">
        <f>F240*Controls!$B$6</f>
        <v>44</v>
      </c>
      <c r="M240" s="11">
        <f>G240*Controls!$B$6</f>
        <v>5500</v>
      </c>
      <c r="N240" s="12">
        <f>IF(L240=0,0,SUMIFS('PSI Plan'!$N$6:$N$173,'PSI Plan'!$B$6:$B$173,B240,'PSI Plan'!$C$6:$C$173,I240))</f>
        <v>0</v>
      </c>
      <c r="O240" s="11">
        <f t="shared" si="6"/>
        <v>0</v>
      </c>
      <c r="P240" s="11">
        <f t="shared" si="7"/>
        <v>0</v>
      </c>
      <c r="Q240" s="6"/>
      <c r="R240" s="6"/>
      <c r="S240" s="6"/>
      <c r="T240" s="6"/>
    </row>
    <row r="241" spans="1:20">
      <c r="A241" s="6" t="s">
        <v>377</v>
      </c>
      <c r="B241" s="6" t="s">
        <v>77</v>
      </c>
      <c r="C241" s="6" t="s">
        <v>99</v>
      </c>
      <c r="D241" s="6" t="s">
        <v>319</v>
      </c>
      <c r="E241" s="6" t="s">
        <v>120</v>
      </c>
      <c r="F241" s="7">
        <v>104</v>
      </c>
      <c r="G241" s="7">
        <v>13000</v>
      </c>
      <c r="H241" s="16">
        <v>45234</v>
      </c>
      <c r="I241" s="6">
        <v>44</v>
      </c>
      <c r="J241" s="6" t="s">
        <v>121</v>
      </c>
      <c r="K241" s="6" t="s">
        <v>344</v>
      </c>
      <c r="L241" s="11">
        <f>F241*Controls!$B$6</f>
        <v>104</v>
      </c>
      <c r="M241" s="11">
        <f>G241*Controls!$B$6</f>
        <v>13000</v>
      </c>
      <c r="N241" s="12">
        <f>IF(L241=0,0,SUMIFS('PSI Plan'!$N$6:$N$173,'PSI Plan'!$B$6:$B$173,B241,'PSI Plan'!$C$6:$C$173,I241))</f>
        <v>0</v>
      </c>
      <c r="O241" s="11">
        <f t="shared" si="6"/>
        <v>0</v>
      </c>
      <c r="P241" s="11">
        <f t="shared" si="7"/>
        <v>0</v>
      </c>
      <c r="Q241" s="6"/>
      <c r="R241" s="6"/>
      <c r="S241" s="6"/>
      <c r="T241" s="6"/>
    </row>
    <row r="242" spans="1:20">
      <c r="A242" s="6" t="s">
        <v>378</v>
      </c>
      <c r="B242" s="6" t="s">
        <v>69</v>
      </c>
      <c r="C242" s="6" t="s">
        <v>99</v>
      </c>
      <c r="D242" s="6" t="s">
        <v>319</v>
      </c>
      <c r="E242" s="6" t="s">
        <v>120</v>
      </c>
      <c r="F242" s="7">
        <v>4</v>
      </c>
      <c r="G242" s="7">
        <v>500</v>
      </c>
      <c r="H242" s="16">
        <v>45279</v>
      </c>
      <c r="I242" s="6">
        <v>51</v>
      </c>
      <c r="J242" s="6" t="s">
        <v>121</v>
      </c>
      <c r="K242" s="6" t="s">
        <v>344</v>
      </c>
      <c r="L242" s="11">
        <f>F242*Controls!$B$6</f>
        <v>4</v>
      </c>
      <c r="M242" s="11">
        <f>G242*Controls!$B$6</f>
        <v>500</v>
      </c>
      <c r="N242" s="12">
        <f>IF(L242=0,0,SUMIFS('PSI Plan'!$N$6:$N$173,'PSI Plan'!$B$6:$B$173,B242,'PSI Plan'!$C$6:$C$173,I242))</f>
        <v>0</v>
      </c>
      <c r="O242" s="11">
        <f t="shared" si="6"/>
        <v>0</v>
      </c>
      <c r="P242" s="11">
        <f t="shared" si="7"/>
        <v>0</v>
      </c>
      <c r="Q242" s="6"/>
      <c r="R242" s="6"/>
      <c r="S242" s="6"/>
      <c r="T242" s="6"/>
    </row>
    <row r="243" spans="1:20">
      <c r="A243" s="6" t="s">
        <v>379</v>
      </c>
      <c r="B243" s="6" t="s">
        <v>69</v>
      </c>
      <c r="C243" s="6" t="s">
        <v>90</v>
      </c>
      <c r="D243" s="6" t="s">
        <v>119</v>
      </c>
      <c r="E243" s="6" t="s">
        <v>120</v>
      </c>
      <c r="F243" s="7">
        <v>50</v>
      </c>
      <c r="G243" s="7">
        <v>6250</v>
      </c>
      <c r="H243" s="16">
        <v>45220</v>
      </c>
      <c r="I243" s="6">
        <v>42</v>
      </c>
      <c r="J243" s="6" t="s">
        <v>121</v>
      </c>
      <c r="K243" s="6" t="s">
        <v>171</v>
      </c>
      <c r="L243" s="11">
        <f>F243*Controls!$B$6</f>
        <v>50</v>
      </c>
      <c r="M243" s="11">
        <f>G243*Controls!$B$6</f>
        <v>6250</v>
      </c>
      <c r="N243" s="12">
        <f>IF(L243=0,0,SUMIFS('PSI Plan'!$N$6:$N$173,'PSI Plan'!$B$6:$B$173,B243,'PSI Plan'!$C$6:$C$173,I243))</f>
        <v>0</v>
      </c>
      <c r="O243" s="11">
        <f t="shared" si="6"/>
        <v>0</v>
      </c>
      <c r="P243" s="11">
        <f t="shared" si="7"/>
        <v>0</v>
      </c>
      <c r="Q243" s="6"/>
      <c r="R243" s="6"/>
      <c r="S243" s="6"/>
      <c r="T243" s="6"/>
    </row>
    <row r="244" spans="1:20">
      <c r="A244" s="6" t="s">
        <v>380</v>
      </c>
      <c r="B244" s="6" t="s">
        <v>69</v>
      </c>
      <c r="C244" s="6" t="s">
        <v>90</v>
      </c>
      <c r="D244" s="6" t="s">
        <v>119</v>
      </c>
      <c r="E244" s="6" t="s">
        <v>120</v>
      </c>
      <c r="F244" s="7">
        <v>52</v>
      </c>
      <c r="G244" s="7">
        <v>6500</v>
      </c>
      <c r="H244" s="16">
        <v>45201</v>
      </c>
      <c r="I244" s="6">
        <v>40</v>
      </c>
      <c r="J244" s="6" t="s">
        <v>121</v>
      </c>
      <c r="K244" s="6" t="s">
        <v>122</v>
      </c>
      <c r="L244" s="11">
        <f>F244*Controls!$B$6</f>
        <v>52</v>
      </c>
      <c r="M244" s="11">
        <f>G244*Controls!$B$6</f>
        <v>6500</v>
      </c>
      <c r="N244" s="12">
        <f>IF(L244=0,0,SUMIFS('PSI Plan'!$N$6:$N$173,'PSI Plan'!$B$6:$B$173,B244,'PSI Plan'!$C$6:$C$173,I244))</f>
        <v>0</v>
      </c>
      <c r="O244" s="11">
        <f t="shared" si="6"/>
        <v>0</v>
      </c>
      <c r="P244" s="11">
        <f t="shared" si="7"/>
        <v>0</v>
      </c>
      <c r="Q244" s="6"/>
      <c r="R244" s="6"/>
      <c r="S244" s="6"/>
      <c r="T244" s="6"/>
    </row>
    <row r="245" spans="1:20">
      <c r="A245" s="6" t="s">
        <v>381</v>
      </c>
      <c r="B245" s="6" t="s">
        <v>69</v>
      </c>
      <c r="C245" s="6" t="s">
        <v>90</v>
      </c>
      <c r="D245" s="6" t="s">
        <v>119</v>
      </c>
      <c r="E245" s="6" t="s">
        <v>120</v>
      </c>
      <c r="F245" s="7">
        <v>6</v>
      </c>
      <c r="G245" s="7">
        <v>750</v>
      </c>
      <c r="H245" s="16">
        <v>45257</v>
      </c>
      <c r="I245" s="6">
        <v>48</v>
      </c>
      <c r="J245" s="6" t="s">
        <v>121</v>
      </c>
      <c r="K245" s="6" t="s">
        <v>132</v>
      </c>
      <c r="L245" s="11">
        <f>F245*Controls!$B$6</f>
        <v>6</v>
      </c>
      <c r="M245" s="11">
        <f>G245*Controls!$B$6</f>
        <v>750</v>
      </c>
      <c r="N245" s="12">
        <f>IF(L245=0,0,SUMIFS('PSI Plan'!$N$6:$N$173,'PSI Plan'!$B$6:$B$173,B245,'PSI Plan'!$C$6:$C$173,I245))</f>
        <v>0</v>
      </c>
      <c r="O245" s="11">
        <f t="shared" si="6"/>
        <v>0</v>
      </c>
      <c r="P245" s="11">
        <f t="shared" si="7"/>
        <v>0</v>
      </c>
      <c r="Q245" s="6"/>
      <c r="R245" s="6"/>
      <c r="S245" s="6"/>
      <c r="T245" s="6"/>
    </row>
    <row r="246" spans="1:20">
      <c r="A246" s="6" t="s">
        <v>382</v>
      </c>
      <c r="B246" s="6" t="s">
        <v>69</v>
      </c>
      <c r="C246" s="6" t="s">
        <v>90</v>
      </c>
      <c r="D246" s="6" t="s">
        <v>119</v>
      </c>
      <c r="E246" s="6" t="s">
        <v>120</v>
      </c>
      <c r="F246" s="7">
        <v>12</v>
      </c>
      <c r="G246" s="7">
        <v>1500</v>
      </c>
      <c r="H246" s="16">
        <v>45261</v>
      </c>
      <c r="I246" s="6">
        <v>48</v>
      </c>
      <c r="J246" s="6" t="s">
        <v>121</v>
      </c>
      <c r="K246" s="6" t="s">
        <v>298</v>
      </c>
      <c r="L246" s="11">
        <f>F246*Controls!$B$6</f>
        <v>12</v>
      </c>
      <c r="M246" s="11">
        <f>G246*Controls!$B$6</f>
        <v>1500</v>
      </c>
      <c r="N246" s="12">
        <f>IF(L246=0,0,SUMIFS('PSI Plan'!$N$6:$N$173,'PSI Plan'!$B$6:$B$173,B246,'PSI Plan'!$C$6:$C$173,I246))</f>
        <v>0</v>
      </c>
      <c r="O246" s="11">
        <f t="shared" si="6"/>
        <v>0</v>
      </c>
      <c r="P246" s="11">
        <f t="shared" si="7"/>
        <v>0</v>
      </c>
      <c r="Q246" s="6"/>
      <c r="R246" s="6"/>
      <c r="S246" s="6"/>
      <c r="T246" s="6"/>
    </row>
    <row r="247" spans="1:20">
      <c r="A247" s="6" t="s">
        <v>383</v>
      </c>
      <c r="B247" s="6" t="s">
        <v>69</v>
      </c>
      <c r="C247" s="6" t="s">
        <v>90</v>
      </c>
      <c r="D247" s="6" t="s">
        <v>119</v>
      </c>
      <c r="E247" s="6" t="s">
        <v>120</v>
      </c>
      <c r="F247" s="7">
        <v>7</v>
      </c>
      <c r="G247" s="7">
        <v>875</v>
      </c>
      <c r="H247" s="16">
        <v>45235</v>
      </c>
      <c r="I247" s="6">
        <v>45</v>
      </c>
      <c r="J247" s="6" t="s">
        <v>121</v>
      </c>
      <c r="K247" s="6" t="s">
        <v>132</v>
      </c>
      <c r="L247" s="11">
        <f>F247*Controls!$B$6</f>
        <v>7</v>
      </c>
      <c r="M247" s="11">
        <f>G247*Controls!$B$6</f>
        <v>875</v>
      </c>
      <c r="N247" s="12">
        <f>IF(L247=0,0,SUMIFS('PSI Plan'!$N$6:$N$173,'PSI Plan'!$B$6:$B$173,B247,'PSI Plan'!$C$6:$C$173,I247))</f>
        <v>0</v>
      </c>
      <c r="O247" s="11">
        <f t="shared" si="6"/>
        <v>0</v>
      </c>
      <c r="P247" s="11">
        <f t="shared" si="7"/>
        <v>0</v>
      </c>
      <c r="Q247" s="6"/>
      <c r="R247" s="6"/>
      <c r="S247" s="6"/>
      <c r="T247" s="6"/>
    </row>
    <row r="248" spans="1:20">
      <c r="A248" s="6" t="s">
        <v>384</v>
      </c>
      <c r="B248" s="6" t="s">
        <v>77</v>
      </c>
      <c r="C248" s="6" t="s">
        <v>99</v>
      </c>
      <c r="D248" s="6" t="s">
        <v>319</v>
      </c>
      <c r="E248" s="6" t="s">
        <v>120</v>
      </c>
      <c r="F248" s="7">
        <v>23</v>
      </c>
      <c r="G248" s="7">
        <v>2875</v>
      </c>
      <c r="H248" s="16">
        <v>45266</v>
      </c>
      <c r="I248" s="6">
        <v>49</v>
      </c>
      <c r="J248" s="6" t="s">
        <v>121</v>
      </c>
      <c r="K248" s="6" t="s">
        <v>361</v>
      </c>
      <c r="L248" s="11">
        <f>F248*Controls!$B$6</f>
        <v>23</v>
      </c>
      <c r="M248" s="11">
        <f>G248*Controls!$B$6</f>
        <v>2875</v>
      </c>
      <c r="N248" s="12">
        <f>IF(L248=0,0,SUMIFS('PSI Plan'!$N$6:$N$173,'PSI Plan'!$B$6:$B$173,B248,'PSI Plan'!$C$6:$C$173,I248))</f>
        <v>0</v>
      </c>
      <c r="O248" s="11">
        <f t="shared" si="6"/>
        <v>0</v>
      </c>
      <c r="P248" s="11">
        <f t="shared" si="7"/>
        <v>0</v>
      </c>
      <c r="Q248" s="6"/>
      <c r="R248" s="6"/>
      <c r="S248" s="6"/>
      <c r="T248" s="6"/>
    </row>
    <row r="249" spans="1:20">
      <c r="A249" s="6" t="s">
        <v>385</v>
      </c>
      <c r="B249" s="6" t="s">
        <v>69</v>
      </c>
      <c r="C249" s="6" t="s">
        <v>99</v>
      </c>
      <c r="D249" s="6" t="s">
        <v>319</v>
      </c>
      <c r="E249" s="6" t="s">
        <v>120</v>
      </c>
      <c r="F249" s="7">
        <v>91</v>
      </c>
      <c r="G249" s="7">
        <v>11375</v>
      </c>
      <c r="H249" s="16">
        <v>45267</v>
      </c>
      <c r="I249" s="6">
        <v>49</v>
      </c>
      <c r="J249" s="6" t="s">
        <v>121</v>
      </c>
      <c r="K249" s="6" t="s">
        <v>361</v>
      </c>
      <c r="L249" s="11">
        <f>F249*Controls!$B$6</f>
        <v>91</v>
      </c>
      <c r="M249" s="11">
        <f>G249*Controls!$B$6</f>
        <v>11375</v>
      </c>
      <c r="N249" s="12">
        <f>IF(L249=0,0,SUMIFS('PSI Plan'!$N$6:$N$173,'PSI Plan'!$B$6:$B$173,B249,'PSI Plan'!$C$6:$C$173,I249))</f>
        <v>0</v>
      </c>
      <c r="O249" s="11">
        <f t="shared" si="6"/>
        <v>0</v>
      </c>
      <c r="P249" s="11">
        <f t="shared" si="7"/>
        <v>0</v>
      </c>
      <c r="Q249" s="6"/>
      <c r="R249" s="6"/>
      <c r="S249" s="6"/>
      <c r="T249" s="6"/>
    </row>
    <row r="250" spans="1:20">
      <c r="A250" s="6" t="s">
        <v>386</v>
      </c>
      <c r="B250" s="6" t="s">
        <v>66</v>
      </c>
      <c r="C250" s="6" t="s">
        <v>90</v>
      </c>
      <c r="D250" s="6" t="s">
        <v>119</v>
      </c>
      <c r="E250" s="6" t="s">
        <v>120</v>
      </c>
      <c r="F250" s="7">
        <v>6</v>
      </c>
      <c r="G250" s="7">
        <v>750</v>
      </c>
      <c r="H250" s="16">
        <v>45275</v>
      </c>
      <c r="I250" s="6">
        <v>50</v>
      </c>
      <c r="J250" s="6" t="s">
        <v>121</v>
      </c>
      <c r="K250" s="6" t="s">
        <v>135</v>
      </c>
      <c r="L250" s="11">
        <f>F250*Controls!$B$6</f>
        <v>6</v>
      </c>
      <c r="M250" s="11">
        <f>G250*Controls!$B$6</f>
        <v>750</v>
      </c>
      <c r="N250" s="12">
        <f>IF(L250=0,0,SUMIFS('PSI Plan'!$N$6:$N$173,'PSI Plan'!$B$6:$B$173,B250,'PSI Plan'!$C$6:$C$173,I250))</f>
        <v>0</v>
      </c>
      <c r="O250" s="11">
        <f t="shared" si="6"/>
        <v>0</v>
      </c>
      <c r="P250" s="11">
        <f t="shared" si="7"/>
        <v>0</v>
      </c>
      <c r="Q250" s="6"/>
      <c r="R250" s="6"/>
      <c r="S250" s="6"/>
      <c r="T250" s="6"/>
    </row>
    <row r="251" spans="1:20">
      <c r="A251" s="6" t="s">
        <v>387</v>
      </c>
      <c r="B251" s="6" t="s">
        <v>77</v>
      </c>
      <c r="C251" s="6" t="s">
        <v>90</v>
      </c>
      <c r="D251" s="6" t="s">
        <v>119</v>
      </c>
      <c r="E251" s="6" t="s">
        <v>120</v>
      </c>
      <c r="F251" s="7">
        <v>7</v>
      </c>
      <c r="G251" s="7">
        <v>875</v>
      </c>
      <c r="H251" s="16">
        <v>45262</v>
      </c>
      <c r="I251" s="6">
        <v>48</v>
      </c>
      <c r="J251" s="6" t="s">
        <v>121</v>
      </c>
      <c r="K251" s="6" t="s">
        <v>135</v>
      </c>
      <c r="L251" s="11">
        <f>F251*Controls!$B$6</f>
        <v>7</v>
      </c>
      <c r="M251" s="11">
        <f>G251*Controls!$B$6</f>
        <v>875</v>
      </c>
      <c r="N251" s="12">
        <f>IF(L251=0,0,SUMIFS('PSI Plan'!$N$6:$N$173,'PSI Plan'!$B$6:$B$173,B251,'PSI Plan'!$C$6:$C$173,I251))</f>
        <v>0</v>
      </c>
      <c r="O251" s="11">
        <f t="shared" si="6"/>
        <v>0</v>
      </c>
      <c r="P251" s="11">
        <f t="shared" si="7"/>
        <v>0</v>
      </c>
      <c r="Q251" s="6"/>
      <c r="R251" s="6"/>
      <c r="S251" s="6"/>
      <c r="T251" s="6"/>
    </row>
    <row r="252" spans="1:20">
      <c r="A252" s="6" t="s">
        <v>388</v>
      </c>
      <c r="B252" s="6" t="s">
        <v>69</v>
      </c>
      <c r="C252" s="6" t="s">
        <v>90</v>
      </c>
      <c r="D252" s="6" t="s">
        <v>119</v>
      </c>
      <c r="E252" s="6" t="s">
        <v>120</v>
      </c>
      <c r="F252" s="7">
        <v>7</v>
      </c>
      <c r="G252" s="7">
        <v>875</v>
      </c>
      <c r="H252" s="16">
        <v>45275</v>
      </c>
      <c r="I252" s="6">
        <v>50</v>
      </c>
      <c r="J252" s="6" t="s">
        <v>121</v>
      </c>
      <c r="K252" s="6" t="s">
        <v>135</v>
      </c>
      <c r="L252" s="11">
        <f>F252*Controls!$B$6</f>
        <v>7</v>
      </c>
      <c r="M252" s="11">
        <f>G252*Controls!$B$6</f>
        <v>875</v>
      </c>
      <c r="N252" s="12">
        <f>IF(L252=0,0,SUMIFS('PSI Plan'!$N$6:$N$173,'PSI Plan'!$B$6:$B$173,B252,'PSI Plan'!$C$6:$C$173,I252))</f>
        <v>0</v>
      </c>
      <c r="O252" s="11">
        <f t="shared" si="6"/>
        <v>0</v>
      </c>
      <c r="P252" s="11">
        <f t="shared" si="7"/>
        <v>0</v>
      </c>
      <c r="Q252" s="6"/>
      <c r="R252" s="6"/>
      <c r="S252" s="6"/>
      <c r="T252" s="6"/>
    </row>
    <row r="253" spans="1:20">
      <c r="A253" s="6" t="s">
        <v>389</v>
      </c>
      <c r="B253" s="6" t="s">
        <v>66</v>
      </c>
      <c r="C253" s="6" t="s">
        <v>90</v>
      </c>
      <c r="D253" s="6" t="s">
        <v>119</v>
      </c>
      <c r="E253" s="6" t="s">
        <v>120</v>
      </c>
      <c r="F253" s="7">
        <v>16</v>
      </c>
      <c r="G253" s="7">
        <v>2000</v>
      </c>
      <c r="H253" s="16">
        <v>45219</v>
      </c>
      <c r="I253" s="6">
        <v>42</v>
      </c>
      <c r="J253" s="6" t="s">
        <v>121</v>
      </c>
      <c r="K253" s="6" t="s">
        <v>135</v>
      </c>
      <c r="L253" s="11">
        <f>F253*Controls!$B$6</f>
        <v>16</v>
      </c>
      <c r="M253" s="11">
        <f>G253*Controls!$B$6</f>
        <v>2000</v>
      </c>
      <c r="N253" s="12">
        <f>IF(L253=0,0,SUMIFS('PSI Plan'!$N$6:$N$173,'PSI Plan'!$B$6:$B$173,B253,'PSI Plan'!$C$6:$C$173,I253))</f>
        <v>0.59807073954983925</v>
      </c>
      <c r="O253" s="11">
        <f t="shared" si="6"/>
        <v>9.569131832797428</v>
      </c>
      <c r="P253" s="11">
        <f t="shared" si="7"/>
        <v>1196.1414790996785</v>
      </c>
      <c r="Q253" s="6"/>
      <c r="R253" s="6"/>
      <c r="S253" s="6"/>
      <c r="T253" s="6"/>
    </row>
    <row r="254" spans="1:20">
      <c r="A254" s="6" t="s">
        <v>390</v>
      </c>
      <c r="B254" s="6" t="s">
        <v>77</v>
      </c>
      <c r="C254" s="6" t="s">
        <v>90</v>
      </c>
      <c r="D254" s="6" t="s">
        <v>119</v>
      </c>
      <c r="E254" s="6" t="s">
        <v>120</v>
      </c>
      <c r="F254" s="7">
        <v>23</v>
      </c>
      <c r="G254" s="7">
        <v>2875</v>
      </c>
      <c r="H254" s="16">
        <v>45287</v>
      </c>
      <c r="I254" s="6">
        <v>52</v>
      </c>
      <c r="J254" s="6" t="s">
        <v>121</v>
      </c>
      <c r="K254" s="6" t="s">
        <v>135</v>
      </c>
      <c r="L254" s="11">
        <f>F254*Controls!$B$6</f>
        <v>23</v>
      </c>
      <c r="M254" s="11">
        <f>G254*Controls!$B$6</f>
        <v>2875</v>
      </c>
      <c r="N254" s="12">
        <f>IF(L254=0,0,SUMIFS('PSI Plan'!$N$6:$N$173,'PSI Plan'!$B$6:$B$173,B254,'PSI Plan'!$C$6:$C$173,I254))</f>
        <v>0</v>
      </c>
      <c r="O254" s="11">
        <f t="shared" si="6"/>
        <v>0</v>
      </c>
      <c r="P254" s="11">
        <f t="shared" si="7"/>
        <v>0</v>
      </c>
      <c r="Q254" s="6"/>
      <c r="R254" s="6"/>
      <c r="S254" s="6"/>
      <c r="T254" s="6"/>
    </row>
    <row r="255" spans="1:20">
      <c r="A255" s="6" t="s">
        <v>391</v>
      </c>
      <c r="B255" s="6" t="s">
        <v>69</v>
      </c>
      <c r="C255" s="6" t="s">
        <v>90</v>
      </c>
      <c r="D255" s="6" t="s">
        <v>119</v>
      </c>
      <c r="E255" s="6" t="s">
        <v>120</v>
      </c>
      <c r="F255" s="7">
        <v>25</v>
      </c>
      <c r="G255" s="7">
        <v>3125</v>
      </c>
      <c r="H255" s="16">
        <v>45207</v>
      </c>
      <c r="I255" s="6">
        <v>41</v>
      </c>
      <c r="J255" s="6" t="s">
        <v>121</v>
      </c>
      <c r="K255" s="6" t="s">
        <v>135</v>
      </c>
      <c r="L255" s="11">
        <f>F255*Controls!$B$6</f>
        <v>25</v>
      </c>
      <c r="M255" s="11">
        <f>G255*Controls!$B$6</f>
        <v>3125</v>
      </c>
      <c r="N255" s="12">
        <f>IF(L255=0,0,SUMIFS('PSI Plan'!$N$6:$N$173,'PSI Plan'!$B$6:$B$173,B255,'PSI Plan'!$C$6:$C$173,I255))</f>
        <v>0</v>
      </c>
      <c r="O255" s="11">
        <f t="shared" si="6"/>
        <v>0</v>
      </c>
      <c r="P255" s="11">
        <f t="shared" si="7"/>
        <v>0</v>
      </c>
      <c r="Q255" s="6"/>
      <c r="R255" s="6"/>
      <c r="S255" s="6"/>
      <c r="T255" s="6"/>
    </row>
    <row r="256" spans="1:20">
      <c r="A256" s="6" t="s">
        <v>392</v>
      </c>
      <c r="B256" s="6" t="s">
        <v>66</v>
      </c>
      <c r="C256" s="6" t="s">
        <v>90</v>
      </c>
      <c r="D256" s="6" t="s">
        <v>119</v>
      </c>
      <c r="E256" s="6" t="s">
        <v>120</v>
      </c>
      <c r="F256" s="7">
        <v>24</v>
      </c>
      <c r="G256" s="7">
        <v>3000</v>
      </c>
      <c r="H256" s="16">
        <v>45203</v>
      </c>
      <c r="I256" s="6">
        <v>40</v>
      </c>
      <c r="J256" s="6" t="s">
        <v>121</v>
      </c>
      <c r="K256" s="6" t="s">
        <v>135</v>
      </c>
      <c r="L256" s="11">
        <f>F256*Controls!$B$6</f>
        <v>24</v>
      </c>
      <c r="M256" s="11">
        <f>G256*Controls!$B$6</f>
        <v>3000</v>
      </c>
      <c r="N256" s="12">
        <f>IF(L256=0,0,SUMIFS('PSI Plan'!$N$6:$N$173,'PSI Plan'!$B$6:$B$173,B256,'PSI Plan'!$C$6:$C$173,I256))</f>
        <v>0</v>
      </c>
      <c r="O256" s="11">
        <f t="shared" si="6"/>
        <v>0</v>
      </c>
      <c r="P256" s="11">
        <f t="shared" si="7"/>
        <v>0</v>
      </c>
      <c r="Q256" s="6"/>
      <c r="R256" s="6"/>
      <c r="S256" s="6"/>
      <c r="T256" s="6"/>
    </row>
    <row r="257" spans="1:20">
      <c r="A257" s="6" t="s">
        <v>393</v>
      </c>
      <c r="B257" s="6" t="s">
        <v>69</v>
      </c>
      <c r="C257" s="6" t="s">
        <v>90</v>
      </c>
      <c r="D257" s="6" t="s">
        <v>119</v>
      </c>
      <c r="E257" s="6" t="s">
        <v>120</v>
      </c>
      <c r="F257" s="7">
        <v>27</v>
      </c>
      <c r="G257" s="7">
        <v>3375</v>
      </c>
      <c r="H257" s="16">
        <v>45239</v>
      </c>
      <c r="I257" s="6">
        <v>45</v>
      </c>
      <c r="J257" s="6" t="s">
        <v>121</v>
      </c>
      <c r="K257" s="6" t="s">
        <v>135</v>
      </c>
      <c r="L257" s="11">
        <f>F257*Controls!$B$6</f>
        <v>27</v>
      </c>
      <c r="M257" s="11">
        <f>G257*Controls!$B$6</f>
        <v>3375</v>
      </c>
      <c r="N257" s="12">
        <f>IF(L257=0,0,SUMIFS('PSI Plan'!$N$6:$N$173,'PSI Plan'!$B$6:$B$173,B257,'PSI Plan'!$C$6:$C$173,I257))</f>
        <v>0</v>
      </c>
      <c r="O257" s="11">
        <f t="shared" si="6"/>
        <v>0</v>
      </c>
      <c r="P257" s="11">
        <f t="shared" si="7"/>
        <v>0</v>
      </c>
      <c r="Q257" s="6"/>
      <c r="R257" s="6"/>
      <c r="S257" s="6"/>
      <c r="T257" s="6"/>
    </row>
    <row r="258" spans="1:20">
      <c r="A258" s="6" t="s">
        <v>394</v>
      </c>
      <c r="B258" s="6" t="s">
        <v>77</v>
      </c>
      <c r="C258" s="6" t="s">
        <v>90</v>
      </c>
      <c r="D258" s="6" t="s">
        <v>119</v>
      </c>
      <c r="E258" s="6" t="s">
        <v>120</v>
      </c>
      <c r="F258" s="7">
        <v>32</v>
      </c>
      <c r="G258" s="7">
        <v>4000</v>
      </c>
      <c r="H258" s="16">
        <v>45236</v>
      </c>
      <c r="I258" s="6">
        <v>45</v>
      </c>
      <c r="J258" s="6" t="s">
        <v>121</v>
      </c>
      <c r="K258" s="6" t="s">
        <v>135</v>
      </c>
      <c r="L258" s="11">
        <f>F258*Controls!$B$6</f>
        <v>32</v>
      </c>
      <c r="M258" s="11">
        <f>G258*Controls!$B$6</f>
        <v>4000</v>
      </c>
      <c r="N258" s="12">
        <f>IF(L258=0,0,SUMIFS('PSI Plan'!$N$6:$N$173,'PSI Plan'!$B$6:$B$173,B258,'PSI Plan'!$C$6:$C$173,I258))</f>
        <v>0</v>
      </c>
      <c r="O258" s="11">
        <f t="shared" ref="O258:O321" si="8">L258*N258</f>
        <v>0</v>
      </c>
      <c r="P258" s="11">
        <f t="shared" ref="P258:P321" si="9">M258*N258</f>
        <v>0</v>
      </c>
      <c r="Q258" s="6"/>
      <c r="R258" s="6"/>
      <c r="S258" s="6"/>
      <c r="T258" s="6"/>
    </row>
    <row r="259" spans="1:20">
      <c r="A259" s="6" t="s">
        <v>395</v>
      </c>
      <c r="B259" s="6" t="s">
        <v>66</v>
      </c>
      <c r="C259" s="6" t="s">
        <v>90</v>
      </c>
      <c r="D259" s="6" t="s">
        <v>119</v>
      </c>
      <c r="E259" s="6" t="s">
        <v>120</v>
      </c>
      <c r="F259" s="7">
        <v>104</v>
      </c>
      <c r="G259" s="7">
        <v>13000</v>
      </c>
      <c r="H259" s="16">
        <v>45237</v>
      </c>
      <c r="I259" s="6">
        <v>45</v>
      </c>
      <c r="J259" s="6" t="s">
        <v>121</v>
      </c>
      <c r="K259" s="6" t="s">
        <v>122</v>
      </c>
      <c r="L259" s="11">
        <f>F259*Controls!$B$6</f>
        <v>104</v>
      </c>
      <c r="M259" s="11">
        <f>G259*Controls!$B$6</f>
        <v>13000</v>
      </c>
      <c r="N259" s="12">
        <f>IF(L259=0,0,SUMIFS('PSI Plan'!$N$6:$N$173,'PSI Plan'!$B$6:$B$173,B259,'PSI Plan'!$C$6:$C$173,I259))</f>
        <v>0</v>
      </c>
      <c r="O259" s="11">
        <f t="shared" si="8"/>
        <v>0</v>
      </c>
      <c r="P259" s="11">
        <f t="shared" si="9"/>
        <v>0</v>
      </c>
      <c r="Q259" s="6"/>
      <c r="R259" s="6"/>
      <c r="S259" s="6"/>
      <c r="T259" s="6"/>
    </row>
    <row r="260" spans="1:20">
      <c r="A260" s="6" t="s">
        <v>396</v>
      </c>
      <c r="B260" s="6" t="s">
        <v>69</v>
      </c>
      <c r="C260" s="6" t="s">
        <v>90</v>
      </c>
      <c r="D260" s="6" t="s">
        <v>119</v>
      </c>
      <c r="E260" s="6" t="s">
        <v>120</v>
      </c>
      <c r="F260" s="7">
        <v>104</v>
      </c>
      <c r="G260" s="7">
        <v>13000</v>
      </c>
      <c r="H260" s="16">
        <v>45273</v>
      </c>
      <c r="I260" s="6">
        <v>50</v>
      </c>
      <c r="J260" s="6" t="s">
        <v>121</v>
      </c>
      <c r="K260" s="6" t="s">
        <v>122</v>
      </c>
      <c r="L260" s="11">
        <f>F260*Controls!$B$6</f>
        <v>104</v>
      </c>
      <c r="M260" s="11">
        <f>G260*Controls!$B$6</f>
        <v>13000</v>
      </c>
      <c r="N260" s="12">
        <f>IF(L260=0,0,SUMIFS('PSI Plan'!$N$6:$N$173,'PSI Plan'!$B$6:$B$173,B260,'PSI Plan'!$C$6:$C$173,I260))</f>
        <v>0</v>
      </c>
      <c r="O260" s="11">
        <f t="shared" si="8"/>
        <v>0</v>
      </c>
      <c r="P260" s="11">
        <f t="shared" si="9"/>
        <v>0</v>
      </c>
      <c r="Q260" s="6"/>
      <c r="R260" s="6"/>
      <c r="S260" s="6"/>
      <c r="T260" s="6"/>
    </row>
    <row r="261" spans="1:20">
      <c r="A261" s="6" t="s">
        <v>397</v>
      </c>
      <c r="B261" s="6" t="s">
        <v>69</v>
      </c>
      <c r="C261" s="6" t="s">
        <v>90</v>
      </c>
      <c r="D261" s="6" t="s">
        <v>119</v>
      </c>
      <c r="E261" s="6" t="s">
        <v>120</v>
      </c>
      <c r="F261" s="7">
        <v>2</v>
      </c>
      <c r="G261" s="7">
        <v>250</v>
      </c>
      <c r="H261" s="16">
        <v>45229</v>
      </c>
      <c r="I261" s="6">
        <v>44</v>
      </c>
      <c r="J261" s="6" t="s">
        <v>121</v>
      </c>
      <c r="K261" s="6" t="s">
        <v>132</v>
      </c>
      <c r="L261" s="11">
        <f>F261*Controls!$B$6</f>
        <v>2</v>
      </c>
      <c r="M261" s="11">
        <f>G261*Controls!$B$6</f>
        <v>250</v>
      </c>
      <c r="N261" s="12">
        <f>IF(L261=0,0,SUMIFS('PSI Plan'!$N$6:$N$173,'PSI Plan'!$B$6:$B$173,B261,'PSI Plan'!$C$6:$C$173,I261))</f>
        <v>0</v>
      </c>
      <c r="O261" s="11">
        <f t="shared" si="8"/>
        <v>0</v>
      </c>
      <c r="P261" s="11">
        <f t="shared" si="9"/>
        <v>0</v>
      </c>
      <c r="Q261" s="6"/>
      <c r="R261" s="6"/>
      <c r="S261" s="6"/>
      <c r="T261" s="6"/>
    </row>
    <row r="262" spans="1:20">
      <c r="A262" s="6" t="s">
        <v>398</v>
      </c>
      <c r="B262" s="6" t="s">
        <v>77</v>
      </c>
      <c r="C262" s="6" t="s">
        <v>90</v>
      </c>
      <c r="D262" s="6" t="s">
        <v>119</v>
      </c>
      <c r="E262" s="6" t="s">
        <v>120</v>
      </c>
      <c r="F262" s="7">
        <v>13</v>
      </c>
      <c r="G262" s="7">
        <v>1625</v>
      </c>
      <c r="H262" s="16">
        <v>45267</v>
      </c>
      <c r="I262" s="6">
        <v>49</v>
      </c>
      <c r="J262" s="6" t="s">
        <v>121</v>
      </c>
      <c r="K262" s="6" t="s">
        <v>132</v>
      </c>
      <c r="L262" s="11">
        <f>F262*Controls!$B$6</f>
        <v>13</v>
      </c>
      <c r="M262" s="11">
        <f>G262*Controls!$B$6</f>
        <v>1625</v>
      </c>
      <c r="N262" s="12">
        <f>IF(L262=0,0,SUMIFS('PSI Plan'!$N$6:$N$173,'PSI Plan'!$B$6:$B$173,B262,'PSI Plan'!$C$6:$C$173,I262))</f>
        <v>0</v>
      </c>
      <c r="O262" s="11">
        <f t="shared" si="8"/>
        <v>0</v>
      </c>
      <c r="P262" s="11">
        <f t="shared" si="9"/>
        <v>0</v>
      </c>
      <c r="Q262" s="6"/>
      <c r="R262" s="6"/>
      <c r="S262" s="6"/>
      <c r="T262" s="6"/>
    </row>
    <row r="263" spans="1:20">
      <c r="A263" s="6" t="s">
        <v>399</v>
      </c>
      <c r="B263" s="6" t="s">
        <v>66</v>
      </c>
      <c r="C263" s="6" t="s">
        <v>90</v>
      </c>
      <c r="D263" s="6" t="s">
        <v>119</v>
      </c>
      <c r="E263" s="6" t="s">
        <v>120</v>
      </c>
      <c r="F263" s="7">
        <v>1</v>
      </c>
      <c r="G263" s="7">
        <v>125</v>
      </c>
      <c r="H263" s="16">
        <v>45201</v>
      </c>
      <c r="I263" s="6">
        <v>40</v>
      </c>
      <c r="J263" s="6" t="s">
        <v>121</v>
      </c>
      <c r="K263" s="6" t="s">
        <v>139</v>
      </c>
      <c r="L263" s="11">
        <f>F263*Controls!$B$6</f>
        <v>1</v>
      </c>
      <c r="M263" s="11">
        <f>G263*Controls!$B$6</f>
        <v>125</v>
      </c>
      <c r="N263" s="12">
        <f>IF(L263=0,0,SUMIFS('PSI Plan'!$N$6:$N$173,'PSI Plan'!$B$6:$B$173,B263,'PSI Plan'!$C$6:$C$173,I263))</f>
        <v>0</v>
      </c>
      <c r="O263" s="11">
        <f t="shared" si="8"/>
        <v>0</v>
      </c>
      <c r="P263" s="11">
        <f t="shared" si="9"/>
        <v>0</v>
      </c>
      <c r="Q263" s="6"/>
      <c r="R263" s="6"/>
      <c r="S263" s="6"/>
      <c r="T263" s="6"/>
    </row>
    <row r="264" spans="1:20">
      <c r="A264" s="6" t="s">
        <v>400</v>
      </c>
      <c r="B264" s="6" t="s">
        <v>77</v>
      </c>
      <c r="C264" s="6" t="s">
        <v>90</v>
      </c>
      <c r="D264" s="6" t="s">
        <v>119</v>
      </c>
      <c r="E264" s="6" t="s">
        <v>120</v>
      </c>
      <c r="F264" s="7">
        <v>8</v>
      </c>
      <c r="G264" s="7">
        <v>1000</v>
      </c>
      <c r="H264" s="16">
        <v>45220</v>
      </c>
      <c r="I264" s="6">
        <v>42</v>
      </c>
      <c r="J264" s="6" t="s">
        <v>121</v>
      </c>
      <c r="K264" s="6" t="s">
        <v>139</v>
      </c>
      <c r="L264" s="11">
        <f>F264*Controls!$B$6</f>
        <v>8</v>
      </c>
      <c r="M264" s="11">
        <f>G264*Controls!$B$6</f>
        <v>1000</v>
      </c>
      <c r="N264" s="12">
        <f>IF(L264=0,0,SUMIFS('PSI Plan'!$N$6:$N$173,'PSI Plan'!$B$6:$B$173,B264,'PSI Plan'!$C$6:$C$173,I264))</f>
        <v>0</v>
      </c>
      <c r="O264" s="11">
        <f t="shared" si="8"/>
        <v>0</v>
      </c>
      <c r="P264" s="11">
        <f t="shared" si="9"/>
        <v>0</v>
      </c>
      <c r="Q264" s="6"/>
      <c r="R264" s="6"/>
      <c r="S264" s="6"/>
      <c r="T264" s="6"/>
    </row>
    <row r="265" spans="1:20">
      <c r="A265" s="6" t="s">
        <v>401</v>
      </c>
      <c r="B265" s="6" t="s">
        <v>69</v>
      </c>
      <c r="C265" s="6" t="s">
        <v>99</v>
      </c>
      <c r="D265" s="6" t="s">
        <v>319</v>
      </c>
      <c r="E265" s="6" t="s">
        <v>120</v>
      </c>
      <c r="F265" s="7">
        <v>45</v>
      </c>
      <c r="G265" s="7">
        <v>5625</v>
      </c>
      <c r="H265" s="16">
        <v>45243</v>
      </c>
      <c r="I265" s="6">
        <v>46</v>
      </c>
      <c r="J265" s="6" t="s">
        <v>121</v>
      </c>
      <c r="K265" s="6" t="s">
        <v>365</v>
      </c>
      <c r="L265" s="11">
        <f>F265*Controls!$B$6</f>
        <v>45</v>
      </c>
      <c r="M265" s="11">
        <f>G265*Controls!$B$6</f>
        <v>5625</v>
      </c>
      <c r="N265" s="12">
        <f>IF(L265=0,0,SUMIFS('PSI Plan'!$N$6:$N$173,'PSI Plan'!$B$6:$B$173,B265,'PSI Plan'!$C$6:$C$173,I265))</f>
        <v>0</v>
      </c>
      <c r="O265" s="11">
        <f t="shared" si="8"/>
        <v>0</v>
      </c>
      <c r="P265" s="11">
        <f t="shared" si="9"/>
        <v>0</v>
      </c>
      <c r="Q265" s="6"/>
      <c r="R265" s="6"/>
      <c r="S265" s="6"/>
      <c r="T265" s="6"/>
    </row>
    <row r="266" spans="1:20">
      <c r="A266" s="6" t="s">
        <v>402</v>
      </c>
      <c r="B266" s="6" t="s">
        <v>77</v>
      </c>
      <c r="C266" s="6" t="s">
        <v>99</v>
      </c>
      <c r="D266" s="6" t="s">
        <v>319</v>
      </c>
      <c r="E266" s="6" t="s">
        <v>120</v>
      </c>
      <c r="F266" s="7">
        <v>41</v>
      </c>
      <c r="G266" s="7">
        <v>5125</v>
      </c>
      <c r="H266" s="16">
        <v>45252</v>
      </c>
      <c r="I266" s="6">
        <v>47</v>
      </c>
      <c r="J266" s="6" t="s">
        <v>121</v>
      </c>
      <c r="K266" s="6" t="s">
        <v>365</v>
      </c>
      <c r="L266" s="11">
        <f>F266*Controls!$B$6</f>
        <v>41</v>
      </c>
      <c r="M266" s="11">
        <f>G266*Controls!$B$6</f>
        <v>5125</v>
      </c>
      <c r="N266" s="12">
        <f>IF(L266=0,0,SUMIFS('PSI Plan'!$N$6:$N$173,'PSI Plan'!$B$6:$B$173,B266,'PSI Plan'!$C$6:$C$173,I266))</f>
        <v>0</v>
      </c>
      <c r="O266" s="11">
        <f t="shared" si="8"/>
        <v>0</v>
      </c>
      <c r="P266" s="11">
        <f t="shared" si="9"/>
        <v>0</v>
      </c>
      <c r="Q266" s="6"/>
      <c r="R266" s="6"/>
      <c r="S266" s="6"/>
      <c r="T266" s="6"/>
    </row>
    <row r="267" spans="1:20">
      <c r="A267" s="6" t="s">
        <v>403</v>
      </c>
      <c r="B267" s="6" t="s">
        <v>66</v>
      </c>
      <c r="C267" s="6" t="s">
        <v>99</v>
      </c>
      <c r="D267" s="6" t="s">
        <v>319</v>
      </c>
      <c r="E267" s="6" t="s">
        <v>120</v>
      </c>
      <c r="F267" s="7">
        <v>28</v>
      </c>
      <c r="G267" s="7">
        <v>3500</v>
      </c>
      <c r="H267" s="16">
        <v>45288</v>
      </c>
      <c r="I267" s="6">
        <v>52</v>
      </c>
      <c r="J267" s="6" t="s">
        <v>121</v>
      </c>
      <c r="K267" s="6" t="s">
        <v>365</v>
      </c>
      <c r="L267" s="11">
        <f>F267*Controls!$B$6</f>
        <v>28</v>
      </c>
      <c r="M267" s="11">
        <f>G267*Controls!$B$6</f>
        <v>3500</v>
      </c>
      <c r="N267" s="12">
        <f>IF(L267=0,0,SUMIFS('PSI Plan'!$N$6:$N$173,'PSI Plan'!$B$6:$B$173,B267,'PSI Plan'!$C$6:$C$173,I267))</f>
        <v>0</v>
      </c>
      <c r="O267" s="11">
        <f t="shared" si="8"/>
        <v>0</v>
      </c>
      <c r="P267" s="11">
        <f t="shared" si="9"/>
        <v>0</v>
      </c>
      <c r="Q267" s="6"/>
      <c r="R267" s="6"/>
      <c r="S267" s="6"/>
      <c r="T267" s="6"/>
    </row>
    <row r="268" spans="1:20">
      <c r="A268" s="6" t="s">
        <v>404</v>
      </c>
      <c r="B268" s="6" t="s">
        <v>69</v>
      </c>
      <c r="C268" s="6" t="s">
        <v>99</v>
      </c>
      <c r="D268" s="6" t="s">
        <v>319</v>
      </c>
      <c r="E268" s="6" t="s">
        <v>120</v>
      </c>
      <c r="F268" s="7">
        <v>52</v>
      </c>
      <c r="G268" s="7">
        <v>6500</v>
      </c>
      <c r="H268" s="16">
        <v>45241</v>
      </c>
      <c r="I268" s="6">
        <v>45</v>
      </c>
      <c r="J268" s="6" t="s">
        <v>121</v>
      </c>
      <c r="K268" s="6" t="s">
        <v>347</v>
      </c>
      <c r="L268" s="11">
        <f>F268*Controls!$B$6</f>
        <v>52</v>
      </c>
      <c r="M268" s="11">
        <f>G268*Controls!$B$6</f>
        <v>6500</v>
      </c>
      <c r="N268" s="12">
        <f>IF(L268=0,0,SUMIFS('PSI Plan'!$N$6:$N$173,'PSI Plan'!$B$6:$B$173,B268,'PSI Plan'!$C$6:$C$173,I268))</f>
        <v>0</v>
      </c>
      <c r="O268" s="11">
        <f t="shared" si="8"/>
        <v>0</v>
      </c>
      <c r="P268" s="11">
        <f t="shared" si="9"/>
        <v>0</v>
      </c>
      <c r="Q268" s="6"/>
      <c r="R268" s="6"/>
      <c r="S268" s="6"/>
      <c r="T268" s="6"/>
    </row>
    <row r="269" spans="1:20">
      <c r="A269" s="6" t="s">
        <v>405</v>
      </c>
      <c r="B269" s="6" t="s">
        <v>77</v>
      </c>
      <c r="C269" s="6" t="s">
        <v>99</v>
      </c>
      <c r="D269" s="6" t="s">
        <v>319</v>
      </c>
      <c r="E269" s="6" t="s">
        <v>120</v>
      </c>
      <c r="F269" s="7">
        <v>104</v>
      </c>
      <c r="G269" s="7">
        <v>13000</v>
      </c>
      <c r="H269" s="16">
        <v>45287</v>
      </c>
      <c r="I269" s="6">
        <v>52</v>
      </c>
      <c r="J269" s="6" t="s">
        <v>121</v>
      </c>
      <c r="K269" s="6" t="s">
        <v>365</v>
      </c>
      <c r="L269" s="11">
        <f>F269*Controls!$B$6</f>
        <v>104</v>
      </c>
      <c r="M269" s="11">
        <f>G269*Controls!$B$6</f>
        <v>13000</v>
      </c>
      <c r="N269" s="12">
        <f>IF(L269=0,0,SUMIFS('PSI Plan'!$N$6:$N$173,'PSI Plan'!$B$6:$B$173,B269,'PSI Plan'!$C$6:$C$173,I269))</f>
        <v>0</v>
      </c>
      <c r="O269" s="11">
        <f t="shared" si="8"/>
        <v>0</v>
      </c>
      <c r="P269" s="11">
        <f t="shared" si="9"/>
        <v>0</v>
      </c>
      <c r="Q269" s="6"/>
      <c r="R269" s="6"/>
      <c r="S269" s="6"/>
      <c r="T269" s="6"/>
    </row>
    <row r="270" spans="1:20">
      <c r="A270" s="6" t="s">
        <v>406</v>
      </c>
      <c r="B270" s="6" t="s">
        <v>66</v>
      </c>
      <c r="C270" s="6" t="s">
        <v>99</v>
      </c>
      <c r="D270" s="6" t="s">
        <v>319</v>
      </c>
      <c r="E270" s="6" t="s">
        <v>120</v>
      </c>
      <c r="F270" s="7">
        <v>52</v>
      </c>
      <c r="G270" s="7">
        <v>6500</v>
      </c>
      <c r="H270" s="16">
        <v>45254</v>
      </c>
      <c r="I270" s="6">
        <v>47</v>
      </c>
      <c r="J270" s="6" t="s">
        <v>121</v>
      </c>
      <c r="K270" s="6" t="s">
        <v>365</v>
      </c>
      <c r="L270" s="11">
        <f>F270*Controls!$B$6</f>
        <v>52</v>
      </c>
      <c r="M270" s="11">
        <f>G270*Controls!$B$6</f>
        <v>6500</v>
      </c>
      <c r="N270" s="12">
        <f>IF(L270=0,0,SUMIFS('PSI Plan'!$N$6:$N$173,'PSI Plan'!$B$6:$B$173,B270,'PSI Plan'!$C$6:$C$173,I270))</f>
        <v>0</v>
      </c>
      <c r="O270" s="11">
        <f t="shared" si="8"/>
        <v>0</v>
      </c>
      <c r="P270" s="11">
        <f t="shared" si="9"/>
        <v>0</v>
      </c>
      <c r="Q270" s="6"/>
      <c r="R270" s="6"/>
      <c r="S270" s="6"/>
      <c r="T270" s="6"/>
    </row>
    <row r="271" spans="1:20">
      <c r="A271" s="6" t="s">
        <v>407</v>
      </c>
      <c r="B271" s="6" t="s">
        <v>66</v>
      </c>
      <c r="C271" s="6" t="s">
        <v>90</v>
      </c>
      <c r="D271" s="6" t="s">
        <v>119</v>
      </c>
      <c r="E271" s="6" t="s">
        <v>120</v>
      </c>
      <c r="F271" s="7">
        <v>13</v>
      </c>
      <c r="G271" s="7">
        <v>1625</v>
      </c>
      <c r="H271" s="16">
        <v>45202</v>
      </c>
      <c r="I271" s="6">
        <v>40</v>
      </c>
      <c r="J271" s="6" t="s">
        <v>121</v>
      </c>
      <c r="K271" s="6" t="s">
        <v>135</v>
      </c>
      <c r="L271" s="11">
        <f>F271*Controls!$B$6</f>
        <v>13</v>
      </c>
      <c r="M271" s="11">
        <f>G271*Controls!$B$6</f>
        <v>1625</v>
      </c>
      <c r="N271" s="12">
        <f>IF(L271=0,0,SUMIFS('PSI Plan'!$N$6:$N$173,'PSI Plan'!$B$6:$B$173,B271,'PSI Plan'!$C$6:$C$173,I271))</f>
        <v>0</v>
      </c>
      <c r="O271" s="11">
        <f t="shared" si="8"/>
        <v>0</v>
      </c>
      <c r="P271" s="11">
        <f t="shared" si="9"/>
        <v>0</v>
      </c>
      <c r="Q271" s="6"/>
      <c r="R271" s="6"/>
      <c r="S271" s="6"/>
      <c r="T271" s="6"/>
    </row>
    <row r="272" spans="1:20">
      <c r="A272" s="6" t="s">
        <v>408</v>
      </c>
      <c r="B272" s="6" t="s">
        <v>69</v>
      </c>
      <c r="C272" s="6" t="s">
        <v>90</v>
      </c>
      <c r="D272" s="6" t="s">
        <v>119</v>
      </c>
      <c r="E272" s="6" t="s">
        <v>120</v>
      </c>
      <c r="F272" s="7">
        <v>14</v>
      </c>
      <c r="G272" s="7">
        <v>1750</v>
      </c>
      <c r="H272" s="16">
        <v>45262</v>
      </c>
      <c r="I272" s="6">
        <v>48</v>
      </c>
      <c r="J272" s="6" t="s">
        <v>121</v>
      </c>
      <c r="K272" s="6" t="s">
        <v>135</v>
      </c>
      <c r="L272" s="11">
        <f>F272*Controls!$B$6</f>
        <v>14</v>
      </c>
      <c r="M272" s="11">
        <f>G272*Controls!$B$6</f>
        <v>1750</v>
      </c>
      <c r="N272" s="12">
        <f>IF(L272=0,0,SUMIFS('PSI Plan'!$N$6:$N$173,'PSI Plan'!$B$6:$B$173,B272,'PSI Plan'!$C$6:$C$173,I272))</f>
        <v>0</v>
      </c>
      <c r="O272" s="11">
        <f t="shared" si="8"/>
        <v>0</v>
      </c>
      <c r="P272" s="11">
        <f t="shared" si="9"/>
        <v>0</v>
      </c>
      <c r="Q272" s="6"/>
      <c r="R272" s="6"/>
      <c r="S272" s="6"/>
      <c r="T272" s="6"/>
    </row>
    <row r="273" spans="1:20">
      <c r="A273" s="6" t="s">
        <v>409</v>
      </c>
      <c r="B273" s="6" t="s">
        <v>77</v>
      </c>
      <c r="C273" s="6" t="s">
        <v>90</v>
      </c>
      <c r="D273" s="6" t="s">
        <v>119</v>
      </c>
      <c r="E273" s="6" t="s">
        <v>120</v>
      </c>
      <c r="F273" s="7">
        <v>9</v>
      </c>
      <c r="G273" s="7">
        <v>1125</v>
      </c>
      <c r="H273" s="16">
        <v>45212</v>
      </c>
      <c r="I273" s="6">
        <v>41</v>
      </c>
      <c r="J273" s="6" t="s">
        <v>121</v>
      </c>
      <c r="K273" s="6" t="s">
        <v>135</v>
      </c>
      <c r="L273" s="11">
        <f>F273*Controls!$B$6</f>
        <v>9</v>
      </c>
      <c r="M273" s="11">
        <f>G273*Controls!$B$6</f>
        <v>1125</v>
      </c>
      <c r="N273" s="12">
        <f>IF(L273=0,0,SUMIFS('PSI Plan'!$N$6:$N$173,'PSI Plan'!$B$6:$B$173,B273,'PSI Plan'!$C$6:$C$173,I273))</f>
        <v>0</v>
      </c>
      <c r="O273" s="11">
        <f t="shared" si="8"/>
        <v>0</v>
      </c>
      <c r="P273" s="11">
        <f t="shared" si="9"/>
        <v>0</v>
      </c>
      <c r="Q273" s="6"/>
      <c r="R273" s="6"/>
      <c r="S273" s="6"/>
      <c r="T273" s="6"/>
    </row>
    <row r="274" spans="1:20">
      <c r="A274" s="6" t="s">
        <v>410</v>
      </c>
      <c r="B274" s="6" t="s">
        <v>66</v>
      </c>
      <c r="C274" s="6" t="s">
        <v>90</v>
      </c>
      <c r="D274" s="6" t="s">
        <v>119</v>
      </c>
      <c r="E274" s="6" t="s">
        <v>120</v>
      </c>
      <c r="F274" s="7">
        <v>52</v>
      </c>
      <c r="G274" s="7">
        <v>6500</v>
      </c>
      <c r="H274" s="16">
        <v>45289</v>
      </c>
      <c r="I274" s="6">
        <v>52</v>
      </c>
      <c r="J274" s="6" t="s">
        <v>121</v>
      </c>
      <c r="K274" s="6" t="s">
        <v>122</v>
      </c>
      <c r="L274" s="11">
        <f>F274*Controls!$B$6</f>
        <v>52</v>
      </c>
      <c r="M274" s="11">
        <f>G274*Controls!$B$6</f>
        <v>6500</v>
      </c>
      <c r="N274" s="12">
        <f>IF(L274=0,0,SUMIFS('PSI Plan'!$N$6:$N$173,'PSI Plan'!$B$6:$B$173,B274,'PSI Plan'!$C$6:$C$173,I274))</f>
        <v>0</v>
      </c>
      <c r="O274" s="11">
        <f t="shared" si="8"/>
        <v>0</v>
      </c>
      <c r="P274" s="11">
        <f t="shared" si="9"/>
        <v>0</v>
      </c>
      <c r="Q274" s="6"/>
      <c r="R274" s="6"/>
      <c r="S274" s="6"/>
      <c r="T274" s="6"/>
    </row>
    <row r="275" spans="1:20">
      <c r="A275" s="6" t="s">
        <v>411</v>
      </c>
      <c r="B275" s="6" t="s">
        <v>66</v>
      </c>
      <c r="C275" s="6" t="s">
        <v>90</v>
      </c>
      <c r="D275" s="6" t="s">
        <v>119</v>
      </c>
      <c r="E275" s="6" t="s">
        <v>120</v>
      </c>
      <c r="F275" s="7">
        <v>156</v>
      </c>
      <c r="G275" s="7">
        <v>19500</v>
      </c>
      <c r="H275" s="16">
        <v>45278</v>
      </c>
      <c r="I275" s="6">
        <v>51</v>
      </c>
      <c r="J275" s="6" t="s">
        <v>121</v>
      </c>
      <c r="K275" s="6" t="s">
        <v>122</v>
      </c>
      <c r="L275" s="11">
        <f>F275*Controls!$B$6</f>
        <v>156</v>
      </c>
      <c r="M275" s="11">
        <f>G275*Controls!$B$6</f>
        <v>19500</v>
      </c>
      <c r="N275" s="12">
        <f>IF(L275=0,0,SUMIFS('PSI Plan'!$N$6:$N$173,'PSI Plan'!$B$6:$B$173,B275,'PSI Plan'!$C$6:$C$173,I275))</f>
        <v>0</v>
      </c>
      <c r="O275" s="11">
        <f t="shared" si="8"/>
        <v>0</v>
      </c>
      <c r="P275" s="11">
        <f t="shared" si="9"/>
        <v>0</v>
      </c>
      <c r="Q275" s="6"/>
      <c r="R275" s="6"/>
      <c r="S275" s="6"/>
      <c r="T275" s="6"/>
    </row>
    <row r="276" spans="1:20">
      <c r="A276" s="6" t="s">
        <v>412</v>
      </c>
      <c r="B276" s="6" t="s">
        <v>77</v>
      </c>
      <c r="C276" s="6" t="s">
        <v>90</v>
      </c>
      <c r="D276" s="6" t="s">
        <v>119</v>
      </c>
      <c r="E276" s="6" t="s">
        <v>120</v>
      </c>
      <c r="F276" s="7">
        <v>6</v>
      </c>
      <c r="G276" s="7">
        <v>750</v>
      </c>
      <c r="H276" s="16">
        <v>45213</v>
      </c>
      <c r="I276" s="6">
        <v>41</v>
      </c>
      <c r="J276" s="6" t="s">
        <v>121</v>
      </c>
      <c r="K276" s="6" t="s">
        <v>139</v>
      </c>
      <c r="L276" s="11">
        <f>F276*Controls!$B$6</f>
        <v>6</v>
      </c>
      <c r="M276" s="11">
        <f>G276*Controls!$B$6</f>
        <v>750</v>
      </c>
      <c r="N276" s="12">
        <f>IF(L276=0,0,SUMIFS('PSI Plan'!$N$6:$N$173,'PSI Plan'!$B$6:$B$173,B276,'PSI Plan'!$C$6:$C$173,I276))</f>
        <v>0</v>
      </c>
      <c r="O276" s="11">
        <f t="shared" si="8"/>
        <v>0</v>
      </c>
      <c r="P276" s="11">
        <f t="shared" si="9"/>
        <v>0</v>
      </c>
      <c r="Q276" s="6"/>
      <c r="R276" s="6"/>
      <c r="S276" s="6"/>
      <c r="T276" s="6"/>
    </row>
    <row r="277" spans="1:20">
      <c r="A277" s="6" t="s">
        <v>413</v>
      </c>
      <c r="B277" s="6" t="s">
        <v>77</v>
      </c>
      <c r="C277" s="6" t="s">
        <v>90</v>
      </c>
      <c r="D277" s="6" t="s">
        <v>119</v>
      </c>
      <c r="E277" s="6" t="s">
        <v>120</v>
      </c>
      <c r="F277" s="7">
        <v>52</v>
      </c>
      <c r="G277" s="7">
        <v>6500</v>
      </c>
      <c r="H277" s="16">
        <v>45248</v>
      </c>
      <c r="I277" s="6">
        <v>46</v>
      </c>
      <c r="J277" s="6" t="s">
        <v>121</v>
      </c>
      <c r="K277" s="6" t="s">
        <v>171</v>
      </c>
      <c r="L277" s="11">
        <f>F277*Controls!$B$6</f>
        <v>52</v>
      </c>
      <c r="M277" s="11">
        <f>G277*Controls!$B$6</f>
        <v>6500</v>
      </c>
      <c r="N277" s="12">
        <f>IF(L277=0,0,SUMIFS('PSI Plan'!$N$6:$N$173,'PSI Plan'!$B$6:$B$173,B277,'PSI Plan'!$C$6:$C$173,I277))</f>
        <v>0</v>
      </c>
      <c r="O277" s="11">
        <f t="shared" si="8"/>
        <v>0</v>
      </c>
      <c r="P277" s="11">
        <f t="shared" si="9"/>
        <v>0</v>
      </c>
      <c r="Q277" s="6"/>
      <c r="R277" s="6"/>
      <c r="S277" s="6"/>
      <c r="T277" s="6"/>
    </row>
    <row r="278" spans="1:20">
      <c r="A278" s="6" t="s">
        <v>414</v>
      </c>
      <c r="B278" s="6" t="s">
        <v>69</v>
      </c>
      <c r="C278" s="6" t="s">
        <v>90</v>
      </c>
      <c r="D278" s="6" t="s">
        <v>119</v>
      </c>
      <c r="E278" s="6" t="s">
        <v>120</v>
      </c>
      <c r="F278" s="7">
        <v>13</v>
      </c>
      <c r="G278" s="7">
        <v>1625</v>
      </c>
      <c r="H278" s="16">
        <v>45278</v>
      </c>
      <c r="I278" s="6">
        <v>51</v>
      </c>
      <c r="J278" s="6" t="s">
        <v>121</v>
      </c>
      <c r="K278" s="6" t="s">
        <v>171</v>
      </c>
      <c r="L278" s="11">
        <f>F278*Controls!$B$6</f>
        <v>13</v>
      </c>
      <c r="M278" s="11">
        <f>G278*Controls!$B$6</f>
        <v>1625</v>
      </c>
      <c r="N278" s="12">
        <f>IF(L278=0,0,SUMIFS('PSI Plan'!$N$6:$N$173,'PSI Plan'!$B$6:$B$173,B278,'PSI Plan'!$C$6:$C$173,I278))</f>
        <v>0</v>
      </c>
      <c r="O278" s="11">
        <f t="shared" si="8"/>
        <v>0</v>
      </c>
      <c r="P278" s="11">
        <f t="shared" si="9"/>
        <v>0</v>
      </c>
      <c r="Q278" s="6"/>
      <c r="R278" s="6"/>
      <c r="S278" s="6"/>
      <c r="T278" s="6"/>
    </row>
    <row r="279" spans="1:20">
      <c r="A279" s="6" t="s">
        <v>415</v>
      </c>
      <c r="B279" s="6" t="s">
        <v>66</v>
      </c>
      <c r="C279" s="6" t="s">
        <v>99</v>
      </c>
      <c r="D279" s="6" t="s">
        <v>319</v>
      </c>
      <c r="E279" s="6" t="s">
        <v>120</v>
      </c>
      <c r="F279" s="7">
        <v>58</v>
      </c>
      <c r="G279" s="7">
        <v>7250</v>
      </c>
      <c r="H279" s="16">
        <v>45286</v>
      </c>
      <c r="I279" s="6">
        <v>52</v>
      </c>
      <c r="J279" s="6" t="s">
        <v>121</v>
      </c>
      <c r="K279" s="6" t="s">
        <v>361</v>
      </c>
      <c r="L279" s="11">
        <f>F279*Controls!$B$6</f>
        <v>58</v>
      </c>
      <c r="M279" s="11">
        <f>G279*Controls!$B$6</f>
        <v>7250</v>
      </c>
      <c r="N279" s="12">
        <f>IF(L279=0,0,SUMIFS('PSI Plan'!$N$6:$N$173,'PSI Plan'!$B$6:$B$173,B279,'PSI Plan'!$C$6:$C$173,I279))</f>
        <v>0</v>
      </c>
      <c r="O279" s="11">
        <f t="shared" si="8"/>
        <v>0</v>
      </c>
      <c r="P279" s="11">
        <f t="shared" si="9"/>
        <v>0</v>
      </c>
      <c r="Q279" s="6"/>
      <c r="R279" s="6"/>
      <c r="S279" s="6"/>
      <c r="T279" s="6"/>
    </row>
    <row r="280" spans="1:20">
      <c r="A280" s="6" t="s">
        <v>416</v>
      </c>
      <c r="B280" s="6" t="s">
        <v>77</v>
      </c>
      <c r="C280" s="6" t="s">
        <v>99</v>
      </c>
      <c r="D280" s="6" t="s">
        <v>319</v>
      </c>
      <c r="E280" s="6" t="s">
        <v>120</v>
      </c>
      <c r="F280" s="7">
        <v>58</v>
      </c>
      <c r="G280" s="7">
        <v>7250</v>
      </c>
      <c r="H280" s="16">
        <v>45250</v>
      </c>
      <c r="I280" s="6">
        <v>47</v>
      </c>
      <c r="J280" s="6" t="s">
        <v>121</v>
      </c>
      <c r="K280" s="6" t="s">
        <v>361</v>
      </c>
      <c r="L280" s="11">
        <f>F280*Controls!$B$6</f>
        <v>58</v>
      </c>
      <c r="M280" s="11">
        <f>G280*Controls!$B$6</f>
        <v>7250</v>
      </c>
      <c r="N280" s="12">
        <f>IF(L280=0,0,SUMIFS('PSI Plan'!$N$6:$N$173,'PSI Plan'!$B$6:$B$173,B280,'PSI Plan'!$C$6:$C$173,I280))</f>
        <v>0</v>
      </c>
      <c r="O280" s="11">
        <f t="shared" si="8"/>
        <v>0</v>
      </c>
      <c r="P280" s="11">
        <f t="shared" si="9"/>
        <v>0</v>
      </c>
      <c r="Q280" s="6"/>
      <c r="R280" s="6"/>
      <c r="S280" s="6"/>
      <c r="T280" s="6"/>
    </row>
    <row r="281" spans="1:20">
      <c r="A281" s="6" t="s">
        <v>417</v>
      </c>
      <c r="B281" s="6" t="s">
        <v>69</v>
      </c>
      <c r="C281" s="6" t="s">
        <v>99</v>
      </c>
      <c r="D281" s="6" t="s">
        <v>319</v>
      </c>
      <c r="E281" s="6" t="s">
        <v>120</v>
      </c>
      <c r="F281" s="7">
        <v>391</v>
      </c>
      <c r="G281" s="7">
        <v>48875</v>
      </c>
      <c r="H281" s="16">
        <v>45278</v>
      </c>
      <c r="I281" s="6">
        <v>51</v>
      </c>
      <c r="J281" s="6" t="s">
        <v>121</v>
      </c>
      <c r="K281" s="6" t="s">
        <v>361</v>
      </c>
      <c r="L281" s="11">
        <f>F281*Controls!$B$6</f>
        <v>391</v>
      </c>
      <c r="M281" s="11">
        <f>G281*Controls!$B$6</f>
        <v>48875</v>
      </c>
      <c r="N281" s="12">
        <f>IF(L281=0,0,SUMIFS('PSI Plan'!$N$6:$N$173,'PSI Plan'!$B$6:$B$173,B281,'PSI Plan'!$C$6:$C$173,I281))</f>
        <v>0</v>
      </c>
      <c r="O281" s="11">
        <f t="shared" si="8"/>
        <v>0</v>
      </c>
      <c r="P281" s="11">
        <f t="shared" si="9"/>
        <v>0</v>
      </c>
      <c r="Q281" s="6"/>
      <c r="R281" s="6"/>
      <c r="S281" s="6"/>
      <c r="T281" s="6"/>
    </row>
    <row r="282" spans="1:20">
      <c r="A282" s="6" t="s">
        <v>418</v>
      </c>
      <c r="B282" s="6" t="s">
        <v>77</v>
      </c>
      <c r="C282" s="6" t="s">
        <v>90</v>
      </c>
      <c r="D282" s="6" t="s">
        <v>119</v>
      </c>
      <c r="E282" s="6" t="s">
        <v>120</v>
      </c>
      <c r="F282" s="7">
        <v>52</v>
      </c>
      <c r="G282" s="7">
        <v>6500</v>
      </c>
      <c r="H282" s="16">
        <v>45273</v>
      </c>
      <c r="I282" s="6">
        <v>50</v>
      </c>
      <c r="J282" s="6" t="s">
        <v>121</v>
      </c>
      <c r="K282" s="6" t="s">
        <v>171</v>
      </c>
      <c r="L282" s="11">
        <f>F282*Controls!$B$6</f>
        <v>52</v>
      </c>
      <c r="M282" s="11">
        <f>G282*Controls!$B$6</f>
        <v>6500</v>
      </c>
      <c r="N282" s="12">
        <f>IF(L282=0,0,SUMIFS('PSI Plan'!$N$6:$N$173,'PSI Plan'!$B$6:$B$173,B282,'PSI Plan'!$C$6:$C$173,I282))</f>
        <v>0</v>
      </c>
      <c r="O282" s="11">
        <f t="shared" si="8"/>
        <v>0</v>
      </c>
      <c r="P282" s="11">
        <f t="shared" si="9"/>
        <v>0</v>
      </c>
      <c r="Q282" s="6"/>
      <c r="R282" s="6"/>
      <c r="S282" s="6"/>
      <c r="T282" s="6"/>
    </row>
    <row r="283" spans="1:20">
      <c r="A283" s="6" t="s">
        <v>419</v>
      </c>
      <c r="B283" s="6" t="s">
        <v>69</v>
      </c>
      <c r="C283" s="6" t="s">
        <v>90</v>
      </c>
      <c r="D283" s="6" t="s">
        <v>119</v>
      </c>
      <c r="E283" s="6" t="s">
        <v>120</v>
      </c>
      <c r="F283" s="7">
        <v>2</v>
      </c>
      <c r="G283" s="7">
        <v>250</v>
      </c>
      <c r="H283" s="16">
        <v>45202</v>
      </c>
      <c r="I283" s="6">
        <v>40</v>
      </c>
      <c r="J283" s="6" t="s">
        <v>121</v>
      </c>
      <c r="K283" s="6" t="s">
        <v>132</v>
      </c>
      <c r="L283" s="11">
        <f>F283*Controls!$B$6</f>
        <v>2</v>
      </c>
      <c r="M283" s="11">
        <f>G283*Controls!$B$6</f>
        <v>250</v>
      </c>
      <c r="N283" s="12">
        <f>IF(L283=0,0,SUMIFS('PSI Plan'!$N$6:$N$173,'PSI Plan'!$B$6:$B$173,B283,'PSI Plan'!$C$6:$C$173,I283))</f>
        <v>0</v>
      </c>
      <c r="O283" s="11">
        <f t="shared" si="8"/>
        <v>0</v>
      </c>
      <c r="P283" s="11">
        <f t="shared" si="9"/>
        <v>0</v>
      </c>
      <c r="Q283" s="6"/>
      <c r="R283" s="6"/>
      <c r="S283" s="6"/>
      <c r="T283" s="6"/>
    </row>
    <row r="284" spans="1:20">
      <c r="A284" s="6" t="s">
        <v>420</v>
      </c>
      <c r="B284" s="6" t="s">
        <v>77</v>
      </c>
      <c r="C284" s="6" t="s">
        <v>90</v>
      </c>
      <c r="D284" s="6" t="s">
        <v>119</v>
      </c>
      <c r="E284" s="6" t="s">
        <v>120</v>
      </c>
      <c r="F284" s="7">
        <v>3</v>
      </c>
      <c r="G284" s="7">
        <v>375</v>
      </c>
      <c r="H284" s="16">
        <v>45204</v>
      </c>
      <c r="I284" s="6">
        <v>40</v>
      </c>
      <c r="J284" s="6" t="s">
        <v>121</v>
      </c>
      <c r="K284" s="6" t="s">
        <v>132</v>
      </c>
      <c r="L284" s="11">
        <f>F284*Controls!$B$6</f>
        <v>3</v>
      </c>
      <c r="M284" s="11">
        <f>G284*Controls!$B$6</f>
        <v>375</v>
      </c>
      <c r="N284" s="12">
        <f>IF(L284=0,0,SUMIFS('PSI Plan'!$N$6:$N$173,'PSI Plan'!$B$6:$B$173,B284,'PSI Plan'!$C$6:$C$173,I284))</f>
        <v>0</v>
      </c>
      <c r="O284" s="11">
        <f t="shared" si="8"/>
        <v>0</v>
      </c>
      <c r="P284" s="11">
        <f t="shared" si="9"/>
        <v>0</v>
      </c>
      <c r="Q284" s="6"/>
      <c r="R284" s="6"/>
      <c r="S284" s="6"/>
      <c r="T284" s="6"/>
    </row>
    <row r="285" spans="1:20">
      <c r="A285" s="6" t="s">
        <v>421</v>
      </c>
      <c r="B285" s="6" t="s">
        <v>66</v>
      </c>
      <c r="C285" s="6" t="s">
        <v>90</v>
      </c>
      <c r="D285" s="6" t="s">
        <v>119</v>
      </c>
      <c r="E285" s="6" t="s">
        <v>120</v>
      </c>
      <c r="F285" s="7">
        <v>8</v>
      </c>
      <c r="G285" s="7">
        <v>1000</v>
      </c>
      <c r="H285" s="16">
        <v>45238</v>
      </c>
      <c r="I285" s="6">
        <v>45</v>
      </c>
      <c r="J285" s="6" t="s">
        <v>121</v>
      </c>
      <c r="K285" s="6" t="s">
        <v>139</v>
      </c>
      <c r="L285" s="11">
        <f>F285*Controls!$B$6</f>
        <v>8</v>
      </c>
      <c r="M285" s="11">
        <f>G285*Controls!$B$6</f>
        <v>1000</v>
      </c>
      <c r="N285" s="12">
        <f>IF(L285=0,0,SUMIFS('PSI Plan'!$N$6:$N$173,'PSI Plan'!$B$6:$B$173,B285,'PSI Plan'!$C$6:$C$173,I285))</f>
        <v>0</v>
      </c>
      <c r="O285" s="11">
        <f t="shared" si="8"/>
        <v>0</v>
      </c>
      <c r="P285" s="11">
        <f t="shared" si="9"/>
        <v>0</v>
      </c>
      <c r="Q285" s="6"/>
      <c r="R285" s="6"/>
      <c r="S285" s="6"/>
      <c r="T285" s="6"/>
    </row>
    <row r="286" spans="1:20">
      <c r="A286" s="6" t="s">
        <v>422</v>
      </c>
      <c r="B286" s="6" t="s">
        <v>69</v>
      </c>
      <c r="C286" s="6" t="s">
        <v>90</v>
      </c>
      <c r="D286" s="6" t="s">
        <v>119</v>
      </c>
      <c r="E286" s="6" t="s">
        <v>120</v>
      </c>
      <c r="F286" s="7">
        <v>3</v>
      </c>
      <c r="G286" s="7">
        <v>375</v>
      </c>
      <c r="H286" s="16">
        <v>45203</v>
      </c>
      <c r="I286" s="6">
        <v>40</v>
      </c>
      <c r="J286" s="6" t="s">
        <v>121</v>
      </c>
      <c r="K286" s="6" t="s">
        <v>139</v>
      </c>
      <c r="L286" s="11">
        <f>F286*Controls!$B$6</f>
        <v>3</v>
      </c>
      <c r="M286" s="11">
        <f>G286*Controls!$B$6</f>
        <v>375</v>
      </c>
      <c r="N286" s="12">
        <f>IF(L286=0,0,SUMIFS('PSI Plan'!$N$6:$N$173,'PSI Plan'!$B$6:$B$173,B286,'PSI Plan'!$C$6:$C$173,I286))</f>
        <v>0</v>
      </c>
      <c r="O286" s="11">
        <f t="shared" si="8"/>
        <v>0</v>
      </c>
      <c r="P286" s="11">
        <f t="shared" si="9"/>
        <v>0</v>
      </c>
      <c r="Q286" s="6"/>
      <c r="R286" s="6"/>
      <c r="S286" s="6"/>
      <c r="T286" s="6"/>
    </row>
    <row r="287" spans="1:20">
      <c r="A287" s="6" t="s">
        <v>423</v>
      </c>
      <c r="B287" s="6" t="s">
        <v>77</v>
      </c>
      <c r="C287" s="6" t="s">
        <v>90</v>
      </c>
      <c r="D287" s="6" t="s">
        <v>119</v>
      </c>
      <c r="E287" s="6" t="s">
        <v>120</v>
      </c>
      <c r="F287" s="7">
        <v>7</v>
      </c>
      <c r="G287" s="7">
        <v>875</v>
      </c>
      <c r="H287" s="16">
        <v>45283</v>
      </c>
      <c r="I287" s="6">
        <v>51</v>
      </c>
      <c r="J287" s="6" t="s">
        <v>121</v>
      </c>
      <c r="K287" s="6" t="s">
        <v>139</v>
      </c>
      <c r="L287" s="11">
        <f>F287*Controls!$B$6</f>
        <v>7</v>
      </c>
      <c r="M287" s="11">
        <f>G287*Controls!$B$6</f>
        <v>875</v>
      </c>
      <c r="N287" s="12">
        <f>IF(L287=0,0,SUMIFS('PSI Plan'!$N$6:$N$173,'PSI Plan'!$B$6:$B$173,B287,'PSI Plan'!$C$6:$C$173,I287))</f>
        <v>0</v>
      </c>
      <c r="O287" s="11">
        <f t="shared" si="8"/>
        <v>0</v>
      </c>
      <c r="P287" s="11">
        <f t="shared" si="9"/>
        <v>0</v>
      </c>
      <c r="Q287" s="6"/>
      <c r="R287" s="6"/>
      <c r="S287" s="6"/>
      <c r="T287" s="6"/>
    </row>
    <row r="288" spans="1:20">
      <c r="A288" s="6" t="s">
        <v>424</v>
      </c>
      <c r="B288" s="6" t="s">
        <v>66</v>
      </c>
      <c r="C288" s="6" t="s">
        <v>90</v>
      </c>
      <c r="D288" s="6" t="s">
        <v>119</v>
      </c>
      <c r="E288" s="6" t="s">
        <v>120</v>
      </c>
      <c r="F288" s="7">
        <v>27</v>
      </c>
      <c r="G288" s="7">
        <v>3375</v>
      </c>
      <c r="H288" s="16">
        <v>45284</v>
      </c>
      <c r="I288" s="6">
        <v>52</v>
      </c>
      <c r="J288" s="6" t="s">
        <v>121</v>
      </c>
      <c r="K288" s="6" t="s">
        <v>135</v>
      </c>
      <c r="L288" s="11">
        <f>F288*Controls!$B$6</f>
        <v>27</v>
      </c>
      <c r="M288" s="11">
        <f>G288*Controls!$B$6</f>
        <v>3375</v>
      </c>
      <c r="N288" s="12">
        <f>IF(L288=0,0,SUMIFS('PSI Plan'!$N$6:$N$173,'PSI Plan'!$B$6:$B$173,B288,'PSI Plan'!$C$6:$C$173,I288))</f>
        <v>0</v>
      </c>
      <c r="O288" s="11">
        <f t="shared" si="8"/>
        <v>0</v>
      </c>
      <c r="P288" s="11">
        <f t="shared" si="9"/>
        <v>0</v>
      </c>
      <c r="Q288" s="6"/>
      <c r="R288" s="6"/>
      <c r="S288" s="6"/>
      <c r="T288" s="6"/>
    </row>
    <row r="289" spans="1:20">
      <c r="A289" s="6" t="s">
        <v>425</v>
      </c>
      <c r="B289" s="6" t="s">
        <v>69</v>
      </c>
      <c r="C289" s="6" t="s">
        <v>90</v>
      </c>
      <c r="D289" s="6" t="s">
        <v>119</v>
      </c>
      <c r="E289" s="6" t="s">
        <v>120</v>
      </c>
      <c r="F289" s="7">
        <v>2</v>
      </c>
      <c r="G289" s="7">
        <v>250</v>
      </c>
      <c r="H289" s="16">
        <v>45284</v>
      </c>
      <c r="I289" s="6">
        <v>52</v>
      </c>
      <c r="J289" s="6" t="s">
        <v>121</v>
      </c>
      <c r="K289" s="6" t="s">
        <v>135</v>
      </c>
      <c r="L289" s="11">
        <f>F289*Controls!$B$6</f>
        <v>2</v>
      </c>
      <c r="M289" s="11">
        <f>G289*Controls!$B$6</f>
        <v>250</v>
      </c>
      <c r="N289" s="12">
        <f>IF(L289=0,0,SUMIFS('PSI Plan'!$N$6:$N$173,'PSI Plan'!$B$6:$B$173,B289,'PSI Plan'!$C$6:$C$173,I289))</f>
        <v>0</v>
      </c>
      <c r="O289" s="11">
        <f t="shared" si="8"/>
        <v>0</v>
      </c>
      <c r="P289" s="11">
        <f t="shared" si="9"/>
        <v>0</v>
      </c>
      <c r="Q289" s="6"/>
      <c r="R289" s="6"/>
      <c r="S289" s="6"/>
      <c r="T289" s="6"/>
    </row>
    <row r="290" spans="1:20">
      <c r="A290" s="6" t="s">
        <v>426</v>
      </c>
      <c r="B290" s="6" t="s">
        <v>77</v>
      </c>
      <c r="C290" s="6" t="s">
        <v>90</v>
      </c>
      <c r="D290" s="6" t="s">
        <v>119</v>
      </c>
      <c r="E290" s="6" t="s">
        <v>120</v>
      </c>
      <c r="F290" s="7">
        <v>5</v>
      </c>
      <c r="G290" s="7">
        <v>625</v>
      </c>
      <c r="H290" s="16">
        <v>45218</v>
      </c>
      <c r="I290" s="6">
        <v>42</v>
      </c>
      <c r="J290" s="6" t="s">
        <v>121</v>
      </c>
      <c r="K290" s="6" t="s">
        <v>135</v>
      </c>
      <c r="L290" s="11">
        <f>F290*Controls!$B$6</f>
        <v>5</v>
      </c>
      <c r="M290" s="11">
        <f>G290*Controls!$B$6</f>
        <v>625</v>
      </c>
      <c r="N290" s="12">
        <f>IF(L290=0,0,SUMIFS('PSI Plan'!$N$6:$N$173,'PSI Plan'!$B$6:$B$173,B290,'PSI Plan'!$C$6:$C$173,I290))</f>
        <v>0</v>
      </c>
      <c r="O290" s="11">
        <f t="shared" si="8"/>
        <v>0</v>
      </c>
      <c r="P290" s="11">
        <f t="shared" si="9"/>
        <v>0</v>
      </c>
      <c r="Q290" s="6"/>
      <c r="R290" s="6"/>
      <c r="S290" s="6"/>
      <c r="T290" s="6"/>
    </row>
    <row r="291" spans="1:20">
      <c r="A291" s="6" t="s">
        <v>427</v>
      </c>
      <c r="B291" s="6" t="s">
        <v>69</v>
      </c>
      <c r="C291" s="6" t="s">
        <v>90</v>
      </c>
      <c r="D291" s="6" t="s">
        <v>119</v>
      </c>
      <c r="E291" s="6" t="s">
        <v>120</v>
      </c>
      <c r="F291" s="7">
        <v>12</v>
      </c>
      <c r="G291" s="7">
        <v>1500</v>
      </c>
      <c r="H291" s="16">
        <v>45215</v>
      </c>
      <c r="I291" s="6">
        <v>42</v>
      </c>
      <c r="J291" s="6" t="s">
        <v>121</v>
      </c>
      <c r="K291" s="6" t="s">
        <v>298</v>
      </c>
      <c r="L291" s="11">
        <f>F291*Controls!$B$6</f>
        <v>12</v>
      </c>
      <c r="M291" s="11">
        <f>G291*Controls!$B$6</f>
        <v>1500</v>
      </c>
      <c r="N291" s="12">
        <f>IF(L291=0,0,SUMIFS('PSI Plan'!$N$6:$N$173,'PSI Plan'!$B$6:$B$173,B291,'PSI Plan'!$C$6:$C$173,I291))</f>
        <v>0</v>
      </c>
      <c r="O291" s="11">
        <f t="shared" si="8"/>
        <v>0</v>
      </c>
      <c r="P291" s="11">
        <f t="shared" si="9"/>
        <v>0</v>
      </c>
      <c r="Q291" s="6"/>
      <c r="R291" s="6"/>
      <c r="S291" s="6"/>
      <c r="T291" s="6"/>
    </row>
    <row r="292" spans="1:20">
      <c r="A292" s="6" t="s">
        <v>428</v>
      </c>
      <c r="B292" s="6" t="s">
        <v>77</v>
      </c>
      <c r="C292" s="6" t="s">
        <v>90</v>
      </c>
      <c r="D292" s="6" t="s">
        <v>119</v>
      </c>
      <c r="E292" s="6" t="s">
        <v>120</v>
      </c>
      <c r="F292" s="7">
        <v>52</v>
      </c>
      <c r="G292" s="7">
        <v>6500</v>
      </c>
      <c r="H292" s="16">
        <v>45215</v>
      </c>
      <c r="I292" s="6">
        <v>42</v>
      </c>
      <c r="J292" s="6" t="s">
        <v>121</v>
      </c>
      <c r="K292" s="6" t="s">
        <v>122</v>
      </c>
      <c r="L292" s="11">
        <f>F292*Controls!$B$6</f>
        <v>52</v>
      </c>
      <c r="M292" s="11">
        <f>G292*Controls!$B$6</f>
        <v>6500</v>
      </c>
      <c r="N292" s="12">
        <f>IF(L292=0,0,SUMIFS('PSI Plan'!$N$6:$N$173,'PSI Plan'!$B$6:$B$173,B292,'PSI Plan'!$C$6:$C$173,I292))</f>
        <v>0</v>
      </c>
      <c r="O292" s="11">
        <f t="shared" si="8"/>
        <v>0</v>
      </c>
      <c r="P292" s="11">
        <f t="shared" si="9"/>
        <v>0</v>
      </c>
      <c r="Q292" s="6"/>
      <c r="R292" s="6"/>
      <c r="S292" s="6"/>
      <c r="T292" s="6"/>
    </row>
    <row r="293" spans="1:20">
      <c r="A293" s="6" t="s">
        <v>429</v>
      </c>
      <c r="B293" s="6" t="s">
        <v>66</v>
      </c>
      <c r="C293" s="6" t="s">
        <v>99</v>
      </c>
      <c r="D293" s="6" t="s">
        <v>319</v>
      </c>
      <c r="E293" s="6" t="s">
        <v>120</v>
      </c>
      <c r="F293" s="7">
        <v>44</v>
      </c>
      <c r="G293" s="7">
        <v>5500</v>
      </c>
      <c r="H293" s="16">
        <v>45206</v>
      </c>
      <c r="I293" s="6">
        <v>40</v>
      </c>
      <c r="J293" s="6" t="s">
        <v>121</v>
      </c>
      <c r="K293" s="6" t="s">
        <v>374</v>
      </c>
      <c r="L293" s="11">
        <f>F293*Controls!$B$6</f>
        <v>44</v>
      </c>
      <c r="M293" s="11">
        <f>G293*Controls!$B$6</f>
        <v>5500</v>
      </c>
      <c r="N293" s="12">
        <f>IF(L293=0,0,SUMIFS('PSI Plan'!$N$6:$N$173,'PSI Plan'!$B$6:$B$173,B293,'PSI Plan'!$C$6:$C$173,I293))</f>
        <v>0</v>
      </c>
      <c r="O293" s="11">
        <f t="shared" si="8"/>
        <v>0</v>
      </c>
      <c r="P293" s="11">
        <f t="shared" si="9"/>
        <v>0</v>
      </c>
      <c r="Q293" s="6"/>
      <c r="R293" s="6"/>
      <c r="S293" s="6"/>
      <c r="T293" s="6"/>
    </row>
    <row r="294" spans="1:20">
      <c r="A294" s="6" t="s">
        <v>430</v>
      </c>
      <c r="B294" s="6" t="s">
        <v>77</v>
      </c>
      <c r="C294" s="6" t="s">
        <v>99</v>
      </c>
      <c r="D294" s="6" t="s">
        <v>319</v>
      </c>
      <c r="E294" s="6" t="s">
        <v>120</v>
      </c>
      <c r="F294" s="7">
        <v>32</v>
      </c>
      <c r="G294" s="7">
        <v>4000</v>
      </c>
      <c r="H294" s="16">
        <v>45253</v>
      </c>
      <c r="I294" s="6">
        <v>47</v>
      </c>
      <c r="J294" s="6" t="s">
        <v>121</v>
      </c>
      <c r="K294" s="6" t="s">
        <v>374</v>
      </c>
      <c r="L294" s="11">
        <f>F294*Controls!$B$6</f>
        <v>32</v>
      </c>
      <c r="M294" s="11">
        <f>G294*Controls!$B$6</f>
        <v>4000</v>
      </c>
      <c r="N294" s="12">
        <f>IF(L294=0,0,SUMIFS('PSI Plan'!$N$6:$N$173,'PSI Plan'!$B$6:$B$173,B294,'PSI Plan'!$C$6:$C$173,I294))</f>
        <v>0</v>
      </c>
      <c r="O294" s="11">
        <f t="shared" si="8"/>
        <v>0</v>
      </c>
      <c r="P294" s="11">
        <f t="shared" si="9"/>
        <v>0</v>
      </c>
      <c r="Q294" s="6"/>
      <c r="R294" s="6"/>
      <c r="S294" s="6"/>
      <c r="T294" s="6"/>
    </row>
    <row r="295" spans="1:20">
      <c r="A295" s="6" t="s">
        <v>431</v>
      </c>
      <c r="B295" s="6" t="s">
        <v>69</v>
      </c>
      <c r="C295" s="6" t="s">
        <v>99</v>
      </c>
      <c r="D295" s="6" t="s">
        <v>319</v>
      </c>
      <c r="E295" s="6" t="s">
        <v>120</v>
      </c>
      <c r="F295" s="7">
        <v>12</v>
      </c>
      <c r="G295" s="7">
        <v>1500</v>
      </c>
      <c r="H295" s="16">
        <v>45279</v>
      </c>
      <c r="I295" s="6">
        <v>51</v>
      </c>
      <c r="J295" s="6" t="s">
        <v>121</v>
      </c>
      <c r="K295" s="6" t="s">
        <v>374</v>
      </c>
      <c r="L295" s="11">
        <f>F295*Controls!$B$6</f>
        <v>12</v>
      </c>
      <c r="M295" s="11">
        <f>G295*Controls!$B$6</f>
        <v>1500</v>
      </c>
      <c r="N295" s="12">
        <f>IF(L295=0,0,SUMIFS('PSI Plan'!$N$6:$N$173,'PSI Plan'!$B$6:$B$173,B295,'PSI Plan'!$C$6:$C$173,I295))</f>
        <v>0</v>
      </c>
      <c r="O295" s="11">
        <f t="shared" si="8"/>
        <v>0</v>
      </c>
      <c r="P295" s="11">
        <f t="shared" si="9"/>
        <v>0</v>
      </c>
      <c r="Q295" s="6"/>
      <c r="R295" s="6"/>
      <c r="S295" s="6"/>
      <c r="T295" s="6"/>
    </row>
    <row r="296" spans="1:20">
      <c r="A296" s="6" t="s">
        <v>432</v>
      </c>
      <c r="B296" s="6" t="s">
        <v>66</v>
      </c>
      <c r="C296" s="6" t="s">
        <v>99</v>
      </c>
      <c r="D296" s="6" t="s">
        <v>319</v>
      </c>
      <c r="E296" s="6" t="s">
        <v>120</v>
      </c>
      <c r="F296" s="7">
        <v>41</v>
      </c>
      <c r="G296" s="7">
        <v>5125</v>
      </c>
      <c r="H296" s="16">
        <v>45214</v>
      </c>
      <c r="I296" s="6">
        <v>42</v>
      </c>
      <c r="J296" s="6" t="s">
        <v>121</v>
      </c>
      <c r="K296" s="6" t="s">
        <v>324</v>
      </c>
      <c r="L296" s="11">
        <f>F296*Controls!$B$6</f>
        <v>41</v>
      </c>
      <c r="M296" s="11">
        <f>G296*Controls!$B$6</f>
        <v>5125</v>
      </c>
      <c r="N296" s="12">
        <f>IF(L296=0,0,SUMIFS('PSI Plan'!$N$6:$N$173,'PSI Plan'!$B$6:$B$173,B296,'PSI Plan'!$C$6:$C$173,I296))</f>
        <v>0.59807073954983925</v>
      </c>
      <c r="O296" s="11">
        <f t="shared" si="8"/>
        <v>24.520900321543408</v>
      </c>
      <c r="P296" s="11">
        <f t="shared" si="9"/>
        <v>3065.1125401929262</v>
      </c>
      <c r="Q296" s="6"/>
      <c r="R296" s="6"/>
      <c r="S296" s="6"/>
      <c r="T296" s="6"/>
    </row>
    <row r="297" spans="1:20">
      <c r="A297" s="6" t="s">
        <v>433</v>
      </c>
      <c r="B297" s="6" t="s">
        <v>77</v>
      </c>
      <c r="C297" s="6" t="s">
        <v>99</v>
      </c>
      <c r="D297" s="6" t="s">
        <v>319</v>
      </c>
      <c r="E297" s="6" t="s">
        <v>120</v>
      </c>
      <c r="F297" s="7">
        <v>66</v>
      </c>
      <c r="G297" s="7">
        <v>8250</v>
      </c>
      <c r="H297" s="16">
        <v>45213</v>
      </c>
      <c r="I297" s="6">
        <v>41</v>
      </c>
      <c r="J297" s="6" t="s">
        <v>121</v>
      </c>
      <c r="K297" s="6" t="s">
        <v>324</v>
      </c>
      <c r="L297" s="11">
        <f>F297*Controls!$B$6</f>
        <v>66</v>
      </c>
      <c r="M297" s="11">
        <f>G297*Controls!$B$6</f>
        <v>8250</v>
      </c>
      <c r="N297" s="12">
        <f>IF(L297=0,0,SUMIFS('PSI Plan'!$N$6:$N$173,'PSI Plan'!$B$6:$B$173,B297,'PSI Plan'!$C$6:$C$173,I297))</f>
        <v>0</v>
      </c>
      <c r="O297" s="11">
        <f t="shared" si="8"/>
        <v>0</v>
      </c>
      <c r="P297" s="11">
        <f t="shared" si="9"/>
        <v>0</v>
      </c>
      <c r="Q297" s="6"/>
      <c r="R297" s="6"/>
      <c r="S297" s="6"/>
      <c r="T297" s="6"/>
    </row>
    <row r="298" spans="1:20">
      <c r="A298" s="6" t="s">
        <v>434</v>
      </c>
      <c r="B298" s="6" t="s">
        <v>69</v>
      </c>
      <c r="C298" s="6" t="s">
        <v>99</v>
      </c>
      <c r="D298" s="6" t="s">
        <v>319</v>
      </c>
      <c r="E298" s="6" t="s">
        <v>120</v>
      </c>
      <c r="F298" s="7">
        <v>104</v>
      </c>
      <c r="G298" s="7">
        <v>13000</v>
      </c>
      <c r="H298" s="16">
        <v>45218</v>
      </c>
      <c r="I298" s="6">
        <v>42</v>
      </c>
      <c r="J298" s="6" t="s">
        <v>121</v>
      </c>
      <c r="K298" s="6" t="s">
        <v>324</v>
      </c>
      <c r="L298" s="11">
        <f>F298*Controls!$B$6</f>
        <v>104</v>
      </c>
      <c r="M298" s="11">
        <f>G298*Controls!$B$6</f>
        <v>13000</v>
      </c>
      <c r="N298" s="12">
        <f>IF(L298=0,0,SUMIFS('PSI Plan'!$N$6:$N$173,'PSI Plan'!$B$6:$B$173,B298,'PSI Plan'!$C$6:$C$173,I298))</f>
        <v>0</v>
      </c>
      <c r="O298" s="11">
        <f t="shared" si="8"/>
        <v>0</v>
      </c>
      <c r="P298" s="11">
        <f t="shared" si="9"/>
        <v>0</v>
      </c>
      <c r="Q298" s="6"/>
      <c r="R298" s="6"/>
      <c r="S298" s="6"/>
      <c r="T298" s="6"/>
    </row>
    <row r="299" spans="1:20">
      <c r="A299" s="6" t="s">
        <v>435</v>
      </c>
      <c r="B299" s="6" t="s">
        <v>66</v>
      </c>
      <c r="C299" s="6" t="s">
        <v>99</v>
      </c>
      <c r="D299" s="6" t="s">
        <v>319</v>
      </c>
      <c r="E299" s="6" t="s">
        <v>120</v>
      </c>
      <c r="F299" s="7">
        <v>78</v>
      </c>
      <c r="G299" s="7">
        <v>9750</v>
      </c>
      <c r="H299" s="16">
        <v>45248</v>
      </c>
      <c r="I299" s="6">
        <v>46</v>
      </c>
      <c r="J299" s="6" t="s">
        <v>121</v>
      </c>
      <c r="K299" s="6" t="s">
        <v>320</v>
      </c>
      <c r="L299" s="11">
        <f>F299*Controls!$B$6</f>
        <v>78</v>
      </c>
      <c r="M299" s="11">
        <f>G299*Controls!$B$6</f>
        <v>9750</v>
      </c>
      <c r="N299" s="12">
        <f>IF(L299=0,0,SUMIFS('PSI Plan'!$N$6:$N$173,'PSI Plan'!$B$6:$B$173,B299,'PSI Plan'!$C$6:$C$173,I299))</f>
        <v>0</v>
      </c>
      <c r="O299" s="11">
        <f t="shared" si="8"/>
        <v>0</v>
      </c>
      <c r="P299" s="11">
        <f t="shared" si="9"/>
        <v>0</v>
      </c>
      <c r="Q299" s="6"/>
      <c r="R299" s="6"/>
      <c r="S299" s="6"/>
      <c r="T299" s="6"/>
    </row>
    <row r="300" spans="1:20">
      <c r="A300" s="6" t="s">
        <v>436</v>
      </c>
      <c r="B300" s="6" t="s">
        <v>77</v>
      </c>
      <c r="C300" s="6" t="s">
        <v>99</v>
      </c>
      <c r="D300" s="6" t="s">
        <v>319</v>
      </c>
      <c r="E300" s="6" t="s">
        <v>120</v>
      </c>
      <c r="F300" s="7">
        <v>76</v>
      </c>
      <c r="G300" s="7">
        <v>9500</v>
      </c>
      <c r="H300" s="16">
        <v>45228</v>
      </c>
      <c r="I300" s="6">
        <v>44</v>
      </c>
      <c r="J300" s="6" t="s">
        <v>121</v>
      </c>
      <c r="K300" s="6" t="s">
        <v>320</v>
      </c>
      <c r="L300" s="11">
        <f>F300*Controls!$B$6</f>
        <v>76</v>
      </c>
      <c r="M300" s="11">
        <f>G300*Controls!$B$6</f>
        <v>9500</v>
      </c>
      <c r="N300" s="12">
        <f>IF(L300=0,0,SUMIFS('PSI Plan'!$N$6:$N$173,'PSI Plan'!$B$6:$B$173,B300,'PSI Plan'!$C$6:$C$173,I300))</f>
        <v>0</v>
      </c>
      <c r="O300" s="11">
        <f t="shared" si="8"/>
        <v>0</v>
      </c>
      <c r="P300" s="11">
        <f t="shared" si="9"/>
        <v>0</v>
      </c>
      <c r="Q300" s="6"/>
      <c r="R300" s="6"/>
      <c r="S300" s="6"/>
      <c r="T300" s="6"/>
    </row>
    <row r="301" spans="1:20">
      <c r="A301" s="6" t="s">
        <v>437</v>
      </c>
      <c r="B301" s="6" t="s">
        <v>69</v>
      </c>
      <c r="C301" s="6" t="s">
        <v>99</v>
      </c>
      <c r="D301" s="6" t="s">
        <v>319</v>
      </c>
      <c r="E301" s="6" t="s">
        <v>120</v>
      </c>
      <c r="F301" s="7">
        <v>81</v>
      </c>
      <c r="G301" s="7">
        <v>10125</v>
      </c>
      <c r="H301" s="16">
        <v>45214</v>
      </c>
      <c r="I301" s="6">
        <v>42</v>
      </c>
      <c r="J301" s="6" t="s">
        <v>121</v>
      </c>
      <c r="K301" s="6" t="s">
        <v>320</v>
      </c>
      <c r="L301" s="11">
        <f>F301*Controls!$B$6</f>
        <v>81</v>
      </c>
      <c r="M301" s="11">
        <f>G301*Controls!$B$6</f>
        <v>10125</v>
      </c>
      <c r="N301" s="12">
        <f>IF(L301=0,0,SUMIFS('PSI Plan'!$N$6:$N$173,'PSI Plan'!$B$6:$B$173,B301,'PSI Plan'!$C$6:$C$173,I301))</f>
        <v>0</v>
      </c>
      <c r="O301" s="11">
        <f t="shared" si="8"/>
        <v>0</v>
      </c>
      <c r="P301" s="11">
        <f t="shared" si="9"/>
        <v>0</v>
      </c>
      <c r="Q301" s="6"/>
      <c r="R301" s="6"/>
      <c r="S301" s="6"/>
      <c r="T301" s="6"/>
    </row>
    <row r="302" spans="1:20">
      <c r="A302" s="6" t="s">
        <v>438</v>
      </c>
      <c r="B302" s="6" t="s">
        <v>69</v>
      </c>
      <c r="C302" s="6" t="s">
        <v>90</v>
      </c>
      <c r="D302" s="6" t="s">
        <v>119</v>
      </c>
      <c r="E302" s="6" t="s">
        <v>120</v>
      </c>
      <c r="F302" s="7">
        <v>7</v>
      </c>
      <c r="G302" s="7">
        <v>875</v>
      </c>
      <c r="H302" s="16">
        <v>45213</v>
      </c>
      <c r="I302" s="6">
        <v>41</v>
      </c>
      <c r="J302" s="6" t="s">
        <v>121</v>
      </c>
      <c r="K302" s="6" t="s">
        <v>171</v>
      </c>
      <c r="L302" s="11">
        <f>F302*Controls!$B$6</f>
        <v>7</v>
      </c>
      <c r="M302" s="11">
        <f>G302*Controls!$B$6</f>
        <v>875</v>
      </c>
      <c r="N302" s="12">
        <f>IF(L302=0,0,SUMIFS('PSI Plan'!$N$6:$N$173,'PSI Plan'!$B$6:$B$173,B302,'PSI Plan'!$C$6:$C$173,I302))</f>
        <v>0</v>
      </c>
      <c r="O302" s="11">
        <f t="shared" si="8"/>
        <v>0</v>
      </c>
      <c r="P302" s="11">
        <f t="shared" si="9"/>
        <v>0</v>
      </c>
      <c r="Q302" s="6"/>
      <c r="R302" s="6"/>
      <c r="S302" s="6"/>
      <c r="T302" s="6"/>
    </row>
    <row r="303" spans="1:20">
      <c r="A303" s="6" t="s">
        <v>439</v>
      </c>
      <c r="B303" s="6" t="s">
        <v>77</v>
      </c>
      <c r="C303" s="6" t="s">
        <v>90</v>
      </c>
      <c r="D303" s="6" t="s">
        <v>119</v>
      </c>
      <c r="E303" s="6" t="s">
        <v>120</v>
      </c>
      <c r="F303" s="7">
        <v>17</v>
      </c>
      <c r="G303" s="7">
        <v>2125</v>
      </c>
      <c r="H303" s="16">
        <v>45256</v>
      </c>
      <c r="I303" s="6">
        <v>48</v>
      </c>
      <c r="J303" s="6" t="s">
        <v>121</v>
      </c>
      <c r="K303" s="6" t="s">
        <v>171</v>
      </c>
      <c r="L303" s="11">
        <f>F303*Controls!$B$6</f>
        <v>17</v>
      </c>
      <c r="M303" s="11">
        <f>G303*Controls!$B$6</f>
        <v>2125</v>
      </c>
      <c r="N303" s="12">
        <f>IF(L303=0,0,SUMIFS('PSI Plan'!$N$6:$N$173,'PSI Plan'!$B$6:$B$173,B303,'PSI Plan'!$C$6:$C$173,I303))</f>
        <v>0</v>
      </c>
      <c r="O303" s="11">
        <f t="shared" si="8"/>
        <v>0</v>
      </c>
      <c r="P303" s="11">
        <f t="shared" si="9"/>
        <v>0</v>
      </c>
      <c r="Q303" s="6"/>
      <c r="R303" s="6"/>
      <c r="S303" s="6"/>
      <c r="T303" s="6"/>
    </row>
    <row r="304" spans="1:20">
      <c r="A304" s="6" t="s">
        <v>440</v>
      </c>
      <c r="B304" s="6" t="s">
        <v>66</v>
      </c>
      <c r="C304" s="6" t="s">
        <v>90</v>
      </c>
      <c r="D304" s="6" t="s">
        <v>119</v>
      </c>
      <c r="E304" s="6" t="s">
        <v>120</v>
      </c>
      <c r="F304" s="7">
        <v>12</v>
      </c>
      <c r="G304" s="7">
        <v>1500</v>
      </c>
      <c r="H304" s="16">
        <v>45207</v>
      </c>
      <c r="I304" s="6">
        <v>41</v>
      </c>
      <c r="J304" s="6" t="s">
        <v>121</v>
      </c>
      <c r="K304" s="6" t="s">
        <v>135</v>
      </c>
      <c r="L304" s="11">
        <f>F304*Controls!$B$6</f>
        <v>12</v>
      </c>
      <c r="M304" s="11">
        <f>G304*Controls!$B$6</f>
        <v>1500</v>
      </c>
      <c r="N304" s="12">
        <f>IF(L304=0,0,SUMIFS('PSI Plan'!$N$6:$N$173,'PSI Plan'!$B$6:$B$173,B304,'PSI Plan'!$C$6:$C$173,I304))</f>
        <v>0.22897465437788017</v>
      </c>
      <c r="O304" s="11">
        <f t="shared" si="8"/>
        <v>2.7476958525345623</v>
      </c>
      <c r="P304" s="11">
        <f t="shared" si="9"/>
        <v>343.46198156682027</v>
      </c>
      <c r="Q304" s="6"/>
      <c r="R304" s="6"/>
      <c r="S304" s="6"/>
      <c r="T304" s="6"/>
    </row>
    <row r="305" spans="1:20">
      <c r="A305" s="6" t="s">
        <v>441</v>
      </c>
      <c r="B305" s="6" t="s">
        <v>69</v>
      </c>
      <c r="C305" s="6" t="s">
        <v>90</v>
      </c>
      <c r="D305" s="6" t="s">
        <v>119</v>
      </c>
      <c r="E305" s="6" t="s">
        <v>120</v>
      </c>
      <c r="F305" s="7">
        <v>7</v>
      </c>
      <c r="G305" s="7">
        <v>875</v>
      </c>
      <c r="H305" s="16">
        <v>45222</v>
      </c>
      <c r="I305" s="6">
        <v>43</v>
      </c>
      <c r="J305" s="6" t="s">
        <v>121</v>
      </c>
      <c r="K305" s="6" t="s">
        <v>135</v>
      </c>
      <c r="L305" s="11">
        <f>F305*Controls!$B$6</f>
        <v>7</v>
      </c>
      <c r="M305" s="11">
        <f>G305*Controls!$B$6</f>
        <v>875</v>
      </c>
      <c r="N305" s="12">
        <f>IF(L305=0,0,SUMIFS('PSI Plan'!$N$6:$N$173,'PSI Plan'!$B$6:$B$173,B305,'PSI Plan'!$C$6:$C$173,I305))</f>
        <v>0</v>
      </c>
      <c r="O305" s="11">
        <f t="shared" si="8"/>
        <v>0</v>
      </c>
      <c r="P305" s="11">
        <f t="shared" si="9"/>
        <v>0</v>
      </c>
      <c r="Q305" s="6"/>
      <c r="R305" s="6"/>
      <c r="S305" s="6"/>
      <c r="T305" s="6"/>
    </row>
    <row r="306" spans="1:20">
      <c r="A306" s="6" t="s">
        <v>442</v>
      </c>
      <c r="B306" s="6" t="s">
        <v>66</v>
      </c>
      <c r="C306" s="6" t="s">
        <v>90</v>
      </c>
      <c r="D306" s="6" t="s">
        <v>119</v>
      </c>
      <c r="E306" s="6" t="s">
        <v>120</v>
      </c>
      <c r="F306" s="7">
        <v>4</v>
      </c>
      <c r="G306" s="7">
        <v>500</v>
      </c>
      <c r="H306" s="16">
        <v>45280</v>
      </c>
      <c r="I306" s="6">
        <v>51</v>
      </c>
      <c r="J306" s="6" t="s">
        <v>121</v>
      </c>
      <c r="K306" s="6" t="s">
        <v>139</v>
      </c>
      <c r="L306" s="11">
        <f>F306*Controls!$B$6</f>
        <v>4</v>
      </c>
      <c r="M306" s="11">
        <f>G306*Controls!$B$6</f>
        <v>500</v>
      </c>
      <c r="N306" s="12">
        <f>IF(L306=0,0,SUMIFS('PSI Plan'!$N$6:$N$173,'PSI Plan'!$B$6:$B$173,B306,'PSI Plan'!$C$6:$C$173,I306))</f>
        <v>0</v>
      </c>
      <c r="O306" s="11">
        <f t="shared" si="8"/>
        <v>0</v>
      </c>
      <c r="P306" s="11">
        <f t="shared" si="9"/>
        <v>0</v>
      </c>
      <c r="Q306" s="6"/>
      <c r="R306" s="6"/>
      <c r="S306" s="6"/>
      <c r="T306" s="6"/>
    </row>
    <row r="307" spans="1:20">
      <c r="A307" s="6" t="s">
        <v>443</v>
      </c>
      <c r="B307" s="6" t="s">
        <v>69</v>
      </c>
      <c r="C307" s="6" t="s">
        <v>90</v>
      </c>
      <c r="D307" s="6" t="s">
        <v>119</v>
      </c>
      <c r="E307" s="6" t="s">
        <v>120</v>
      </c>
      <c r="F307" s="7">
        <v>12</v>
      </c>
      <c r="G307" s="7">
        <v>1500</v>
      </c>
      <c r="H307" s="16">
        <v>45271</v>
      </c>
      <c r="I307" s="6">
        <v>50</v>
      </c>
      <c r="J307" s="6" t="s">
        <v>121</v>
      </c>
      <c r="K307" s="6" t="s">
        <v>139</v>
      </c>
      <c r="L307" s="11">
        <f>F307*Controls!$B$6</f>
        <v>12</v>
      </c>
      <c r="M307" s="11">
        <f>G307*Controls!$B$6</f>
        <v>1500</v>
      </c>
      <c r="N307" s="12">
        <f>IF(L307=0,0,SUMIFS('PSI Plan'!$N$6:$N$173,'PSI Plan'!$B$6:$B$173,B307,'PSI Plan'!$C$6:$C$173,I307))</f>
        <v>0</v>
      </c>
      <c r="O307" s="11">
        <f t="shared" si="8"/>
        <v>0</v>
      </c>
      <c r="P307" s="11">
        <f t="shared" si="9"/>
        <v>0</v>
      </c>
      <c r="Q307" s="6"/>
      <c r="R307" s="6"/>
      <c r="S307" s="6"/>
      <c r="T307" s="6"/>
    </row>
    <row r="308" spans="1:20">
      <c r="A308" s="6" t="s">
        <v>444</v>
      </c>
      <c r="B308" s="6" t="s">
        <v>69</v>
      </c>
      <c r="C308" s="6" t="s">
        <v>90</v>
      </c>
      <c r="D308" s="6" t="s">
        <v>119</v>
      </c>
      <c r="E308" s="6" t="s">
        <v>120</v>
      </c>
      <c r="F308" s="7">
        <v>9</v>
      </c>
      <c r="G308" s="7">
        <v>1125</v>
      </c>
      <c r="H308" s="16">
        <v>45256</v>
      </c>
      <c r="I308" s="6">
        <v>48</v>
      </c>
      <c r="J308" s="6" t="s">
        <v>121</v>
      </c>
      <c r="K308" s="6" t="s">
        <v>298</v>
      </c>
      <c r="L308" s="11">
        <f>F308*Controls!$B$6</f>
        <v>9</v>
      </c>
      <c r="M308" s="11">
        <f>G308*Controls!$B$6</f>
        <v>1125</v>
      </c>
      <c r="N308" s="12">
        <f>IF(L308=0,0,SUMIFS('PSI Plan'!$N$6:$N$173,'PSI Plan'!$B$6:$B$173,B308,'PSI Plan'!$C$6:$C$173,I308))</f>
        <v>0</v>
      </c>
      <c r="O308" s="11">
        <f t="shared" si="8"/>
        <v>0</v>
      </c>
      <c r="P308" s="11">
        <f t="shared" si="9"/>
        <v>0</v>
      </c>
      <c r="Q308" s="6"/>
      <c r="R308" s="6"/>
      <c r="S308" s="6"/>
      <c r="T308" s="6"/>
    </row>
    <row r="309" spans="1:20">
      <c r="A309" s="6" t="s">
        <v>445</v>
      </c>
      <c r="B309" s="6" t="s">
        <v>66</v>
      </c>
      <c r="C309" s="6" t="s">
        <v>90</v>
      </c>
      <c r="D309" s="6" t="s">
        <v>119</v>
      </c>
      <c r="E309" s="6" t="s">
        <v>120</v>
      </c>
      <c r="F309" s="7">
        <v>52</v>
      </c>
      <c r="G309" s="7">
        <v>6500</v>
      </c>
      <c r="H309" s="16">
        <v>45224</v>
      </c>
      <c r="I309" s="6">
        <v>43</v>
      </c>
      <c r="J309" s="6" t="s">
        <v>121</v>
      </c>
      <c r="K309" s="6" t="s">
        <v>122</v>
      </c>
      <c r="L309" s="11">
        <f>F309*Controls!$B$6</f>
        <v>52</v>
      </c>
      <c r="M309" s="11">
        <f>G309*Controls!$B$6</f>
        <v>6500</v>
      </c>
      <c r="N309" s="12">
        <f>IF(L309=0,0,SUMIFS('PSI Plan'!$N$6:$N$173,'PSI Plan'!$B$6:$B$173,B309,'PSI Plan'!$C$6:$C$173,I309))</f>
        <v>0</v>
      </c>
      <c r="O309" s="11">
        <f t="shared" si="8"/>
        <v>0</v>
      </c>
      <c r="P309" s="11">
        <f t="shared" si="9"/>
        <v>0</v>
      </c>
      <c r="Q309" s="6"/>
      <c r="R309" s="6"/>
      <c r="S309" s="6"/>
      <c r="T309" s="6"/>
    </row>
    <row r="310" spans="1:20">
      <c r="A310" s="6" t="s">
        <v>446</v>
      </c>
      <c r="B310" s="6" t="s">
        <v>69</v>
      </c>
      <c r="C310" s="6" t="s">
        <v>90</v>
      </c>
      <c r="D310" s="6" t="s">
        <v>119</v>
      </c>
      <c r="E310" s="6" t="s">
        <v>120</v>
      </c>
      <c r="F310" s="7">
        <v>52</v>
      </c>
      <c r="G310" s="7">
        <v>6500</v>
      </c>
      <c r="H310" s="16">
        <v>45229</v>
      </c>
      <c r="I310" s="6">
        <v>44</v>
      </c>
      <c r="J310" s="6" t="s">
        <v>121</v>
      </c>
      <c r="K310" s="6" t="s">
        <v>122</v>
      </c>
      <c r="L310" s="11">
        <f>F310*Controls!$B$6</f>
        <v>52</v>
      </c>
      <c r="M310" s="11">
        <f>G310*Controls!$B$6</f>
        <v>6500</v>
      </c>
      <c r="N310" s="12">
        <f>IF(L310=0,0,SUMIFS('PSI Plan'!$N$6:$N$173,'PSI Plan'!$B$6:$B$173,B310,'PSI Plan'!$C$6:$C$173,I310))</f>
        <v>0</v>
      </c>
      <c r="O310" s="11">
        <f t="shared" si="8"/>
        <v>0</v>
      </c>
      <c r="P310" s="11">
        <f t="shared" si="9"/>
        <v>0</v>
      </c>
      <c r="Q310" s="6"/>
      <c r="R310" s="6"/>
      <c r="S310" s="6"/>
      <c r="T310" s="6"/>
    </row>
    <row r="311" spans="1:20">
      <c r="A311" s="6" t="s">
        <v>447</v>
      </c>
      <c r="B311" s="6" t="s">
        <v>77</v>
      </c>
      <c r="C311" s="6" t="s">
        <v>90</v>
      </c>
      <c r="D311" s="6" t="s">
        <v>119</v>
      </c>
      <c r="E311" s="6" t="s">
        <v>120</v>
      </c>
      <c r="F311" s="7">
        <v>9</v>
      </c>
      <c r="G311" s="7">
        <v>1125</v>
      </c>
      <c r="H311" s="16">
        <v>45280</v>
      </c>
      <c r="I311" s="6">
        <v>51</v>
      </c>
      <c r="J311" s="6" t="s">
        <v>121</v>
      </c>
      <c r="K311" s="6" t="s">
        <v>132</v>
      </c>
      <c r="L311" s="11">
        <f>F311*Controls!$B$6</f>
        <v>9</v>
      </c>
      <c r="M311" s="11">
        <f>G311*Controls!$B$6</f>
        <v>1125</v>
      </c>
      <c r="N311" s="12">
        <f>IF(L311=0,0,SUMIFS('PSI Plan'!$N$6:$N$173,'PSI Plan'!$B$6:$B$173,B311,'PSI Plan'!$C$6:$C$173,I311))</f>
        <v>0</v>
      </c>
      <c r="O311" s="11">
        <f t="shared" si="8"/>
        <v>0</v>
      </c>
      <c r="P311" s="11">
        <f t="shared" si="9"/>
        <v>0</v>
      </c>
      <c r="Q311" s="6"/>
      <c r="R311" s="6"/>
      <c r="S311" s="6"/>
      <c r="T311" s="6"/>
    </row>
    <row r="312" spans="1:20">
      <c r="A312" s="6" t="s">
        <v>448</v>
      </c>
      <c r="B312" s="6" t="s">
        <v>66</v>
      </c>
      <c r="C312" s="6" t="s">
        <v>99</v>
      </c>
      <c r="D312" s="6" t="s">
        <v>319</v>
      </c>
      <c r="E312" s="6" t="s">
        <v>120</v>
      </c>
      <c r="F312" s="7">
        <v>34</v>
      </c>
      <c r="G312" s="7">
        <v>4250</v>
      </c>
      <c r="H312" s="16">
        <v>45286</v>
      </c>
      <c r="I312" s="6">
        <v>52</v>
      </c>
      <c r="J312" s="6" t="s">
        <v>121</v>
      </c>
      <c r="K312" s="6" t="s">
        <v>320</v>
      </c>
      <c r="L312" s="11">
        <f>F312*Controls!$B$6</f>
        <v>34</v>
      </c>
      <c r="M312" s="11">
        <f>G312*Controls!$B$6</f>
        <v>4250</v>
      </c>
      <c r="N312" s="12">
        <f>IF(L312=0,0,SUMIFS('PSI Plan'!$N$6:$N$173,'PSI Plan'!$B$6:$B$173,B312,'PSI Plan'!$C$6:$C$173,I312))</f>
        <v>0</v>
      </c>
      <c r="O312" s="11">
        <f t="shared" si="8"/>
        <v>0</v>
      </c>
      <c r="P312" s="11">
        <f t="shared" si="9"/>
        <v>0</v>
      </c>
      <c r="Q312" s="6"/>
      <c r="R312" s="6"/>
      <c r="S312" s="6"/>
      <c r="T312" s="6"/>
    </row>
    <row r="313" spans="1:20">
      <c r="A313" s="6" t="s">
        <v>449</v>
      </c>
      <c r="B313" s="6" t="s">
        <v>77</v>
      </c>
      <c r="C313" s="6" t="s">
        <v>99</v>
      </c>
      <c r="D313" s="6" t="s">
        <v>319</v>
      </c>
      <c r="E313" s="6" t="s">
        <v>120</v>
      </c>
      <c r="F313" s="7">
        <v>15</v>
      </c>
      <c r="G313" s="7">
        <v>1875</v>
      </c>
      <c r="H313" s="16">
        <v>45269</v>
      </c>
      <c r="I313" s="6">
        <v>49</v>
      </c>
      <c r="J313" s="6" t="s">
        <v>121</v>
      </c>
      <c r="K313" s="6" t="s">
        <v>320</v>
      </c>
      <c r="L313" s="11">
        <f>F313*Controls!$B$6</f>
        <v>15</v>
      </c>
      <c r="M313" s="11">
        <f>G313*Controls!$B$6</f>
        <v>1875</v>
      </c>
      <c r="N313" s="12">
        <f>IF(L313=0,0,SUMIFS('PSI Plan'!$N$6:$N$173,'PSI Plan'!$B$6:$B$173,B313,'PSI Plan'!$C$6:$C$173,I313))</f>
        <v>0</v>
      </c>
      <c r="O313" s="11">
        <f t="shared" si="8"/>
        <v>0</v>
      </c>
      <c r="P313" s="11">
        <f t="shared" si="9"/>
        <v>0</v>
      </c>
      <c r="Q313" s="6"/>
      <c r="R313" s="6"/>
      <c r="S313" s="6"/>
      <c r="T313" s="6"/>
    </row>
    <row r="314" spans="1:20">
      <c r="A314" s="6" t="s">
        <v>450</v>
      </c>
      <c r="B314" s="6" t="s">
        <v>77</v>
      </c>
      <c r="C314" s="6" t="s">
        <v>90</v>
      </c>
      <c r="D314" s="6" t="s">
        <v>119</v>
      </c>
      <c r="E314" s="6" t="s">
        <v>120</v>
      </c>
      <c r="F314" s="7">
        <v>52</v>
      </c>
      <c r="G314" s="7">
        <v>6500</v>
      </c>
      <c r="H314" s="16">
        <v>45214</v>
      </c>
      <c r="I314" s="6">
        <v>42</v>
      </c>
      <c r="J314" s="6" t="s">
        <v>121</v>
      </c>
      <c r="K314" s="6" t="s">
        <v>171</v>
      </c>
      <c r="L314" s="11">
        <f>F314*Controls!$B$6</f>
        <v>52</v>
      </c>
      <c r="M314" s="11">
        <f>G314*Controls!$B$6</f>
        <v>6500</v>
      </c>
      <c r="N314" s="12">
        <f>IF(L314=0,0,SUMIFS('PSI Plan'!$N$6:$N$173,'PSI Plan'!$B$6:$B$173,B314,'PSI Plan'!$C$6:$C$173,I314))</f>
        <v>0</v>
      </c>
      <c r="O314" s="11">
        <f t="shared" si="8"/>
        <v>0</v>
      </c>
      <c r="P314" s="11">
        <f t="shared" si="9"/>
        <v>0</v>
      </c>
      <c r="Q314" s="6"/>
      <c r="R314" s="6"/>
      <c r="S314" s="6"/>
      <c r="T314" s="6"/>
    </row>
    <row r="315" spans="1:20">
      <c r="A315" s="6" t="s">
        <v>451</v>
      </c>
      <c r="B315" s="6" t="s">
        <v>69</v>
      </c>
      <c r="C315" s="6" t="s">
        <v>90</v>
      </c>
      <c r="D315" s="6" t="s">
        <v>119</v>
      </c>
      <c r="E315" s="6" t="s">
        <v>120</v>
      </c>
      <c r="F315" s="7">
        <v>13</v>
      </c>
      <c r="G315" s="7">
        <v>1625</v>
      </c>
      <c r="H315" s="16">
        <v>45201</v>
      </c>
      <c r="I315" s="6">
        <v>40</v>
      </c>
      <c r="J315" s="6" t="s">
        <v>121</v>
      </c>
      <c r="K315" s="6" t="s">
        <v>298</v>
      </c>
      <c r="L315" s="11">
        <f>F315*Controls!$B$6</f>
        <v>13</v>
      </c>
      <c r="M315" s="11">
        <f>G315*Controls!$B$6</f>
        <v>1625</v>
      </c>
      <c r="N315" s="12">
        <f>IF(L315=0,0,SUMIFS('PSI Plan'!$N$6:$N$173,'PSI Plan'!$B$6:$B$173,B315,'PSI Plan'!$C$6:$C$173,I315))</f>
        <v>0</v>
      </c>
      <c r="O315" s="11">
        <f t="shared" si="8"/>
        <v>0</v>
      </c>
      <c r="P315" s="11">
        <f t="shared" si="9"/>
        <v>0</v>
      </c>
      <c r="Q315" s="6"/>
      <c r="R315" s="6"/>
      <c r="S315" s="6"/>
      <c r="T315" s="6"/>
    </row>
    <row r="316" spans="1:20">
      <c r="A316" s="6" t="s">
        <v>452</v>
      </c>
      <c r="B316" s="6" t="s">
        <v>77</v>
      </c>
      <c r="C316" s="6" t="s">
        <v>90</v>
      </c>
      <c r="D316" s="6" t="s">
        <v>119</v>
      </c>
      <c r="E316" s="6" t="s">
        <v>120</v>
      </c>
      <c r="F316" s="7">
        <v>11</v>
      </c>
      <c r="G316" s="7">
        <v>1375</v>
      </c>
      <c r="H316" s="16">
        <v>45203</v>
      </c>
      <c r="I316" s="6">
        <v>40</v>
      </c>
      <c r="J316" s="6" t="s">
        <v>121</v>
      </c>
      <c r="K316" s="6" t="s">
        <v>132</v>
      </c>
      <c r="L316" s="11">
        <f>F316*Controls!$B$6</f>
        <v>11</v>
      </c>
      <c r="M316" s="11">
        <f>G316*Controls!$B$6</f>
        <v>1375</v>
      </c>
      <c r="N316" s="12">
        <f>IF(L316=0,0,SUMIFS('PSI Plan'!$N$6:$N$173,'PSI Plan'!$B$6:$B$173,B316,'PSI Plan'!$C$6:$C$173,I316))</f>
        <v>0</v>
      </c>
      <c r="O316" s="11">
        <f t="shared" si="8"/>
        <v>0</v>
      </c>
      <c r="P316" s="11">
        <f t="shared" si="9"/>
        <v>0</v>
      </c>
      <c r="Q316" s="6"/>
      <c r="R316" s="6"/>
      <c r="S316" s="6"/>
      <c r="T316" s="6"/>
    </row>
    <row r="317" spans="1:20">
      <c r="A317" s="6" t="s">
        <v>453</v>
      </c>
      <c r="B317" s="6" t="s">
        <v>69</v>
      </c>
      <c r="C317" s="6" t="s">
        <v>90</v>
      </c>
      <c r="D317" s="6" t="s">
        <v>119</v>
      </c>
      <c r="E317" s="6" t="s">
        <v>120</v>
      </c>
      <c r="F317" s="7">
        <v>52</v>
      </c>
      <c r="G317" s="7">
        <v>6500</v>
      </c>
      <c r="H317" s="16">
        <v>45213</v>
      </c>
      <c r="I317" s="6">
        <v>41</v>
      </c>
      <c r="J317" s="6" t="s">
        <v>121</v>
      </c>
      <c r="K317" s="6" t="s">
        <v>122</v>
      </c>
      <c r="L317" s="11">
        <f>F317*Controls!$B$6</f>
        <v>52</v>
      </c>
      <c r="M317" s="11">
        <f>G317*Controls!$B$6</f>
        <v>6500</v>
      </c>
      <c r="N317" s="12">
        <f>IF(L317=0,0,SUMIFS('PSI Plan'!$N$6:$N$173,'PSI Plan'!$B$6:$B$173,B317,'PSI Plan'!$C$6:$C$173,I317))</f>
        <v>0</v>
      </c>
      <c r="O317" s="11">
        <f t="shared" si="8"/>
        <v>0</v>
      </c>
      <c r="P317" s="11">
        <f t="shared" si="9"/>
        <v>0</v>
      </c>
      <c r="Q317" s="6"/>
      <c r="R317" s="6"/>
      <c r="S317" s="6"/>
      <c r="T317" s="6"/>
    </row>
    <row r="318" spans="1:20">
      <c r="A318" s="6" t="s">
        <v>454</v>
      </c>
      <c r="B318" s="6" t="s">
        <v>66</v>
      </c>
      <c r="C318" s="6" t="s">
        <v>90</v>
      </c>
      <c r="D318" s="6" t="s">
        <v>119</v>
      </c>
      <c r="E318" s="6" t="s">
        <v>120</v>
      </c>
      <c r="F318" s="7">
        <v>7</v>
      </c>
      <c r="G318" s="7">
        <v>875</v>
      </c>
      <c r="H318" s="16">
        <v>45209</v>
      </c>
      <c r="I318" s="6">
        <v>41</v>
      </c>
      <c r="J318" s="6" t="s">
        <v>121</v>
      </c>
      <c r="K318" s="6" t="s">
        <v>135</v>
      </c>
      <c r="L318" s="11">
        <f>F318*Controls!$B$6</f>
        <v>7</v>
      </c>
      <c r="M318" s="11">
        <f>G318*Controls!$B$6</f>
        <v>875</v>
      </c>
      <c r="N318" s="12">
        <f>IF(L318=0,0,SUMIFS('PSI Plan'!$N$6:$N$173,'PSI Plan'!$B$6:$B$173,B318,'PSI Plan'!$C$6:$C$173,I318))</f>
        <v>0.22897465437788017</v>
      </c>
      <c r="O318" s="11">
        <f t="shared" si="8"/>
        <v>1.6028225806451613</v>
      </c>
      <c r="P318" s="11">
        <f t="shared" si="9"/>
        <v>200.35282258064515</v>
      </c>
      <c r="Q318" s="6"/>
      <c r="R318" s="6"/>
      <c r="S318" s="6"/>
      <c r="T318" s="6"/>
    </row>
    <row r="319" spans="1:20">
      <c r="A319" s="6" t="s">
        <v>455</v>
      </c>
      <c r="B319" s="6" t="s">
        <v>69</v>
      </c>
      <c r="C319" s="6" t="s">
        <v>90</v>
      </c>
      <c r="D319" s="6" t="s">
        <v>119</v>
      </c>
      <c r="E319" s="6" t="s">
        <v>120</v>
      </c>
      <c r="F319" s="7">
        <v>11</v>
      </c>
      <c r="G319" s="7">
        <v>1375</v>
      </c>
      <c r="H319" s="16">
        <v>45289</v>
      </c>
      <c r="I319" s="6">
        <v>52</v>
      </c>
      <c r="J319" s="6" t="s">
        <v>121</v>
      </c>
      <c r="K319" s="6" t="s">
        <v>135</v>
      </c>
      <c r="L319" s="11">
        <f>F319*Controls!$B$6</f>
        <v>11</v>
      </c>
      <c r="M319" s="11">
        <f>G319*Controls!$B$6</f>
        <v>1375</v>
      </c>
      <c r="N319" s="12">
        <f>IF(L319=0,0,SUMIFS('PSI Plan'!$N$6:$N$173,'PSI Plan'!$B$6:$B$173,B319,'PSI Plan'!$C$6:$C$173,I319))</f>
        <v>0</v>
      </c>
      <c r="O319" s="11">
        <f t="shared" si="8"/>
        <v>0</v>
      </c>
      <c r="P319" s="11">
        <f t="shared" si="9"/>
        <v>0</v>
      </c>
      <c r="Q319" s="6"/>
      <c r="R319" s="6"/>
      <c r="S319" s="6"/>
      <c r="T319" s="6"/>
    </row>
    <row r="320" spans="1:20">
      <c r="A320" s="6" t="s">
        <v>456</v>
      </c>
      <c r="B320" s="6" t="s">
        <v>66</v>
      </c>
      <c r="C320" s="6" t="s">
        <v>90</v>
      </c>
      <c r="D320" s="6" t="s">
        <v>119</v>
      </c>
      <c r="E320" s="6" t="s">
        <v>120</v>
      </c>
      <c r="F320" s="7">
        <v>104</v>
      </c>
      <c r="G320" s="7">
        <v>13000</v>
      </c>
      <c r="H320" s="16">
        <v>45280</v>
      </c>
      <c r="I320" s="6">
        <v>51</v>
      </c>
      <c r="J320" s="6" t="s">
        <v>121</v>
      </c>
      <c r="K320" s="6" t="s">
        <v>122</v>
      </c>
      <c r="L320" s="11">
        <f>F320*Controls!$B$6</f>
        <v>104</v>
      </c>
      <c r="M320" s="11">
        <f>G320*Controls!$B$6</f>
        <v>13000</v>
      </c>
      <c r="N320" s="12">
        <f>IF(L320=0,0,SUMIFS('PSI Plan'!$N$6:$N$173,'PSI Plan'!$B$6:$B$173,B320,'PSI Plan'!$C$6:$C$173,I320))</f>
        <v>0</v>
      </c>
      <c r="O320" s="11">
        <f t="shared" si="8"/>
        <v>0</v>
      </c>
      <c r="P320" s="11">
        <f t="shared" si="9"/>
        <v>0</v>
      </c>
      <c r="Q320" s="6"/>
      <c r="R320" s="6"/>
      <c r="S320" s="6"/>
      <c r="T320" s="6"/>
    </row>
    <row r="321" spans="1:20">
      <c r="A321" s="6" t="s">
        <v>457</v>
      </c>
      <c r="B321" s="6" t="s">
        <v>69</v>
      </c>
      <c r="C321" s="6" t="s">
        <v>90</v>
      </c>
      <c r="D321" s="6" t="s">
        <v>119</v>
      </c>
      <c r="E321" s="6" t="s">
        <v>120</v>
      </c>
      <c r="F321" s="7">
        <v>104</v>
      </c>
      <c r="G321" s="7">
        <v>13000</v>
      </c>
      <c r="H321" s="16">
        <v>45280</v>
      </c>
      <c r="I321" s="6">
        <v>51</v>
      </c>
      <c r="J321" s="6" t="s">
        <v>121</v>
      </c>
      <c r="K321" s="6" t="s">
        <v>122</v>
      </c>
      <c r="L321" s="11">
        <f>F321*Controls!$B$6</f>
        <v>104</v>
      </c>
      <c r="M321" s="11">
        <f>G321*Controls!$B$6</f>
        <v>13000</v>
      </c>
      <c r="N321" s="12">
        <f>IF(L321=0,0,SUMIFS('PSI Plan'!$N$6:$N$173,'PSI Plan'!$B$6:$B$173,B321,'PSI Plan'!$C$6:$C$173,I321))</f>
        <v>0</v>
      </c>
      <c r="O321" s="11">
        <f t="shared" si="8"/>
        <v>0</v>
      </c>
      <c r="P321" s="11">
        <f t="shared" si="9"/>
        <v>0</v>
      </c>
      <c r="Q321" s="6"/>
      <c r="R321" s="6"/>
      <c r="S321" s="6"/>
      <c r="T321" s="6"/>
    </row>
    <row r="322" spans="1:20">
      <c r="A322" s="6" t="s">
        <v>458</v>
      </c>
      <c r="B322" s="6" t="s">
        <v>66</v>
      </c>
      <c r="C322" s="6" t="s">
        <v>99</v>
      </c>
      <c r="D322" s="6" t="s">
        <v>319</v>
      </c>
      <c r="E322" s="6" t="s">
        <v>120</v>
      </c>
      <c r="F322" s="7">
        <v>32</v>
      </c>
      <c r="G322" s="7">
        <v>4000</v>
      </c>
      <c r="H322" s="16">
        <v>45272</v>
      </c>
      <c r="I322" s="6">
        <v>50</v>
      </c>
      <c r="J322" s="6" t="s">
        <v>121</v>
      </c>
      <c r="K322" s="6" t="s">
        <v>459</v>
      </c>
      <c r="L322" s="11">
        <f>F322*Controls!$B$6</f>
        <v>32</v>
      </c>
      <c r="M322" s="11">
        <f>G322*Controls!$B$6</f>
        <v>4000</v>
      </c>
      <c r="N322" s="12">
        <f>IF(L322=0,0,SUMIFS('PSI Plan'!$N$6:$N$173,'PSI Plan'!$B$6:$B$173,B322,'PSI Plan'!$C$6:$C$173,I322))</f>
        <v>0</v>
      </c>
      <c r="O322" s="11">
        <f t="shared" ref="O322:O385" si="10">L322*N322</f>
        <v>0</v>
      </c>
      <c r="P322" s="11">
        <f t="shared" ref="P322:P385" si="11">M322*N322</f>
        <v>0</v>
      </c>
      <c r="Q322" s="6"/>
      <c r="R322" s="6"/>
      <c r="S322" s="6"/>
      <c r="T322" s="6"/>
    </row>
    <row r="323" spans="1:20">
      <c r="A323" s="6" t="s">
        <v>460</v>
      </c>
      <c r="B323" s="6" t="s">
        <v>77</v>
      </c>
      <c r="C323" s="6" t="s">
        <v>99</v>
      </c>
      <c r="D323" s="6" t="s">
        <v>319</v>
      </c>
      <c r="E323" s="6" t="s">
        <v>120</v>
      </c>
      <c r="F323" s="7">
        <v>21</v>
      </c>
      <c r="G323" s="7">
        <v>2625</v>
      </c>
      <c r="H323" s="16">
        <v>45259</v>
      </c>
      <c r="I323" s="6">
        <v>48</v>
      </c>
      <c r="J323" s="6" t="s">
        <v>121</v>
      </c>
      <c r="K323" s="6" t="s">
        <v>459</v>
      </c>
      <c r="L323" s="11">
        <f>F323*Controls!$B$6</f>
        <v>21</v>
      </c>
      <c r="M323" s="11">
        <f>G323*Controls!$B$6</f>
        <v>2625</v>
      </c>
      <c r="N323" s="12">
        <f>IF(L323=0,0,SUMIFS('PSI Plan'!$N$6:$N$173,'PSI Plan'!$B$6:$B$173,B323,'PSI Plan'!$C$6:$C$173,I323))</f>
        <v>0</v>
      </c>
      <c r="O323" s="11">
        <f t="shared" si="10"/>
        <v>0</v>
      </c>
      <c r="P323" s="11">
        <f t="shared" si="11"/>
        <v>0</v>
      </c>
      <c r="Q323" s="6"/>
      <c r="R323" s="6"/>
      <c r="S323" s="6"/>
      <c r="T323" s="6"/>
    </row>
    <row r="324" spans="1:20">
      <c r="A324" s="6" t="s">
        <v>461</v>
      </c>
      <c r="B324" s="6" t="s">
        <v>69</v>
      </c>
      <c r="C324" s="6" t="s">
        <v>99</v>
      </c>
      <c r="D324" s="6" t="s">
        <v>319</v>
      </c>
      <c r="E324" s="6" t="s">
        <v>120</v>
      </c>
      <c r="F324" s="7">
        <v>16</v>
      </c>
      <c r="G324" s="7">
        <v>2000</v>
      </c>
      <c r="H324" s="16">
        <v>45254</v>
      </c>
      <c r="I324" s="6">
        <v>47</v>
      </c>
      <c r="J324" s="6" t="s">
        <v>121</v>
      </c>
      <c r="K324" s="6" t="s">
        <v>459</v>
      </c>
      <c r="L324" s="11">
        <f>F324*Controls!$B$6</f>
        <v>16</v>
      </c>
      <c r="M324" s="11">
        <f>G324*Controls!$B$6</f>
        <v>2000</v>
      </c>
      <c r="N324" s="12">
        <f>IF(L324=0,0,SUMIFS('PSI Plan'!$N$6:$N$173,'PSI Plan'!$B$6:$B$173,B324,'PSI Plan'!$C$6:$C$173,I324))</f>
        <v>0</v>
      </c>
      <c r="O324" s="11">
        <f t="shared" si="10"/>
        <v>0</v>
      </c>
      <c r="P324" s="11">
        <f t="shared" si="11"/>
        <v>0</v>
      </c>
      <c r="Q324" s="6"/>
      <c r="R324" s="6"/>
      <c r="S324" s="6"/>
      <c r="T324" s="6"/>
    </row>
    <row r="325" spans="1:20">
      <c r="A325" s="6" t="s">
        <v>462</v>
      </c>
      <c r="B325" s="6" t="s">
        <v>69</v>
      </c>
      <c r="C325" s="6" t="s">
        <v>99</v>
      </c>
      <c r="D325" s="6" t="s">
        <v>319</v>
      </c>
      <c r="E325" s="6" t="s">
        <v>120</v>
      </c>
      <c r="F325" s="7">
        <v>104</v>
      </c>
      <c r="G325" s="7">
        <v>13000</v>
      </c>
      <c r="H325" s="16">
        <v>45248</v>
      </c>
      <c r="I325" s="6">
        <v>46</v>
      </c>
      <c r="J325" s="6" t="s">
        <v>121</v>
      </c>
      <c r="K325" s="6" t="s">
        <v>347</v>
      </c>
      <c r="L325" s="11">
        <f>F325*Controls!$B$6</f>
        <v>104</v>
      </c>
      <c r="M325" s="11">
        <f>G325*Controls!$B$6</f>
        <v>13000</v>
      </c>
      <c r="N325" s="12">
        <f>IF(L325=0,0,SUMIFS('PSI Plan'!$N$6:$N$173,'PSI Plan'!$B$6:$B$173,B325,'PSI Plan'!$C$6:$C$173,I325))</f>
        <v>0</v>
      </c>
      <c r="O325" s="11">
        <f t="shared" si="10"/>
        <v>0</v>
      </c>
      <c r="P325" s="11">
        <f t="shared" si="11"/>
        <v>0</v>
      </c>
      <c r="Q325" s="6"/>
      <c r="R325" s="6"/>
      <c r="S325" s="6"/>
      <c r="T325" s="6"/>
    </row>
    <row r="326" spans="1:20">
      <c r="A326" s="6" t="s">
        <v>463</v>
      </c>
      <c r="B326" s="6" t="s">
        <v>77</v>
      </c>
      <c r="C326" s="6" t="s">
        <v>99</v>
      </c>
      <c r="D326" s="6" t="s">
        <v>319</v>
      </c>
      <c r="E326" s="6" t="s">
        <v>120</v>
      </c>
      <c r="F326" s="7">
        <v>104</v>
      </c>
      <c r="G326" s="7">
        <v>13000</v>
      </c>
      <c r="H326" s="16">
        <v>45201</v>
      </c>
      <c r="I326" s="6">
        <v>40</v>
      </c>
      <c r="J326" s="6" t="s">
        <v>121</v>
      </c>
      <c r="K326" s="6" t="s">
        <v>347</v>
      </c>
      <c r="L326" s="11">
        <f>F326*Controls!$B$6</f>
        <v>104</v>
      </c>
      <c r="M326" s="11">
        <f>G326*Controls!$B$6</f>
        <v>13000</v>
      </c>
      <c r="N326" s="12">
        <f>IF(L326=0,0,SUMIFS('PSI Plan'!$N$6:$N$173,'PSI Plan'!$B$6:$B$173,B326,'PSI Plan'!$C$6:$C$173,I326))</f>
        <v>0</v>
      </c>
      <c r="O326" s="11">
        <f t="shared" si="10"/>
        <v>0</v>
      </c>
      <c r="P326" s="11">
        <f t="shared" si="11"/>
        <v>0</v>
      </c>
      <c r="Q326" s="6"/>
      <c r="R326" s="6"/>
      <c r="S326" s="6"/>
      <c r="T326" s="6"/>
    </row>
    <row r="327" spans="1:20">
      <c r="A327" s="6" t="s">
        <v>464</v>
      </c>
      <c r="B327" s="6" t="s">
        <v>69</v>
      </c>
      <c r="C327" s="6" t="s">
        <v>90</v>
      </c>
      <c r="D327" s="6" t="s">
        <v>119</v>
      </c>
      <c r="E327" s="6" t="s">
        <v>120</v>
      </c>
      <c r="F327" s="7">
        <v>19</v>
      </c>
      <c r="G327" s="7">
        <v>2375</v>
      </c>
      <c r="H327" s="16">
        <v>45233</v>
      </c>
      <c r="I327" s="6">
        <v>44</v>
      </c>
      <c r="J327" s="6" t="s">
        <v>121</v>
      </c>
      <c r="K327" s="6" t="s">
        <v>132</v>
      </c>
      <c r="L327" s="11">
        <f>F327*Controls!$B$6</f>
        <v>19</v>
      </c>
      <c r="M327" s="11">
        <f>G327*Controls!$B$6</f>
        <v>2375</v>
      </c>
      <c r="N327" s="12">
        <f>IF(L327=0,0,SUMIFS('PSI Plan'!$N$6:$N$173,'PSI Plan'!$B$6:$B$173,B327,'PSI Plan'!$C$6:$C$173,I327))</f>
        <v>0</v>
      </c>
      <c r="O327" s="11">
        <f t="shared" si="10"/>
        <v>0</v>
      </c>
      <c r="P327" s="11">
        <f t="shared" si="11"/>
        <v>0</v>
      </c>
      <c r="Q327" s="6"/>
      <c r="R327" s="6"/>
      <c r="S327" s="6"/>
      <c r="T327" s="6"/>
    </row>
    <row r="328" spans="1:20">
      <c r="A328" s="6" t="s">
        <v>465</v>
      </c>
      <c r="B328" s="6" t="s">
        <v>77</v>
      </c>
      <c r="C328" s="6" t="s">
        <v>90</v>
      </c>
      <c r="D328" s="6" t="s">
        <v>119</v>
      </c>
      <c r="E328" s="6" t="s">
        <v>120</v>
      </c>
      <c r="F328" s="7">
        <v>10</v>
      </c>
      <c r="G328" s="7">
        <v>1250</v>
      </c>
      <c r="H328" s="16">
        <v>45201</v>
      </c>
      <c r="I328" s="6">
        <v>40</v>
      </c>
      <c r="J328" s="6" t="s">
        <v>121</v>
      </c>
      <c r="K328" s="6" t="s">
        <v>132</v>
      </c>
      <c r="L328" s="11">
        <f>F328*Controls!$B$6</f>
        <v>10</v>
      </c>
      <c r="M328" s="11">
        <f>G328*Controls!$B$6</f>
        <v>1250</v>
      </c>
      <c r="N328" s="12">
        <f>IF(L328=0,0,SUMIFS('PSI Plan'!$N$6:$N$173,'PSI Plan'!$B$6:$B$173,B328,'PSI Plan'!$C$6:$C$173,I328))</f>
        <v>0</v>
      </c>
      <c r="O328" s="11">
        <f t="shared" si="10"/>
        <v>0</v>
      </c>
      <c r="P328" s="11">
        <f t="shared" si="11"/>
        <v>0</v>
      </c>
      <c r="Q328" s="6"/>
      <c r="R328" s="6"/>
      <c r="S328" s="6"/>
      <c r="T328" s="6"/>
    </row>
    <row r="329" spans="1:20">
      <c r="A329" s="6" t="s">
        <v>466</v>
      </c>
      <c r="B329" s="6" t="s">
        <v>69</v>
      </c>
      <c r="C329" s="6" t="s">
        <v>90</v>
      </c>
      <c r="D329" s="6" t="s">
        <v>119</v>
      </c>
      <c r="E329" s="6" t="s">
        <v>120</v>
      </c>
      <c r="F329" s="7">
        <v>52</v>
      </c>
      <c r="G329" s="7">
        <v>6500</v>
      </c>
      <c r="H329" s="16">
        <v>45233</v>
      </c>
      <c r="I329" s="6">
        <v>44</v>
      </c>
      <c r="J329" s="6" t="s">
        <v>121</v>
      </c>
      <c r="K329" s="6" t="s">
        <v>122</v>
      </c>
      <c r="L329" s="11">
        <f>F329*Controls!$B$6</f>
        <v>52</v>
      </c>
      <c r="M329" s="11">
        <f>G329*Controls!$B$6</f>
        <v>6500</v>
      </c>
      <c r="N329" s="12">
        <f>IF(L329=0,0,SUMIFS('PSI Plan'!$N$6:$N$173,'PSI Plan'!$B$6:$B$173,B329,'PSI Plan'!$C$6:$C$173,I329))</f>
        <v>0</v>
      </c>
      <c r="O329" s="11">
        <f t="shared" si="10"/>
        <v>0</v>
      </c>
      <c r="P329" s="11">
        <f t="shared" si="11"/>
        <v>0</v>
      </c>
      <c r="Q329" s="6"/>
      <c r="R329" s="6"/>
      <c r="S329" s="6"/>
      <c r="T329" s="6"/>
    </row>
    <row r="330" spans="1:20">
      <c r="A330" s="6" t="s">
        <v>467</v>
      </c>
      <c r="B330" s="6" t="s">
        <v>77</v>
      </c>
      <c r="C330" s="6" t="s">
        <v>90</v>
      </c>
      <c r="D330" s="6" t="s">
        <v>119</v>
      </c>
      <c r="E330" s="6" t="s">
        <v>120</v>
      </c>
      <c r="F330" s="7">
        <v>52</v>
      </c>
      <c r="G330" s="7">
        <v>6500</v>
      </c>
      <c r="H330" s="16">
        <v>45243</v>
      </c>
      <c r="I330" s="6">
        <v>46</v>
      </c>
      <c r="J330" s="6" t="s">
        <v>121</v>
      </c>
      <c r="K330" s="6" t="s">
        <v>122</v>
      </c>
      <c r="L330" s="11">
        <f>F330*Controls!$B$6</f>
        <v>52</v>
      </c>
      <c r="M330" s="11">
        <f>G330*Controls!$B$6</f>
        <v>6500</v>
      </c>
      <c r="N330" s="12">
        <f>IF(L330=0,0,SUMIFS('PSI Plan'!$N$6:$N$173,'PSI Plan'!$B$6:$B$173,B330,'PSI Plan'!$C$6:$C$173,I330))</f>
        <v>0</v>
      </c>
      <c r="O330" s="11">
        <f t="shared" si="10"/>
        <v>0</v>
      </c>
      <c r="P330" s="11">
        <f t="shared" si="11"/>
        <v>0</v>
      </c>
      <c r="Q330" s="6"/>
      <c r="R330" s="6"/>
      <c r="S330" s="6"/>
      <c r="T330" s="6"/>
    </row>
    <row r="331" spans="1:20">
      <c r="A331" s="6" t="s">
        <v>468</v>
      </c>
      <c r="B331" s="6" t="s">
        <v>66</v>
      </c>
      <c r="C331" s="6" t="s">
        <v>90</v>
      </c>
      <c r="D331" s="6" t="s">
        <v>119</v>
      </c>
      <c r="E331" s="6" t="s">
        <v>120</v>
      </c>
      <c r="F331" s="7">
        <v>3</v>
      </c>
      <c r="G331" s="7">
        <v>375</v>
      </c>
      <c r="H331" s="16">
        <v>45271</v>
      </c>
      <c r="I331" s="6">
        <v>50</v>
      </c>
      <c r="J331" s="6" t="s">
        <v>121</v>
      </c>
      <c r="K331" s="6" t="s">
        <v>139</v>
      </c>
      <c r="L331" s="11">
        <f>F331*Controls!$B$6</f>
        <v>3</v>
      </c>
      <c r="M331" s="11">
        <f>G331*Controls!$B$6</f>
        <v>375</v>
      </c>
      <c r="N331" s="12">
        <f>IF(L331=0,0,SUMIFS('PSI Plan'!$N$6:$N$173,'PSI Plan'!$B$6:$B$173,B331,'PSI Plan'!$C$6:$C$173,I331))</f>
        <v>0</v>
      </c>
      <c r="O331" s="11">
        <f t="shared" si="10"/>
        <v>0</v>
      </c>
      <c r="P331" s="11">
        <f t="shared" si="11"/>
        <v>0</v>
      </c>
      <c r="Q331" s="6"/>
      <c r="R331" s="6"/>
      <c r="S331" s="6"/>
      <c r="T331" s="6"/>
    </row>
    <row r="332" spans="1:20">
      <c r="A332" s="6" t="s">
        <v>469</v>
      </c>
      <c r="B332" s="6" t="s">
        <v>69</v>
      </c>
      <c r="C332" s="6" t="s">
        <v>90</v>
      </c>
      <c r="D332" s="6" t="s">
        <v>119</v>
      </c>
      <c r="E332" s="6" t="s">
        <v>120</v>
      </c>
      <c r="F332" s="7">
        <v>15</v>
      </c>
      <c r="G332" s="7">
        <v>1875</v>
      </c>
      <c r="H332" s="16">
        <v>45252</v>
      </c>
      <c r="I332" s="6">
        <v>47</v>
      </c>
      <c r="J332" s="6" t="s">
        <v>121</v>
      </c>
      <c r="K332" s="6" t="s">
        <v>139</v>
      </c>
      <c r="L332" s="11">
        <f>F332*Controls!$B$6</f>
        <v>15</v>
      </c>
      <c r="M332" s="11">
        <f>G332*Controls!$B$6</f>
        <v>1875</v>
      </c>
      <c r="N332" s="12">
        <f>IF(L332=0,0,SUMIFS('PSI Plan'!$N$6:$N$173,'PSI Plan'!$B$6:$B$173,B332,'PSI Plan'!$C$6:$C$173,I332))</f>
        <v>0</v>
      </c>
      <c r="O332" s="11">
        <f t="shared" si="10"/>
        <v>0</v>
      </c>
      <c r="P332" s="11">
        <f t="shared" si="11"/>
        <v>0</v>
      </c>
      <c r="Q332" s="6"/>
      <c r="R332" s="6"/>
      <c r="S332" s="6"/>
      <c r="T332" s="6"/>
    </row>
    <row r="333" spans="1:20">
      <c r="A333" s="6" t="s">
        <v>470</v>
      </c>
      <c r="B333" s="6" t="s">
        <v>66</v>
      </c>
      <c r="C333" s="6" t="s">
        <v>99</v>
      </c>
      <c r="D333" s="6" t="s">
        <v>319</v>
      </c>
      <c r="E333" s="6" t="s">
        <v>120</v>
      </c>
      <c r="F333" s="7">
        <v>28</v>
      </c>
      <c r="G333" s="7">
        <v>3500</v>
      </c>
      <c r="H333" s="16">
        <v>45247</v>
      </c>
      <c r="I333" s="6">
        <v>46</v>
      </c>
      <c r="J333" s="6" t="s">
        <v>121</v>
      </c>
      <c r="K333" s="6" t="s">
        <v>361</v>
      </c>
      <c r="L333" s="11">
        <f>F333*Controls!$B$6</f>
        <v>28</v>
      </c>
      <c r="M333" s="11">
        <f>G333*Controls!$B$6</f>
        <v>3500</v>
      </c>
      <c r="N333" s="12">
        <f>IF(L333=0,0,SUMIFS('PSI Plan'!$N$6:$N$173,'PSI Plan'!$B$6:$B$173,B333,'PSI Plan'!$C$6:$C$173,I333))</f>
        <v>0</v>
      </c>
      <c r="O333" s="11">
        <f t="shared" si="10"/>
        <v>0</v>
      </c>
      <c r="P333" s="11">
        <f t="shared" si="11"/>
        <v>0</v>
      </c>
      <c r="Q333" s="6"/>
      <c r="R333" s="6"/>
      <c r="S333" s="6"/>
      <c r="T333" s="6"/>
    </row>
    <row r="334" spans="1:20">
      <c r="A334" s="6" t="s">
        <v>471</v>
      </c>
      <c r="B334" s="6" t="s">
        <v>77</v>
      </c>
      <c r="C334" s="6" t="s">
        <v>99</v>
      </c>
      <c r="D334" s="6" t="s">
        <v>319</v>
      </c>
      <c r="E334" s="6" t="s">
        <v>120</v>
      </c>
      <c r="F334" s="7">
        <v>46</v>
      </c>
      <c r="G334" s="7">
        <v>5750</v>
      </c>
      <c r="H334" s="16">
        <v>45267</v>
      </c>
      <c r="I334" s="6">
        <v>49</v>
      </c>
      <c r="J334" s="6" t="s">
        <v>121</v>
      </c>
      <c r="K334" s="6" t="s">
        <v>361</v>
      </c>
      <c r="L334" s="11">
        <f>F334*Controls!$B$6</f>
        <v>46</v>
      </c>
      <c r="M334" s="11">
        <f>G334*Controls!$B$6</f>
        <v>5750</v>
      </c>
      <c r="N334" s="12">
        <f>IF(L334=0,0,SUMIFS('PSI Plan'!$N$6:$N$173,'PSI Plan'!$B$6:$B$173,B334,'PSI Plan'!$C$6:$C$173,I334))</f>
        <v>0</v>
      </c>
      <c r="O334" s="11">
        <f t="shared" si="10"/>
        <v>0</v>
      </c>
      <c r="P334" s="11">
        <f t="shared" si="11"/>
        <v>0</v>
      </c>
      <c r="Q334" s="6"/>
      <c r="R334" s="6"/>
      <c r="S334" s="6"/>
      <c r="T334" s="6"/>
    </row>
    <row r="335" spans="1:20">
      <c r="A335" s="6" t="s">
        <v>472</v>
      </c>
      <c r="B335" s="6" t="s">
        <v>69</v>
      </c>
      <c r="C335" s="6" t="s">
        <v>99</v>
      </c>
      <c r="D335" s="6" t="s">
        <v>319</v>
      </c>
      <c r="E335" s="6" t="s">
        <v>120</v>
      </c>
      <c r="F335" s="7">
        <v>40</v>
      </c>
      <c r="G335" s="7">
        <v>5000</v>
      </c>
      <c r="H335" s="16">
        <v>45246</v>
      </c>
      <c r="I335" s="6">
        <v>46</v>
      </c>
      <c r="J335" s="6" t="s">
        <v>121</v>
      </c>
      <c r="K335" s="6" t="s">
        <v>361</v>
      </c>
      <c r="L335" s="11">
        <f>F335*Controls!$B$6</f>
        <v>40</v>
      </c>
      <c r="M335" s="11">
        <f>G335*Controls!$B$6</f>
        <v>5000</v>
      </c>
      <c r="N335" s="12">
        <f>IF(L335=0,0,SUMIFS('PSI Plan'!$N$6:$N$173,'PSI Plan'!$B$6:$B$173,B335,'PSI Plan'!$C$6:$C$173,I335))</f>
        <v>0</v>
      </c>
      <c r="O335" s="11">
        <f t="shared" si="10"/>
        <v>0</v>
      </c>
      <c r="P335" s="11">
        <f t="shared" si="11"/>
        <v>0</v>
      </c>
      <c r="Q335" s="6"/>
      <c r="R335" s="6"/>
      <c r="S335" s="6"/>
      <c r="T335" s="6"/>
    </row>
    <row r="336" spans="1:20">
      <c r="A336" s="6" t="s">
        <v>473</v>
      </c>
      <c r="B336" s="6" t="s">
        <v>69</v>
      </c>
      <c r="C336" s="6" t="s">
        <v>99</v>
      </c>
      <c r="D336" s="6" t="s">
        <v>319</v>
      </c>
      <c r="E336" s="6" t="s">
        <v>120</v>
      </c>
      <c r="F336" s="7">
        <v>104</v>
      </c>
      <c r="G336" s="7">
        <v>13000</v>
      </c>
      <c r="H336" s="16">
        <v>45264</v>
      </c>
      <c r="I336" s="6">
        <v>49</v>
      </c>
      <c r="J336" s="6" t="s">
        <v>121</v>
      </c>
      <c r="K336" s="6" t="s">
        <v>344</v>
      </c>
      <c r="L336" s="11">
        <f>F336*Controls!$B$6</f>
        <v>104</v>
      </c>
      <c r="M336" s="11">
        <f>G336*Controls!$B$6</f>
        <v>13000</v>
      </c>
      <c r="N336" s="12">
        <f>IF(L336=0,0,SUMIFS('PSI Plan'!$N$6:$N$173,'PSI Plan'!$B$6:$B$173,B336,'PSI Plan'!$C$6:$C$173,I336))</f>
        <v>0</v>
      </c>
      <c r="O336" s="11">
        <f t="shared" si="10"/>
        <v>0</v>
      </c>
      <c r="P336" s="11">
        <f t="shared" si="11"/>
        <v>0</v>
      </c>
      <c r="Q336" s="6"/>
      <c r="R336" s="6"/>
      <c r="S336" s="6"/>
      <c r="T336" s="6"/>
    </row>
    <row r="337" spans="1:20">
      <c r="A337" s="6" t="s">
        <v>474</v>
      </c>
      <c r="B337" s="6" t="s">
        <v>66</v>
      </c>
      <c r="C337" s="6" t="s">
        <v>99</v>
      </c>
      <c r="D337" s="6" t="s">
        <v>319</v>
      </c>
      <c r="E337" s="6" t="s">
        <v>120</v>
      </c>
      <c r="F337" s="7">
        <v>20</v>
      </c>
      <c r="G337" s="7">
        <v>2500</v>
      </c>
      <c r="H337" s="16">
        <v>45221</v>
      </c>
      <c r="I337" s="6">
        <v>43</v>
      </c>
      <c r="J337" s="6" t="s">
        <v>121</v>
      </c>
      <c r="K337" s="6" t="s">
        <v>459</v>
      </c>
      <c r="L337" s="11">
        <f>F337*Controls!$B$6</f>
        <v>20</v>
      </c>
      <c r="M337" s="11">
        <f>G337*Controls!$B$6</f>
        <v>2500</v>
      </c>
      <c r="N337" s="12">
        <f>IF(L337=0,0,SUMIFS('PSI Plan'!$N$6:$N$173,'PSI Plan'!$B$6:$B$173,B337,'PSI Plan'!$C$6:$C$173,I337))</f>
        <v>0</v>
      </c>
      <c r="O337" s="11">
        <f t="shared" si="10"/>
        <v>0</v>
      </c>
      <c r="P337" s="11">
        <f t="shared" si="11"/>
        <v>0</v>
      </c>
      <c r="Q337" s="6"/>
      <c r="R337" s="6"/>
      <c r="S337" s="6"/>
      <c r="T337" s="6"/>
    </row>
    <row r="338" spans="1:20">
      <c r="A338" s="6" t="s">
        <v>475</v>
      </c>
      <c r="B338" s="6" t="s">
        <v>69</v>
      </c>
      <c r="C338" s="6" t="s">
        <v>99</v>
      </c>
      <c r="D338" s="6" t="s">
        <v>319</v>
      </c>
      <c r="E338" s="6" t="s">
        <v>120</v>
      </c>
      <c r="F338" s="7">
        <v>37</v>
      </c>
      <c r="G338" s="7">
        <v>4625</v>
      </c>
      <c r="H338" s="16">
        <v>45267</v>
      </c>
      <c r="I338" s="6">
        <v>49</v>
      </c>
      <c r="J338" s="6" t="s">
        <v>121</v>
      </c>
      <c r="K338" s="6" t="s">
        <v>459</v>
      </c>
      <c r="L338" s="11">
        <f>F338*Controls!$B$6</f>
        <v>37</v>
      </c>
      <c r="M338" s="11">
        <f>G338*Controls!$B$6</f>
        <v>4625</v>
      </c>
      <c r="N338" s="12">
        <f>IF(L338=0,0,SUMIFS('PSI Plan'!$N$6:$N$173,'PSI Plan'!$B$6:$B$173,B338,'PSI Plan'!$C$6:$C$173,I338))</f>
        <v>0</v>
      </c>
      <c r="O338" s="11">
        <f t="shared" si="10"/>
        <v>0</v>
      </c>
      <c r="P338" s="11">
        <f t="shared" si="11"/>
        <v>0</v>
      </c>
      <c r="Q338" s="6"/>
      <c r="R338" s="6"/>
      <c r="S338" s="6"/>
      <c r="T338" s="6"/>
    </row>
    <row r="339" spans="1:20">
      <c r="A339" s="6" t="s">
        <v>476</v>
      </c>
      <c r="B339" s="6" t="s">
        <v>69</v>
      </c>
      <c r="C339" s="6" t="s">
        <v>99</v>
      </c>
      <c r="D339" s="6" t="s">
        <v>319</v>
      </c>
      <c r="E339" s="6" t="s">
        <v>120</v>
      </c>
      <c r="F339" s="7">
        <v>12</v>
      </c>
      <c r="G339" s="7">
        <v>1500</v>
      </c>
      <c r="H339" s="16">
        <v>45268</v>
      </c>
      <c r="I339" s="6">
        <v>49</v>
      </c>
      <c r="J339" s="6" t="s">
        <v>121</v>
      </c>
      <c r="K339" s="6" t="s">
        <v>365</v>
      </c>
      <c r="L339" s="11">
        <f>F339*Controls!$B$6</f>
        <v>12</v>
      </c>
      <c r="M339" s="11">
        <f>G339*Controls!$B$6</f>
        <v>1500</v>
      </c>
      <c r="N339" s="12">
        <f>IF(L339=0,0,SUMIFS('PSI Plan'!$N$6:$N$173,'PSI Plan'!$B$6:$B$173,B339,'PSI Plan'!$C$6:$C$173,I339))</f>
        <v>0</v>
      </c>
      <c r="O339" s="11">
        <f t="shared" si="10"/>
        <v>0</v>
      </c>
      <c r="P339" s="11">
        <f t="shared" si="11"/>
        <v>0</v>
      </c>
      <c r="Q339" s="6"/>
      <c r="R339" s="6"/>
      <c r="S339" s="6"/>
      <c r="T339" s="6"/>
    </row>
    <row r="340" spans="1:20">
      <c r="A340" s="6" t="s">
        <v>477</v>
      </c>
      <c r="B340" s="6" t="s">
        <v>77</v>
      </c>
      <c r="C340" s="6" t="s">
        <v>99</v>
      </c>
      <c r="D340" s="6" t="s">
        <v>319</v>
      </c>
      <c r="E340" s="6" t="s">
        <v>120</v>
      </c>
      <c r="F340" s="7">
        <v>14</v>
      </c>
      <c r="G340" s="7">
        <v>1750</v>
      </c>
      <c r="H340" s="16">
        <v>45208</v>
      </c>
      <c r="I340" s="6">
        <v>41</v>
      </c>
      <c r="J340" s="6" t="s">
        <v>121</v>
      </c>
      <c r="K340" s="6" t="s">
        <v>365</v>
      </c>
      <c r="L340" s="11">
        <f>F340*Controls!$B$6</f>
        <v>14</v>
      </c>
      <c r="M340" s="11">
        <f>G340*Controls!$B$6</f>
        <v>1750</v>
      </c>
      <c r="N340" s="12">
        <f>IF(L340=0,0,SUMIFS('PSI Plan'!$N$6:$N$173,'PSI Plan'!$B$6:$B$173,B340,'PSI Plan'!$C$6:$C$173,I340))</f>
        <v>0</v>
      </c>
      <c r="O340" s="11">
        <f t="shared" si="10"/>
        <v>0</v>
      </c>
      <c r="P340" s="11">
        <f t="shared" si="11"/>
        <v>0</v>
      </c>
      <c r="Q340" s="6"/>
      <c r="R340" s="6"/>
      <c r="S340" s="6"/>
      <c r="T340" s="6"/>
    </row>
    <row r="341" spans="1:20">
      <c r="A341" s="6" t="s">
        <v>478</v>
      </c>
      <c r="B341" s="6" t="s">
        <v>66</v>
      </c>
      <c r="C341" s="6" t="s">
        <v>99</v>
      </c>
      <c r="D341" s="6" t="s">
        <v>319</v>
      </c>
      <c r="E341" s="6" t="s">
        <v>120</v>
      </c>
      <c r="F341" s="7">
        <v>31</v>
      </c>
      <c r="G341" s="7">
        <v>3875</v>
      </c>
      <c r="H341" s="16">
        <v>45236</v>
      </c>
      <c r="I341" s="6">
        <v>45</v>
      </c>
      <c r="J341" s="6" t="s">
        <v>121</v>
      </c>
      <c r="K341" s="6" t="s">
        <v>365</v>
      </c>
      <c r="L341" s="11">
        <f>F341*Controls!$B$6</f>
        <v>31</v>
      </c>
      <c r="M341" s="11">
        <f>G341*Controls!$B$6</f>
        <v>3875</v>
      </c>
      <c r="N341" s="12">
        <f>IF(L341=0,0,SUMIFS('PSI Plan'!$N$6:$N$173,'PSI Plan'!$B$6:$B$173,B341,'PSI Plan'!$C$6:$C$173,I341))</f>
        <v>0</v>
      </c>
      <c r="O341" s="11">
        <f t="shared" si="10"/>
        <v>0</v>
      </c>
      <c r="P341" s="11">
        <f t="shared" si="11"/>
        <v>0</v>
      </c>
      <c r="Q341" s="6"/>
      <c r="R341" s="6"/>
      <c r="S341" s="6"/>
      <c r="T341" s="6"/>
    </row>
    <row r="342" spans="1:20">
      <c r="A342" s="6" t="s">
        <v>479</v>
      </c>
      <c r="B342" s="6" t="s">
        <v>66</v>
      </c>
      <c r="C342" s="6" t="s">
        <v>99</v>
      </c>
      <c r="D342" s="6" t="s">
        <v>319</v>
      </c>
      <c r="E342" s="6" t="s">
        <v>120</v>
      </c>
      <c r="F342" s="7">
        <v>30</v>
      </c>
      <c r="G342" s="7">
        <v>3750</v>
      </c>
      <c r="H342" s="16">
        <v>45221</v>
      </c>
      <c r="I342" s="6">
        <v>43</v>
      </c>
      <c r="J342" s="6" t="s">
        <v>121</v>
      </c>
      <c r="K342" s="6" t="s">
        <v>324</v>
      </c>
      <c r="L342" s="11">
        <f>F342*Controls!$B$6</f>
        <v>30</v>
      </c>
      <c r="M342" s="11">
        <f>G342*Controls!$B$6</f>
        <v>3750</v>
      </c>
      <c r="N342" s="12">
        <f>IF(L342=0,0,SUMIFS('PSI Plan'!$N$6:$N$173,'PSI Plan'!$B$6:$B$173,B342,'PSI Plan'!$C$6:$C$173,I342))</f>
        <v>0</v>
      </c>
      <c r="O342" s="11">
        <f t="shared" si="10"/>
        <v>0</v>
      </c>
      <c r="P342" s="11">
        <f t="shared" si="11"/>
        <v>0</v>
      </c>
      <c r="Q342" s="6"/>
      <c r="R342" s="6"/>
      <c r="S342" s="6"/>
      <c r="T342" s="6"/>
    </row>
    <row r="343" spans="1:20">
      <c r="A343" s="6" t="s">
        <v>480</v>
      </c>
      <c r="B343" s="6" t="s">
        <v>77</v>
      </c>
      <c r="C343" s="6" t="s">
        <v>99</v>
      </c>
      <c r="D343" s="6" t="s">
        <v>319</v>
      </c>
      <c r="E343" s="6" t="s">
        <v>120</v>
      </c>
      <c r="F343" s="7">
        <v>30</v>
      </c>
      <c r="G343" s="7">
        <v>3750</v>
      </c>
      <c r="H343" s="16">
        <v>45250</v>
      </c>
      <c r="I343" s="6">
        <v>47</v>
      </c>
      <c r="J343" s="6" t="s">
        <v>121</v>
      </c>
      <c r="K343" s="6" t="s">
        <v>324</v>
      </c>
      <c r="L343" s="11">
        <f>F343*Controls!$B$6</f>
        <v>30</v>
      </c>
      <c r="M343" s="11">
        <f>G343*Controls!$B$6</f>
        <v>3750</v>
      </c>
      <c r="N343" s="12">
        <f>IF(L343=0,0,SUMIFS('PSI Plan'!$N$6:$N$173,'PSI Plan'!$B$6:$B$173,B343,'PSI Plan'!$C$6:$C$173,I343))</f>
        <v>0</v>
      </c>
      <c r="O343" s="11">
        <f t="shared" si="10"/>
        <v>0</v>
      </c>
      <c r="P343" s="11">
        <f t="shared" si="11"/>
        <v>0</v>
      </c>
      <c r="Q343" s="6"/>
      <c r="R343" s="6"/>
      <c r="S343" s="6"/>
      <c r="T343" s="6"/>
    </row>
    <row r="344" spans="1:20">
      <c r="A344" s="6" t="s">
        <v>481</v>
      </c>
      <c r="B344" s="6" t="s">
        <v>77</v>
      </c>
      <c r="C344" s="6" t="s">
        <v>99</v>
      </c>
      <c r="D344" s="6" t="s">
        <v>319</v>
      </c>
      <c r="E344" s="6" t="s">
        <v>120</v>
      </c>
      <c r="F344" s="7">
        <v>52</v>
      </c>
      <c r="G344" s="7">
        <v>6500</v>
      </c>
      <c r="H344" s="16">
        <v>45238</v>
      </c>
      <c r="I344" s="6">
        <v>45</v>
      </c>
      <c r="J344" s="6" t="s">
        <v>121</v>
      </c>
      <c r="K344" s="6" t="s">
        <v>459</v>
      </c>
      <c r="L344" s="11">
        <f>F344*Controls!$B$6</f>
        <v>52</v>
      </c>
      <c r="M344" s="11">
        <f>G344*Controls!$B$6</f>
        <v>6500</v>
      </c>
      <c r="N344" s="12">
        <f>IF(L344=0,0,SUMIFS('PSI Plan'!$N$6:$N$173,'PSI Plan'!$B$6:$B$173,B344,'PSI Plan'!$C$6:$C$173,I344))</f>
        <v>0</v>
      </c>
      <c r="O344" s="11">
        <f t="shared" si="10"/>
        <v>0</v>
      </c>
      <c r="P344" s="11">
        <f t="shared" si="11"/>
        <v>0</v>
      </c>
      <c r="Q344" s="6"/>
      <c r="R344" s="6"/>
      <c r="S344" s="6"/>
      <c r="T344" s="6"/>
    </row>
    <row r="345" spans="1:20">
      <c r="A345" s="6" t="s">
        <v>482</v>
      </c>
      <c r="B345" s="6" t="s">
        <v>69</v>
      </c>
      <c r="C345" s="6" t="s">
        <v>99</v>
      </c>
      <c r="D345" s="6" t="s">
        <v>319</v>
      </c>
      <c r="E345" s="6" t="s">
        <v>120</v>
      </c>
      <c r="F345" s="7">
        <v>5</v>
      </c>
      <c r="G345" s="7">
        <v>625</v>
      </c>
      <c r="H345" s="16">
        <v>45239</v>
      </c>
      <c r="I345" s="6">
        <v>45</v>
      </c>
      <c r="J345" s="6" t="s">
        <v>121</v>
      </c>
      <c r="K345" s="6" t="s">
        <v>459</v>
      </c>
      <c r="L345" s="11">
        <f>F345*Controls!$B$6</f>
        <v>5</v>
      </c>
      <c r="M345" s="11">
        <f>G345*Controls!$B$6</f>
        <v>625</v>
      </c>
      <c r="N345" s="12">
        <f>IF(L345=0,0,SUMIFS('PSI Plan'!$N$6:$N$173,'PSI Plan'!$B$6:$B$173,B345,'PSI Plan'!$C$6:$C$173,I345))</f>
        <v>0</v>
      </c>
      <c r="O345" s="11">
        <f t="shared" si="10"/>
        <v>0</v>
      </c>
      <c r="P345" s="11">
        <f t="shared" si="11"/>
        <v>0</v>
      </c>
      <c r="Q345" s="6"/>
      <c r="R345" s="6"/>
      <c r="S345" s="6"/>
      <c r="T345" s="6"/>
    </row>
    <row r="346" spans="1:20">
      <c r="A346" s="6" t="s">
        <v>483</v>
      </c>
      <c r="B346" s="6" t="s">
        <v>69</v>
      </c>
      <c r="C346" s="6" t="s">
        <v>90</v>
      </c>
      <c r="D346" s="6" t="s">
        <v>119</v>
      </c>
      <c r="E346" s="6" t="s">
        <v>120</v>
      </c>
      <c r="F346" s="7">
        <v>52</v>
      </c>
      <c r="G346" s="7">
        <v>6500</v>
      </c>
      <c r="H346" s="16">
        <v>45239</v>
      </c>
      <c r="I346" s="6">
        <v>45</v>
      </c>
      <c r="J346" s="6" t="s">
        <v>121</v>
      </c>
      <c r="K346" s="6" t="s">
        <v>122</v>
      </c>
      <c r="L346" s="11">
        <f>F346*Controls!$B$6</f>
        <v>52</v>
      </c>
      <c r="M346" s="11">
        <f>G346*Controls!$B$6</f>
        <v>6500</v>
      </c>
      <c r="N346" s="12">
        <f>IF(L346=0,0,SUMIFS('PSI Plan'!$N$6:$N$173,'PSI Plan'!$B$6:$B$173,B346,'PSI Plan'!$C$6:$C$173,I346))</f>
        <v>0</v>
      </c>
      <c r="O346" s="11">
        <f t="shared" si="10"/>
        <v>0</v>
      </c>
      <c r="P346" s="11">
        <f t="shared" si="11"/>
        <v>0</v>
      </c>
      <c r="Q346" s="6"/>
      <c r="R346" s="6"/>
      <c r="S346" s="6"/>
      <c r="T346" s="6"/>
    </row>
    <row r="347" spans="1:20">
      <c r="A347" s="6" t="s">
        <v>484</v>
      </c>
      <c r="B347" s="6" t="s">
        <v>77</v>
      </c>
      <c r="C347" s="6" t="s">
        <v>90</v>
      </c>
      <c r="D347" s="6" t="s">
        <v>119</v>
      </c>
      <c r="E347" s="6" t="s">
        <v>120</v>
      </c>
      <c r="F347" s="7">
        <v>104</v>
      </c>
      <c r="G347" s="7">
        <v>13000</v>
      </c>
      <c r="H347" s="16">
        <v>45216</v>
      </c>
      <c r="I347" s="6">
        <v>42</v>
      </c>
      <c r="J347" s="6" t="s">
        <v>121</v>
      </c>
      <c r="K347" s="6" t="s">
        <v>122</v>
      </c>
      <c r="L347" s="11">
        <f>F347*Controls!$B$6</f>
        <v>104</v>
      </c>
      <c r="M347" s="11">
        <f>G347*Controls!$B$6</f>
        <v>13000</v>
      </c>
      <c r="N347" s="12">
        <f>IF(L347=0,0,SUMIFS('PSI Plan'!$N$6:$N$173,'PSI Plan'!$B$6:$B$173,B347,'PSI Plan'!$C$6:$C$173,I347))</f>
        <v>0</v>
      </c>
      <c r="O347" s="11">
        <f t="shared" si="10"/>
        <v>0</v>
      </c>
      <c r="P347" s="11">
        <f t="shared" si="11"/>
        <v>0</v>
      </c>
      <c r="Q347" s="6"/>
      <c r="R347" s="6"/>
      <c r="S347" s="6"/>
      <c r="T347" s="6"/>
    </row>
    <row r="348" spans="1:20">
      <c r="A348" s="6" t="s">
        <v>485</v>
      </c>
      <c r="B348" s="6" t="s">
        <v>69</v>
      </c>
      <c r="C348" s="6" t="s">
        <v>90</v>
      </c>
      <c r="D348" s="6" t="s">
        <v>119</v>
      </c>
      <c r="E348" s="6" t="s">
        <v>120</v>
      </c>
      <c r="F348" s="7">
        <v>36</v>
      </c>
      <c r="G348" s="7">
        <v>4500</v>
      </c>
      <c r="H348" s="16">
        <v>45218</v>
      </c>
      <c r="I348" s="6">
        <v>42</v>
      </c>
      <c r="J348" s="6" t="s">
        <v>121</v>
      </c>
      <c r="K348" s="6" t="s">
        <v>132</v>
      </c>
      <c r="L348" s="11">
        <f>F348*Controls!$B$6</f>
        <v>36</v>
      </c>
      <c r="M348" s="11">
        <f>G348*Controls!$B$6</f>
        <v>4500</v>
      </c>
      <c r="N348" s="12">
        <f>IF(L348=0,0,SUMIFS('PSI Plan'!$N$6:$N$173,'PSI Plan'!$B$6:$B$173,B348,'PSI Plan'!$C$6:$C$173,I348))</f>
        <v>0</v>
      </c>
      <c r="O348" s="11">
        <f t="shared" si="10"/>
        <v>0</v>
      </c>
      <c r="P348" s="11">
        <f t="shared" si="11"/>
        <v>0</v>
      </c>
      <c r="Q348" s="6"/>
      <c r="R348" s="6"/>
      <c r="S348" s="6"/>
      <c r="T348" s="6"/>
    </row>
    <row r="349" spans="1:20">
      <c r="A349" s="6" t="s">
        <v>486</v>
      </c>
      <c r="B349" s="6" t="s">
        <v>77</v>
      </c>
      <c r="C349" s="6" t="s">
        <v>90</v>
      </c>
      <c r="D349" s="6" t="s">
        <v>119</v>
      </c>
      <c r="E349" s="6" t="s">
        <v>120</v>
      </c>
      <c r="F349" s="7">
        <v>6</v>
      </c>
      <c r="G349" s="7">
        <v>750</v>
      </c>
      <c r="H349" s="16">
        <v>45237</v>
      </c>
      <c r="I349" s="6">
        <v>45</v>
      </c>
      <c r="J349" s="6" t="s">
        <v>121</v>
      </c>
      <c r="K349" s="6" t="s">
        <v>132</v>
      </c>
      <c r="L349" s="11">
        <f>F349*Controls!$B$6</f>
        <v>6</v>
      </c>
      <c r="M349" s="11">
        <f>G349*Controls!$B$6</f>
        <v>750</v>
      </c>
      <c r="N349" s="12">
        <f>IF(L349=0,0,SUMIFS('PSI Plan'!$N$6:$N$173,'PSI Plan'!$B$6:$B$173,B349,'PSI Plan'!$C$6:$C$173,I349))</f>
        <v>0</v>
      </c>
      <c r="O349" s="11">
        <f t="shared" si="10"/>
        <v>0</v>
      </c>
      <c r="P349" s="11">
        <f t="shared" si="11"/>
        <v>0</v>
      </c>
      <c r="Q349" s="6"/>
      <c r="R349" s="6"/>
      <c r="S349" s="6"/>
      <c r="T349" s="6"/>
    </row>
    <row r="350" spans="1:20">
      <c r="A350" s="6" t="s">
        <v>487</v>
      </c>
      <c r="B350" s="6" t="s">
        <v>66</v>
      </c>
      <c r="C350" s="6" t="s">
        <v>99</v>
      </c>
      <c r="D350" s="6" t="s">
        <v>319</v>
      </c>
      <c r="E350" s="6" t="s">
        <v>120</v>
      </c>
      <c r="F350" s="7">
        <v>19</v>
      </c>
      <c r="G350" s="7">
        <v>2375</v>
      </c>
      <c r="H350" s="16">
        <v>45242</v>
      </c>
      <c r="I350" s="6">
        <v>46</v>
      </c>
      <c r="J350" s="6" t="s">
        <v>121</v>
      </c>
      <c r="K350" s="6" t="s">
        <v>459</v>
      </c>
      <c r="L350" s="11">
        <f>F350*Controls!$B$6</f>
        <v>19</v>
      </c>
      <c r="M350" s="11">
        <f>G350*Controls!$B$6</f>
        <v>2375</v>
      </c>
      <c r="N350" s="12">
        <f>IF(L350=0,0,SUMIFS('PSI Plan'!$N$6:$N$173,'PSI Plan'!$B$6:$B$173,B350,'PSI Plan'!$C$6:$C$173,I350))</f>
        <v>0</v>
      </c>
      <c r="O350" s="11">
        <f t="shared" si="10"/>
        <v>0</v>
      </c>
      <c r="P350" s="11">
        <f t="shared" si="11"/>
        <v>0</v>
      </c>
      <c r="Q350" s="6"/>
      <c r="R350" s="6"/>
      <c r="S350" s="6"/>
      <c r="T350" s="6"/>
    </row>
    <row r="351" spans="1:20">
      <c r="A351" s="6" t="s">
        <v>488</v>
      </c>
      <c r="B351" s="6" t="s">
        <v>69</v>
      </c>
      <c r="C351" s="6" t="s">
        <v>99</v>
      </c>
      <c r="D351" s="6" t="s">
        <v>319</v>
      </c>
      <c r="E351" s="6" t="s">
        <v>120</v>
      </c>
      <c r="F351" s="7">
        <v>38</v>
      </c>
      <c r="G351" s="7">
        <v>4750</v>
      </c>
      <c r="H351" s="16">
        <v>45283</v>
      </c>
      <c r="I351" s="6">
        <v>51</v>
      </c>
      <c r="J351" s="6" t="s">
        <v>121</v>
      </c>
      <c r="K351" s="6" t="s">
        <v>459</v>
      </c>
      <c r="L351" s="11">
        <f>F351*Controls!$B$6</f>
        <v>38</v>
      </c>
      <c r="M351" s="11">
        <f>G351*Controls!$B$6</f>
        <v>4750</v>
      </c>
      <c r="N351" s="12">
        <f>IF(L351=0,0,SUMIFS('PSI Plan'!$N$6:$N$173,'PSI Plan'!$B$6:$B$173,B351,'PSI Plan'!$C$6:$C$173,I351))</f>
        <v>0</v>
      </c>
      <c r="O351" s="11">
        <f t="shared" si="10"/>
        <v>0</v>
      </c>
      <c r="P351" s="11">
        <f t="shared" si="11"/>
        <v>0</v>
      </c>
      <c r="Q351" s="6"/>
      <c r="R351" s="6"/>
      <c r="S351" s="6"/>
      <c r="T351" s="6"/>
    </row>
    <row r="352" spans="1:20">
      <c r="A352" s="6" t="s">
        <v>489</v>
      </c>
      <c r="B352" s="6" t="s">
        <v>66</v>
      </c>
      <c r="C352" s="6" t="s">
        <v>90</v>
      </c>
      <c r="D352" s="6" t="s">
        <v>119</v>
      </c>
      <c r="E352" s="6" t="s">
        <v>120</v>
      </c>
      <c r="F352" s="7">
        <v>13</v>
      </c>
      <c r="G352" s="7">
        <v>1625</v>
      </c>
      <c r="H352" s="16">
        <v>45265</v>
      </c>
      <c r="I352" s="6">
        <v>49</v>
      </c>
      <c r="J352" s="6" t="s">
        <v>121</v>
      </c>
      <c r="K352" s="6" t="s">
        <v>135</v>
      </c>
      <c r="L352" s="11">
        <f>F352*Controls!$B$6</f>
        <v>13</v>
      </c>
      <c r="M352" s="11">
        <f>G352*Controls!$B$6</f>
        <v>1625</v>
      </c>
      <c r="N352" s="12">
        <f>IF(L352=0,0,SUMIFS('PSI Plan'!$N$6:$N$173,'PSI Plan'!$B$6:$B$173,B352,'PSI Plan'!$C$6:$C$173,I352))</f>
        <v>0</v>
      </c>
      <c r="O352" s="11">
        <f t="shared" si="10"/>
        <v>0</v>
      </c>
      <c r="P352" s="11">
        <f t="shared" si="11"/>
        <v>0</v>
      </c>
      <c r="Q352" s="6"/>
      <c r="R352" s="6"/>
      <c r="S352" s="6"/>
      <c r="T352" s="6"/>
    </row>
    <row r="353" spans="1:20">
      <c r="A353" s="6" t="s">
        <v>490</v>
      </c>
      <c r="B353" s="6" t="s">
        <v>69</v>
      </c>
      <c r="C353" s="6" t="s">
        <v>90</v>
      </c>
      <c r="D353" s="6" t="s">
        <v>119</v>
      </c>
      <c r="E353" s="6" t="s">
        <v>120</v>
      </c>
      <c r="F353" s="7">
        <v>34</v>
      </c>
      <c r="G353" s="7">
        <v>4250</v>
      </c>
      <c r="H353" s="16">
        <v>45282</v>
      </c>
      <c r="I353" s="6">
        <v>51</v>
      </c>
      <c r="J353" s="6" t="s">
        <v>121</v>
      </c>
      <c r="K353" s="6" t="s">
        <v>135</v>
      </c>
      <c r="L353" s="11">
        <f>F353*Controls!$B$6</f>
        <v>34</v>
      </c>
      <c r="M353" s="11">
        <f>G353*Controls!$B$6</f>
        <v>4250</v>
      </c>
      <c r="N353" s="12">
        <f>IF(L353=0,0,SUMIFS('PSI Plan'!$N$6:$N$173,'PSI Plan'!$B$6:$B$173,B353,'PSI Plan'!$C$6:$C$173,I353))</f>
        <v>0</v>
      </c>
      <c r="O353" s="11">
        <f t="shared" si="10"/>
        <v>0</v>
      </c>
      <c r="P353" s="11">
        <f t="shared" si="11"/>
        <v>0</v>
      </c>
      <c r="Q353" s="6"/>
      <c r="R353" s="6"/>
      <c r="S353" s="6"/>
      <c r="T353" s="6"/>
    </row>
    <row r="354" spans="1:20">
      <c r="A354" s="6" t="s">
        <v>491</v>
      </c>
      <c r="B354" s="6" t="s">
        <v>77</v>
      </c>
      <c r="C354" s="6" t="s">
        <v>90</v>
      </c>
      <c r="D354" s="6" t="s">
        <v>119</v>
      </c>
      <c r="E354" s="6" t="s">
        <v>120</v>
      </c>
      <c r="F354" s="7">
        <v>10</v>
      </c>
      <c r="G354" s="7">
        <v>1250</v>
      </c>
      <c r="H354" s="16">
        <v>45249</v>
      </c>
      <c r="I354" s="6">
        <v>47</v>
      </c>
      <c r="J354" s="6" t="s">
        <v>121</v>
      </c>
      <c r="K354" s="6" t="s">
        <v>135</v>
      </c>
      <c r="L354" s="11">
        <f>F354*Controls!$B$6</f>
        <v>10</v>
      </c>
      <c r="M354" s="11">
        <f>G354*Controls!$B$6</f>
        <v>1250</v>
      </c>
      <c r="N354" s="12">
        <f>IF(L354=0,0,SUMIFS('PSI Plan'!$N$6:$N$173,'PSI Plan'!$B$6:$B$173,B354,'PSI Plan'!$C$6:$C$173,I354))</f>
        <v>0</v>
      </c>
      <c r="O354" s="11">
        <f t="shared" si="10"/>
        <v>0</v>
      </c>
      <c r="P354" s="11">
        <f t="shared" si="11"/>
        <v>0</v>
      </c>
      <c r="Q354" s="6"/>
      <c r="R354" s="6"/>
      <c r="S354" s="6"/>
      <c r="T354" s="6"/>
    </row>
    <row r="355" spans="1:20">
      <c r="A355" s="6" t="s">
        <v>492</v>
      </c>
      <c r="B355" s="6" t="s">
        <v>66</v>
      </c>
      <c r="C355" s="6" t="s">
        <v>90</v>
      </c>
      <c r="D355" s="6" t="s">
        <v>119</v>
      </c>
      <c r="E355" s="6" t="s">
        <v>120</v>
      </c>
      <c r="F355" s="7">
        <v>8</v>
      </c>
      <c r="G355" s="7">
        <v>1000</v>
      </c>
      <c r="H355" s="16">
        <v>45222</v>
      </c>
      <c r="I355" s="6">
        <v>43</v>
      </c>
      <c r="J355" s="6" t="s">
        <v>121</v>
      </c>
      <c r="K355" s="6" t="s">
        <v>139</v>
      </c>
      <c r="L355" s="11">
        <f>F355*Controls!$B$6</f>
        <v>8</v>
      </c>
      <c r="M355" s="11">
        <f>G355*Controls!$B$6</f>
        <v>1000</v>
      </c>
      <c r="N355" s="12">
        <f>IF(L355=0,0,SUMIFS('PSI Plan'!$N$6:$N$173,'PSI Plan'!$B$6:$B$173,B355,'PSI Plan'!$C$6:$C$173,I355))</f>
        <v>0</v>
      </c>
      <c r="O355" s="11">
        <f t="shared" si="10"/>
        <v>0</v>
      </c>
      <c r="P355" s="11">
        <f t="shared" si="11"/>
        <v>0</v>
      </c>
      <c r="Q355" s="6"/>
      <c r="R355" s="6"/>
      <c r="S355" s="6"/>
      <c r="T355" s="6"/>
    </row>
    <row r="356" spans="1:20">
      <c r="A356" s="6" t="s">
        <v>493</v>
      </c>
      <c r="B356" s="6" t="s">
        <v>69</v>
      </c>
      <c r="C356" s="6" t="s">
        <v>90</v>
      </c>
      <c r="D356" s="6" t="s">
        <v>119</v>
      </c>
      <c r="E356" s="6" t="s">
        <v>120</v>
      </c>
      <c r="F356" s="7">
        <v>11</v>
      </c>
      <c r="G356" s="7">
        <v>1375</v>
      </c>
      <c r="H356" s="16">
        <v>45202</v>
      </c>
      <c r="I356" s="6">
        <v>40</v>
      </c>
      <c r="J356" s="6" t="s">
        <v>121</v>
      </c>
      <c r="K356" s="6" t="s">
        <v>139</v>
      </c>
      <c r="L356" s="11">
        <f>F356*Controls!$B$6</f>
        <v>11</v>
      </c>
      <c r="M356" s="11">
        <f>G356*Controls!$B$6</f>
        <v>1375</v>
      </c>
      <c r="N356" s="12">
        <f>IF(L356=0,0,SUMIFS('PSI Plan'!$N$6:$N$173,'PSI Plan'!$B$6:$B$173,B356,'PSI Plan'!$C$6:$C$173,I356))</f>
        <v>0</v>
      </c>
      <c r="O356" s="11">
        <f t="shared" si="10"/>
        <v>0</v>
      </c>
      <c r="P356" s="11">
        <f t="shared" si="11"/>
        <v>0</v>
      </c>
      <c r="Q356" s="6"/>
      <c r="R356" s="6"/>
      <c r="S356" s="6"/>
      <c r="T356" s="6"/>
    </row>
    <row r="357" spans="1:20">
      <c r="A357" s="6" t="s">
        <v>494</v>
      </c>
      <c r="B357" s="6" t="s">
        <v>77</v>
      </c>
      <c r="C357" s="6" t="s">
        <v>90</v>
      </c>
      <c r="D357" s="6" t="s">
        <v>119</v>
      </c>
      <c r="E357" s="6" t="s">
        <v>120</v>
      </c>
      <c r="F357" s="7">
        <v>9</v>
      </c>
      <c r="G357" s="7">
        <v>1125</v>
      </c>
      <c r="H357" s="16">
        <v>45283</v>
      </c>
      <c r="I357" s="6">
        <v>51</v>
      </c>
      <c r="J357" s="6" t="s">
        <v>121</v>
      </c>
      <c r="K357" s="6" t="s">
        <v>139</v>
      </c>
      <c r="L357" s="11">
        <f>F357*Controls!$B$6</f>
        <v>9</v>
      </c>
      <c r="M357" s="11">
        <f>G357*Controls!$B$6</f>
        <v>1125</v>
      </c>
      <c r="N357" s="12">
        <f>IF(L357=0,0,SUMIFS('PSI Plan'!$N$6:$N$173,'PSI Plan'!$B$6:$B$173,B357,'PSI Plan'!$C$6:$C$173,I357))</f>
        <v>0</v>
      </c>
      <c r="O357" s="11">
        <f t="shared" si="10"/>
        <v>0</v>
      </c>
      <c r="P357" s="11">
        <f t="shared" si="11"/>
        <v>0</v>
      </c>
      <c r="Q357" s="6"/>
      <c r="R357" s="6"/>
      <c r="S357" s="6"/>
      <c r="T357" s="6"/>
    </row>
    <row r="358" spans="1:20">
      <c r="A358" s="6" t="s">
        <v>495</v>
      </c>
      <c r="B358" s="6" t="s">
        <v>69</v>
      </c>
      <c r="C358" s="6" t="s">
        <v>90</v>
      </c>
      <c r="D358" s="6" t="s">
        <v>119</v>
      </c>
      <c r="E358" s="6" t="s">
        <v>120</v>
      </c>
      <c r="F358" s="7">
        <v>42</v>
      </c>
      <c r="G358" s="7">
        <v>5250</v>
      </c>
      <c r="H358" s="16">
        <v>45248</v>
      </c>
      <c r="I358" s="6">
        <v>46</v>
      </c>
      <c r="J358" s="6" t="s">
        <v>121</v>
      </c>
      <c r="K358" s="6" t="s">
        <v>171</v>
      </c>
      <c r="L358" s="11">
        <f>F358*Controls!$B$6</f>
        <v>42</v>
      </c>
      <c r="M358" s="11">
        <f>G358*Controls!$B$6</f>
        <v>5250</v>
      </c>
      <c r="N358" s="12">
        <f>IF(L358=0,0,SUMIFS('PSI Plan'!$N$6:$N$173,'PSI Plan'!$B$6:$B$173,B358,'PSI Plan'!$C$6:$C$173,I358))</f>
        <v>0</v>
      </c>
      <c r="O358" s="11">
        <f t="shared" si="10"/>
        <v>0</v>
      </c>
      <c r="P358" s="11">
        <f t="shared" si="11"/>
        <v>0</v>
      </c>
      <c r="Q358" s="6"/>
      <c r="R358" s="6"/>
      <c r="S358" s="6"/>
      <c r="T358" s="6"/>
    </row>
    <row r="359" spans="1:20">
      <c r="A359" s="6" t="s">
        <v>496</v>
      </c>
      <c r="B359" s="6" t="s">
        <v>69</v>
      </c>
      <c r="C359" s="6" t="s">
        <v>90</v>
      </c>
      <c r="D359" s="6" t="s">
        <v>119</v>
      </c>
      <c r="E359" s="6" t="s">
        <v>120</v>
      </c>
      <c r="F359" s="7">
        <v>26</v>
      </c>
      <c r="G359" s="7">
        <v>3250</v>
      </c>
      <c r="H359" s="16">
        <v>45265</v>
      </c>
      <c r="I359" s="6">
        <v>49</v>
      </c>
      <c r="J359" s="6" t="s">
        <v>121</v>
      </c>
      <c r="K359" s="6" t="s">
        <v>298</v>
      </c>
      <c r="L359" s="11">
        <f>F359*Controls!$B$6</f>
        <v>26</v>
      </c>
      <c r="M359" s="11">
        <f>G359*Controls!$B$6</f>
        <v>3250</v>
      </c>
      <c r="N359" s="12">
        <f>IF(L359=0,0,SUMIFS('PSI Plan'!$N$6:$N$173,'PSI Plan'!$B$6:$B$173,B359,'PSI Plan'!$C$6:$C$173,I359))</f>
        <v>0</v>
      </c>
      <c r="O359" s="11">
        <f t="shared" si="10"/>
        <v>0</v>
      </c>
      <c r="P359" s="11">
        <f t="shared" si="11"/>
        <v>0</v>
      </c>
      <c r="Q359" s="6"/>
      <c r="R359" s="6"/>
      <c r="S359" s="6"/>
      <c r="T359" s="6"/>
    </row>
    <row r="360" spans="1:20">
      <c r="A360" s="6" t="s">
        <v>497</v>
      </c>
      <c r="B360" s="6" t="s">
        <v>77</v>
      </c>
      <c r="C360" s="6" t="s">
        <v>90</v>
      </c>
      <c r="D360" s="6" t="s">
        <v>119</v>
      </c>
      <c r="E360" s="6" t="s">
        <v>120</v>
      </c>
      <c r="F360" s="7">
        <v>26</v>
      </c>
      <c r="G360" s="7">
        <v>3250</v>
      </c>
      <c r="H360" s="16">
        <v>45216</v>
      </c>
      <c r="I360" s="6">
        <v>42</v>
      </c>
      <c r="J360" s="6" t="s">
        <v>121</v>
      </c>
      <c r="K360" s="6" t="s">
        <v>298</v>
      </c>
      <c r="L360" s="11">
        <f>F360*Controls!$B$6</f>
        <v>26</v>
      </c>
      <c r="M360" s="11">
        <f>G360*Controls!$B$6</f>
        <v>3250</v>
      </c>
      <c r="N360" s="12">
        <f>IF(L360=0,0,SUMIFS('PSI Plan'!$N$6:$N$173,'PSI Plan'!$B$6:$B$173,B360,'PSI Plan'!$C$6:$C$173,I360))</f>
        <v>0</v>
      </c>
      <c r="O360" s="11">
        <f t="shared" si="10"/>
        <v>0</v>
      </c>
      <c r="P360" s="11">
        <f t="shared" si="11"/>
        <v>0</v>
      </c>
      <c r="Q360" s="6"/>
      <c r="R360" s="6"/>
      <c r="S360" s="6"/>
      <c r="T360" s="6"/>
    </row>
    <row r="361" spans="1:20">
      <c r="A361" s="6" t="s">
        <v>498</v>
      </c>
      <c r="B361" s="6" t="s">
        <v>69</v>
      </c>
      <c r="C361" s="6" t="s">
        <v>90</v>
      </c>
      <c r="D361" s="6" t="s">
        <v>119</v>
      </c>
      <c r="E361" s="6" t="s">
        <v>120</v>
      </c>
      <c r="F361" s="7">
        <v>52</v>
      </c>
      <c r="G361" s="7">
        <v>6500</v>
      </c>
      <c r="H361" s="16">
        <v>45203</v>
      </c>
      <c r="I361" s="6">
        <v>40</v>
      </c>
      <c r="J361" s="6" t="s">
        <v>121</v>
      </c>
      <c r="K361" s="6" t="s">
        <v>122</v>
      </c>
      <c r="L361" s="11">
        <f>F361*Controls!$B$6</f>
        <v>52</v>
      </c>
      <c r="M361" s="11">
        <f>G361*Controls!$B$6</f>
        <v>6500</v>
      </c>
      <c r="N361" s="12">
        <f>IF(L361=0,0,SUMIFS('PSI Plan'!$N$6:$N$173,'PSI Plan'!$B$6:$B$173,B361,'PSI Plan'!$C$6:$C$173,I361))</f>
        <v>0</v>
      </c>
      <c r="O361" s="11">
        <f t="shared" si="10"/>
        <v>0</v>
      </c>
      <c r="P361" s="11">
        <f t="shared" si="11"/>
        <v>0</v>
      </c>
      <c r="Q361" s="6"/>
      <c r="R361" s="6"/>
      <c r="S361" s="6"/>
      <c r="T361" s="6"/>
    </row>
    <row r="362" spans="1:20">
      <c r="A362" s="6" t="s">
        <v>499</v>
      </c>
      <c r="B362" s="6" t="s">
        <v>66</v>
      </c>
      <c r="C362" s="6" t="s">
        <v>90</v>
      </c>
      <c r="D362" s="6" t="s">
        <v>119</v>
      </c>
      <c r="E362" s="6" t="s">
        <v>120</v>
      </c>
      <c r="F362" s="7">
        <v>26</v>
      </c>
      <c r="G362" s="7">
        <v>3250</v>
      </c>
      <c r="H362" s="16">
        <v>45243</v>
      </c>
      <c r="I362" s="6">
        <v>46</v>
      </c>
      <c r="J362" s="6" t="s">
        <v>121</v>
      </c>
      <c r="K362" s="6" t="s">
        <v>135</v>
      </c>
      <c r="L362" s="11">
        <f>F362*Controls!$B$6</f>
        <v>26</v>
      </c>
      <c r="M362" s="11">
        <f>G362*Controls!$B$6</f>
        <v>3250</v>
      </c>
      <c r="N362" s="12">
        <f>IF(L362=0,0,SUMIFS('PSI Plan'!$N$6:$N$173,'PSI Plan'!$B$6:$B$173,B362,'PSI Plan'!$C$6:$C$173,I362))</f>
        <v>0</v>
      </c>
      <c r="O362" s="11">
        <f t="shared" si="10"/>
        <v>0</v>
      </c>
      <c r="P362" s="11">
        <f t="shared" si="11"/>
        <v>0</v>
      </c>
      <c r="Q362" s="6"/>
      <c r="R362" s="6"/>
      <c r="S362" s="6"/>
      <c r="T362" s="6"/>
    </row>
    <row r="363" spans="1:20">
      <c r="A363" s="6" t="s">
        <v>500</v>
      </c>
      <c r="B363" s="6" t="s">
        <v>69</v>
      </c>
      <c r="C363" s="6" t="s">
        <v>90</v>
      </c>
      <c r="D363" s="6" t="s">
        <v>119</v>
      </c>
      <c r="E363" s="6" t="s">
        <v>120</v>
      </c>
      <c r="F363" s="7">
        <v>26</v>
      </c>
      <c r="G363" s="7">
        <v>3250</v>
      </c>
      <c r="H363" s="16">
        <v>45267</v>
      </c>
      <c r="I363" s="6">
        <v>49</v>
      </c>
      <c r="J363" s="6" t="s">
        <v>121</v>
      </c>
      <c r="K363" s="6" t="s">
        <v>135</v>
      </c>
      <c r="L363" s="11">
        <f>F363*Controls!$B$6</f>
        <v>26</v>
      </c>
      <c r="M363" s="11">
        <f>G363*Controls!$B$6</f>
        <v>3250</v>
      </c>
      <c r="N363" s="12">
        <f>IF(L363=0,0,SUMIFS('PSI Plan'!$N$6:$N$173,'PSI Plan'!$B$6:$B$173,B363,'PSI Plan'!$C$6:$C$173,I363))</f>
        <v>0</v>
      </c>
      <c r="O363" s="11">
        <f t="shared" si="10"/>
        <v>0</v>
      </c>
      <c r="P363" s="11">
        <f t="shared" si="11"/>
        <v>0</v>
      </c>
      <c r="Q363" s="6"/>
      <c r="R363" s="6"/>
      <c r="S363" s="6"/>
      <c r="T363" s="6"/>
    </row>
    <row r="364" spans="1:20">
      <c r="A364" s="6" t="s">
        <v>501</v>
      </c>
      <c r="B364" s="6" t="s">
        <v>77</v>
      </c>
      <c r="C364" s="6" t="s">
        <v>90</v>
      </c>
      <c r="D364" s="6" t="s">
        <v>119</v>
      </c>
      <c r="E364" s="6" t="s">
        <v>120</v>
      </c>
      <c r="F364" s="7">
        <v>26</v>
      </c>
      <c r="G364" s="7">
        <v>3250</v>
      </c>
      <c r="H364" s="16">
        <v>45275</v>
      </c>
      <c r="I364" s="6">
        <v>50</v>
      </c>
      <c r="J364" s="6" t="s">
        <v>121</v>
      </c>
      <c r="K364" s="6" t="s">
        <v>135</v>
      </c>
      <c r="L364" s="11">
        <f>F364*Controls!$B$6</f>
        <v>26</v>
      </c>
      <c r="M364" s="11">
        <f>G364*Controls!$B$6</f>
        <v>3250</v>
      </c>
      <c r="N364" s="12">
        <f>IF(L364=0,0,SUMIFS('PSI Plan'!$N$6:$N$173,'PSI Plan'!$B$6:$B$173,B364,'PSI Plan'!$C$6:$C$173,I364))</f>
        <v>0</v>
      </c>
      <c r="O364" s="11">
        <f t="shared" si="10"/>
        <v>0</v>
      </c>
      <c r="P364" s="11">
        <f t="shared" si="11"/>
        <v>0</v>
      </c>
      <c r="Q364" s="6"/>
      <c r="R364" s="6"/>
      <c r="S364" s="6"/>
      <c r="T364" s="6"/>
    </row>
    <row r="365" spans="1:20">
      <c r="A365" s="6" t="s">
        <v>502</v>
      </c>
      <c r="B365" s="6" t="s">
        <v>77</v>
      </c>
      <c r="C365" s="6" t="s">
        <v>90</v>
      </c>
      <c r="D365" s="6" t="s">
        <v>119</v>
      </c>
      <c r="E365" s="6" t="s">
        <v>120</v>
      </c>
      <c r="F365" s="7">
        <v>52</v>
      </c>
      <c r="G365" s="7">
        <v>6500</v>
      </c>
      <c r="H365" s="16">
        <v>45244</v>
      </c>
      <c r="I365" s="6">
        <v>46</v>
      </c>
      <c r="J365" s="6" t="s">
        <v>121</v>
      </c>
      <c r="K365" s="6" t="s">
        <v>171</v>
      </c>
      <c r="L365" s="11">
        <f>F365*Controls!$B$6</f>
        <v>52</v>
      </c>
      <c r="M365" s="11">
        <f>G365*Controls!$B$6</f>
        <v>6500</v>
      </c>
      <c r="N365" s="12">
        <f>IF(L365=0,0,SUMIFS('PSI Plan'!$N$6:$N$173,'PSI Plan'!$B$6:$B$173,B365,'PSI Plan'!$C$6:$C$173,I365))</f>
        <v>0</v>
      </c>
      <c r="O365" s="11">
        <f t="shared" si="10"/>
        <v>0</v>
      </c>
      <c r="P365" s="11">
        <f t="shared" si="11"/>
        <v>0</v>
      </c>
      <c r="Q365" s="6"/>
      <c r="R365" s="6"/>
      <c r="S365" s="6"/>
      <c r="T365" s="6"/>
    </row>
    <row r="366" spans="1:20">
      <c r="A366" s="6" t="s">
        <v>503</v>
      </c>
      <c r="B366" s="6" t="s">
        <v>69</v>
      </c>
      <c r="C366" s="6" t="s">
        <v>90</v>
      </c>
      <c r="D366" s="6" t="s">
        <v>119</v>
      </c>
      <c r="E366" s="6" t="s">
        <v>120</v>
      </c>
      <c r="F366" s="7">
        <v>52</v>
      </c>
      <c r="G366" s="7">
        <v>6500</v>
      </c>
      <c r="H366" s="16">
        <v>45244</v>
      </c>
      <c r="I366" s="6">
        <v>46</v>
      </c>
      <c r="J366" s="6" t="s">
        <v>121</v>
      </c>
      <c r="K366" s="6" t="s">
        <v>171</v>
      </c>
      <c r="L366" s="11">
        <f>F366*Controls!$B$6</f>
        <v>52</v>
      </c>
      <c r="M366" s="11">
        <f>G366*Controls!$B$6</f>
        <v>6500</v>
      </c>
      <c r="N366" s="12">
        <f>IF(L366=0,0,SUMIFS('PSI Plan'!$N$6:$N$173,'PSI Plan'!$B$6:$B$173,B366,'PSI Plan'!$C$6:$C$173,I366))</f>
        <v>0</v>
      </c>
      <c r="O366" s="11">
        <f t="shared" si="10"/>
        <v>0</v>
      </c>
      <c r="P366" s="11">
        <f t="shared" si="11"/>
        <v>0</v>
      </c>
      <c r="Q366" s="6"/>
      <c r="R366" s="6"/>
      <c r="S366" s="6"/>
      <c r="T366" s="6"/>
    </row>
    <row r="367" spans="1:20">
      <c r="A367" s="6" t="s">
        <v>504</v>
      </c>
      <c r="B367" s="6" t="s">
        <v>66</v>
      </c>
      <c r="C367" s="6" t="s">
        <v>90</v>
      </c>
      <c r="D367" s="6" t="s">
        <v>119</v>
      </c>
      <c r="E367" s="6" t="s">
        <v>120</v>
      </c>
      <c r="F367" s="7">
        <v>3</v>
      </c>
      <c r="G367" s="7">
        <v>375</v>
      </c>
      <c r="H367" s="16">
        <v>45231</v>
      </c>
      <c r="I367" s="6">
        <v>44</v>
      </c>
      <c r="J367" s="6" t="s">
        <v>121</v>
      </c>
      <c r="K367" s="6" t="s">
        <v>139</v>
      </c>
      <c r="L367" s="11">
        <f>F367*Controls!$B$6</f>
        <v>3</v>
      </c>
      <c r="M367" s="11">
        <f>G367*Controls!$B$6</f>
        <v>375</v>
      </c>
      <c r="N367" s="12">
        <f>IF(L367=0,0,SUMIFS('PSI Plan'!$N$6:$N$173,'PSI Plan'!$B$6:$B$173,B367,'PSI Plan'!$C$6:$C$173,I367))</f>
        <v>0</v>
      </c>
      <c r="O367" s="11">
        <f t="shared" si="10"/>
        <v>0</v>
      </c>
      <c r="P367" s="11">
        <f t="shared" si="11"/>
        <v>0</v>
      </c>
      <c r="Q367" s="6"/>
      <c r="R367" s="6"/>
      <c r="S367" s="6"/>
      <c r="T367" s="6"/>
    </row>
    <row r="368" spans="1:20">
      <c r="A368" s="6" t="s">
        <v>505</v>
      </c>
      <c r="B368" s="6" t="s">
        <v>69</v>
      </c>
      <c r="C368" s="6" t="s">
        <v>90</v>
      </c>
      <c r="D368" s="6" t="s">
        <v>119</v>
      </c>
      <c r="E368" s="6" t="s">
        <v>120</v>
      </c>
      <c r="F368" s="7">
        <v>4</v>
      </c>
      <c r="G368" s="7">
        <v>500</v>
      </c>
      <c r="H368" s="16">
        <v>45219</v>
      </c>
      <c r="I368" s="6">
        <v>42</v>
      </c>
      <c r="J368" s="6" t="s">
        <v>121</v>
      </c>
      <c r="K368" s="6" t="s">
        <v>139</v>
      </c>
      <c r="L368" s="11">
        <f>F368*Controls!$B$6</f>
        <v>4</v>
      </c>
      <c r="M368" s="11">
        <f>G368*Controls!$B$6</f>
        <v>500</v>
      </c>
      <c r="N368" s="12">
        <f>IF(L368=0,0,SUMIFS('PSI Plan'!$N$6:$N$173,'PSI Plan'!$B$6:$B$173,B368,'PSI Plan'!$C$6:$C$173,I368))</f>
        <v>0</v>
      </c>
      <c r="O368" s="11">
        <f t="shared" si="10"/>
        <v>0</v>
      </c>
      <c r="P368" s="11">
        <f t="shared" si="11"/>
        <v>0</v>
      </c>
      <c r="Q368" s="6"/>
      <c r="R368" s="6"/>
      <c r="S368" s="6"/>
      <c r="T368" s="6"/>
    </row>
    <row r="369" spans="1:20">
      <c r="A369" s="6" t="s">
        <v>506</v>
      </c>
      <c r="B369" s="6" t="s">
        <v>77</v>
      </c>
      <c r="C369" s="6" t="s">
        <v>90</v>
      </c>
      <c r="D369" s="6" t="s">
        <v>119</v>
      </c>
      <c r="E369" s="6" t="s">
        <v>120</v>
      </c>
      <c r="F369" s="7">
        <v>16</v>
      </c>
      <c r="G369" s="7">
        <v>2000</v>
      </c>
      <c r="H369" s="16">
        <v>45239</v>
      </c>
      <c r="I369" s="6">
        <v>45</v>
      </c>
      <c r="J369" s="6" t="s">
        <v>121</v>
      </c>
      <c r="K369" s="6" t="s">
        <v>132</v>
      </c>
      <c r="L369" s="11">
        <f>F369*Controls!$B$6</f>
        <v>16</v>
      </c>
      <c r="M369" s="11">
        <f>G369*Controls!$B$6</f>
        <v>2000</v>
      </c>
      <c r="N369" s="12">
        <f>IF(L369=0,0,SUMIFS('PSI Plan'!$N$6:$N$173,'PSI Plan'!$B$6:$B$173,B369,'PSI Plan'!$C$6:$C$173,I369))</f>
        <v>0</v>
      </c>
      <c r="O369" s="11">
        <f t="shared" si="10"/>
        <v>0</v>
      </c>
      <c r="P369" s="11">
        <f t="shared" si="11"/>
        <v>0</v>
      </c>
      <c r="Q369" s="6"/>
      <c r="R369" s="6"/>
      <c r="S369" s="6"/>
      <c r="T369" s="6"/>
    </row>
    <row r="370" spans="1:20">
      <c r="A370" s="6" t="s">
        <v>507</v>
      </c>
      <c r="B370" s="6" t="s">
        <v>69</v>
      </c>
      <c r="C370" s="6" t="s">
        <v>90</v>
      </c>
      <c r="D370" s="6" t="s">
        <v>119</v>
      </c>
      <c r="E370" s="6" t="s">
        <v>120</v>
      </c>
      <c r="F370" s="7">
        <v>11</v>
      </c>
      <c r="G370" s="7">
        <v>1375</v>
      </c>
      <c r="H370" s="16">
        <v>45279</v>
      </c>
      <c r="I370" s="6">
        <v>51</v>
      </c>
      <c r="J370" s="6" t="s">
        <v>121</v>
      </c>
      <c r="K370" s="6" t="s">
        <v>132</v>
      </c>
      <c r="L370" s="11">
        <f>F370*Controls!$B$6</f>
        <v>11</v>
      </c>
      <c r="M370" s="11">
        <f>G370*Controls!$B$6</f>
        <v>1375</v>
      </c>
      <c r="N370" s="12">
        <f>IF(L370=0,0,SUMIFS('PSI Plan'!$N$6:$N$173,'PSI Plan'!$B$6:$B$173,B370,'PSI Plan'!$C$6:$C$173,I370))</f>
        <v>0</v>
      </c>
      <c r="O370" s="11">
        <f t="shared" si="10"/>
        <v>0</v>
      </c>
      <c r="P370" s="11">
        <f t="shared" si="11"/>
        <v>0</v>
      </c>
      <c r="Q370" s="6"/>
      <c r="R370" s="6"/>
      <c r="S370" s="6"/>
      <c r="T370" s="6"/>
    </row>
    <row r="371" spans="1:20">
      <c r="A371" s="6" t="s">
        <v>508</v>
      </c>
      <c r="B371" s="6" t="s">
        <v>66</v>
      </c>
      <c r="C371" s="6" t="s">
        <v>90</v>
      </c>
      <c r="D371" s="6" t="s">
        <v>119</v>
      </c>
      <c r="E371" s="6" t="s">
        <v>120</v>
      </c>
      <c r="F371" s="7">
        <v>52</v>
      </c>
      <c r="G371" s="7">
        <v>6500</v>
      </c>
      <c r="H371" s="16">
        <v>45233</v>
      </c>
      <c r="I371" s="6">
        <v>44</v>
      </c>
      <c r="J371" s="6" t="s">
        <v>121</v>
      </c>
      <c r="K371" s="6" t="s">
        <v>122</v>
      </c>
      <c r="L371" s="11">
        <f>F371*Controls!$B$6</f>
        <v>52</v>
      </c>
      <c r="M371" s="11">
        <f>G371*Controls!$B$6</f>
        <v>6500</v>
      </c>
      <c r="N371" s="12">
        <f>IF(L371=0,0,SUMIFS('PSI Plan'!$N$6:$N$173,'PSI Plan'!$B$6:$B$173,B371,'PSI Plan'!$C$6:$C$173,I371))</f>
        <v>0</v>
      </c>
      <c r="O371" s="11">
        <f t="shared" si="10"/>
        <v>0</v>
      </c>
      <c r="P371" s="11">
        <f t="shared" si="11"/>
        <v>0</v>
      </c>
      <c r="Q371" s="6"/>
      <c r="R371" s="6"/>
      <c r="S371" s="6"/>
      <c r="T371" s="6"/>
    </row>
    <row r="372" spans="1:20">
      <c r="A372" s="6" t="s">
        <v>509</v>
      </c>
      <c r="B372" s="6" t="s">
        <v>76</v>
      </c>
      <c r="C372" s="6" t="s">
        <v>90</v>
      </c>
      <c r="D372" s="6" t="s">
        <v>119</v>
      </c>
      <c r="E372" s="6" t="s">
        <v>120</v>
      </c>
      <c r="F372" s="7">
        <v>26</v>
      </c>
      <c r="G372" s="7">
        <v>3250</v>
      </c>
      <c r="H372" s="16">
        <v>45217</v>
      </c>
      <c r="I372" s="6">
        <v>42</v>
      </c>
      <c r="J372" s="6" t="s">
        <v>121</v>
      </c>
      <c r="K372" s="6" t="s">
        <v>122</v>
      </c>
      <c r="L372" s="11">
        <f>F372*Controls!$B$6</f>
        <v>26</v>
      </c>
      <c r="M372" s="11">
        <f>G372*Controls!$B$6</f>
        <v>3250</v>
      </c>
      <c r="N372" s="12">
        <f>IF(L372=0,0,SUMIFS('PSI Plan'!$N$6:$N$173,'PSI Plan'!$B$6:$B$173,B372,'PSI Plan'!$C$6:$C$173,I372))</f>
        <v>0</v>
      </c>
      <c r="O372" s="11">
        <f t="shared" si="10"/>
        <v>0</v>
      </c>
      <c r="P372" s="11">
        <f t="shared" si="11"/>
        <v>0</v>
      </c>
      <c r="Q372" s="6"/>
      <c r="R372" s="6"/>
      <c r="S372" s="6"/>
      <c r="T372" s="6"/>
    </row>
    <row r="373" spans="1:20">
      <c r="A373" s="6" t="s">
        <v>510</v>
      </c>
      <c r="B373" s="6" t="s">
        <v>77</v>
      </c>
      <c r="C373" s="6" t="s">
        <v>90</v>
      </c>
      <c r="D373" s="6" t="s">
        <v>119</v>
      </c>
      <c r="E373" s="6" t="s">
        <v>120</v>
      </c>
      <c r="F373" s="7">
        <v>52</v>
      </c>
      <c r="G373" s="7">
        <v>6500</v>
      </c>
      <c r="H373" s="16">
        <v>45239</v>
      </c>
      <c r="I373" s="6">
        <v>45</v>
      </c>
      <c r="J373" s="6" t="s">
        <v>121</v>
      </c>
      <c r="K373" s="6" t="s">
        <v>122</v>
      </c>
      <c r="L373" s="11">
        <f>F373*Controls!$B$6</f>
        <v>52</v>
      </c>
      <c r="M373" s="11">
        <f>G373*Controls!$B$6</f>
        <v>6500</v>
      </c>
      <c r="N373" s="12">
        <f>IF(L373=0,0,SUMIFS('PSI Plan'!$N$6:$N$173,'PSI Plan'!$B$6:$B$173,B373,'PSI Plan'!$C$6:$C$173,I373))</f>
        <v>0</v>
      </c>
      <c r="O373" s="11">
        <f t="shared" si="10"/>
        <v>0</v>
      </c>
      <c r="P373" s="11">
        <f t="shared" si="11"/>
        <v>0</v>
      </c>
      <c r="Q373" s="6"/>
      <c r="R373" s="6"/>
      <c r="S373" s="6"/>
      <c r="T373" s="6"/>
    </row>
    <row r="374" spans="1:20">
      <c r="A374" s="6" t="s">
        <v>511</v>
      </c>
      <c r="B374" s="6" t="s">
        <v>77</v>
      </c>
      <c r="C374" s="6" t="s">
        <v>99</v>
      </c>
      <c r="D374" s="6" t="s">
        <v>319</v>
      </c>
      <c r="E374" s="6" t="s">
        <v>120</v>
      </c>
      <c r="F374" s="7">
        <v>24</v>
      </c>
      <c r="G374" s="7">
        <v>3000</v>
      </c>
      <c r="H374" s="16">
        <v>45263</v>
      </c>
      <c r="I374" s="6">
        <v>49</v>
      </c>
      <c r="J374" s="6" t="s">
        <v>121</v>
      </c>
      <c r="K374" s="6" t="s">
        <v>374</v>
      </c>
      <c r="L374" s="11">
        <f>F374*Controls!$B$6</f>
        <v>24</v>
      </c>
      <c r="M374" s="11">
        <f>G374*Controls!$B$6</f>
        <v>3000</v>
      </c>
      <c r="N374" s="12">
        <f>IF(L374=0,0,SUMIFS('PSI Plan'!$N$6:$N$173,'PSI Plan'!$B$6:$B$173,B374,'PSI Plan'!$C$6:$C$173,I374))</f>
        <v>0</v>
      </c>
      <c r="O374" s="11">
        <f t="shared" si="10"/>
        <v>0</v>
      </c>
      <c r="P374" s="11">
        <f t="shared" si="11"/>
        <v>0</v>
      </c>
      <c r="Q374" s="6"/>
      <c r="R374" s="6"/>
      <c r="S374" s="6"/>
      <c r="T374" s="6"/>
    </row>
    <row r="375" spans="1:20">
      <c r="A375" s="6" t="s">
        <v>512</v>
      </c>
      <c r="B375" s="6" t="s">
        <v>69</v>
      </c>
      <c r="C375" s="6" t="s">
        <v>90</v>
      </c>
      <c r="D375" s="6" t="s">
        <v>119</v>
      </c>
      <c r="E375" s="6" t="s">
        <v>120</v>
      </c>
      <c r="F375" s="7">
        <v>52</v>
      </c>
      <c r="G375" s="7">
        <v>6500</v>
      </c>
      <c r="H375" s="16">
        <v>45263</v>
      </c>
      <c r="I375" s="6">
        <v>49</v>
      </c>
      <c r="J375" s="6" t="s">
        <v>121</v>
      </c>
      <c r="K375" s="6" t="s">
        <v>122</v>
      </c>
      <c r="L375" s="11">
        <f>F375*Controls!$B$6</f>
        <v>52</v>
      </c>
      <c r="M375" s="11">
        <f>G375*Controls!$B$6</f>
        <v>6500</v>
      </c>
      <c r="N375" s="12">
        <f>IF(L375=0,0,SUMIFS('PSI Plan'!$N$6:$N$173,'PSI Plan'!$B$6:$B$173,B375,'PSI Plan'!$C$6:$C$173,I375))</f>
        <v>0</v>
      </c>
      <c r="O375" s="11">
        <f t="shared" si="10"/>
        <v>0</v>
      </c>
      <c r="P375" s="11">
        <f t="shared" si="11"/>
        <v>0</v>
      </c>
      <c r="Q375" s="6"/>
      <c r="R375" s="6"/>
      <c r="S375" s="6"/>
      <c r="T375" s="6"/>
    </row>
    <row r="376" spans="1:20">
      <c r="A376" s="6" t="s">
        <v>513</v>
      </c>
      <c r="B376" s="6" t="s">
        <v>69</v>
      </c>
      <c r="C376" s="6" t="s">
        <v>99</v>
      </c>
      <c r="D376" s="6" t="s">
        <v>319</v>
      </c>
      <c r="E376" s="6" t="s">
        <v>120</v>
      </c>
      <c r="F376" s="7">
        <v>52</v>
      </c>
      <c r="G376" s="7">
        <v>6500</v>
      </c>
      <c r="H376" s="16">
        <v>45278</v>
      </c>
      <c r="I376" s="6">
        <v>51</v>
      </c>
      <c r="J376" s="6" t="s">
        <v>121</v>
      </c>
      <c r="K376" s="6" t="s">
        <v>344</v>
      </c>
      <c r="L376" s="11">
        <f>F376*Controls!$B$6</f>
        <v>52</v>
      </c>
      <c r="M376" s="11">
        <f>G376*Controls!$B$6</f>
        <v>6500</v>
      </c>
      <c r="N376" s="12">
        <f>IF(L376=0,0,SUMIFS('PSI Plan'!$N$6:$N$173,'PSI Plan'!$B$6:$B$173,B376,'PSI Plan'!$C$6:$C$173,I376))</f>
        <v>0</v>
      </c>
      <c r="O376" s="11">
        <f t="shared" si="10"/>
        <v>0</v>
      </c>
      <c r="P376" s="11">
        <f t="shared" si="11"/>
        <v>0</v>
      </c>
      <c r="Q376" s="6"/>
      <c r="R376" s="6"/>
      <c r="S376" s="6"/>
      <c r="T376" s="6"/>
    </row>
    <row r="377" spans="1:20">
      <c r="A377" s="6" t="s">
        <v>514</v>
      </c>
      <c r="B377" s="6" t="s">
        <v>66</v>
      </c>
      <c r="C377" s="6" t="s">
        <v>99</v>
      </c>
      <c r="D377" s="6" t="s">
        <v>319</v>
      </c>
      <c r="E377" s="6" t="s">
        <v>120</v>
      </c>
      <c r="F377" s="7">
        <v>52</v>
      </c>
      <c r="G377" s="7">
        <v>6500</v>
      </c>
      <c r="H377" s="16">
        <v>45249</v>
      </c>
      <c r="I377" s="6">
        <v>47</v>
      </c>
      <c r="J377" s="6" t="s">
        <v>121</v>
      </c>
      <c r="K377" s="6" t="s">
        <v>344</v>
      </c>
      <c r="L377" s="11">
        <f>F377*Controls!$B$6</f>
        <v>52</v>
      </c>
      <c r="M377" s="11">
        <f>G377*Controls!$B$6</f>
        <v>6500</v>
      </c>
      <c r="N377" s="12">
        <f>IF(L377=0,0,SUMIFS('PSI Plan'!$N$6:$N$173,'PSI Plan'!$B$6:$B$173,B377,'PSI Plan'!$C$6:$C$173,I377))</f>
        <v>0</v>
      </c>
      <c r="O377" s="11">
        <f t="shared" si="10"/>
        <v>0</v>
      </c>
      <c r="P377" s="11">
        <f t="shared" si="11"/>
        <v>0</v>
      </c>
      <c r="Q377" s="6"/>
      <c r="R377" s="6"/>
      <c r="S377" s="6"/>
      <c r="T377" s="6"/>
    </row>
    <row r="378" spans="1:20">
      <c r="A378" s="6" t="s">
        <v>515</v>
      </c>
      <c r="B378" s="6" t="s">
        <v>66</v>
      </c>
      <c r="C378" s="6" t="s">
        <v>99</v>
      </c>
      <c r="D378" s="6" t="s">
        <v>319</v>
      </c>
      <c r="E378" s="6" t="s">
        <v>120</v>
      </c>
      <c r="F378" s="7">
        <v>260</v>
      </c>
      <c r="G378" s="7">
        <v>32500</v>
      </c>
      <c r="H378" s="16">
        <v>45282</v>
      </c>
      <c r="I378" s="6">
        <v>51</v>
      </c>
      <c r="J378" s="6" t="s">
        <v>121</v>
      </c>
      <c r="K378" s="6" t="s">
        <v>347</v>
      </c>
      <c r="L378" s="11">
        <f>F378*Controls!$B$6</f>
        <v>260</v>
      </c>
      <c r="M378" s="11">
        <f>G378*Controls!$B$6</f>
        <v>32500</v>
      </c>
      <c r="N378" s="12">
        <f>IF(L378=0,0,SUMIFS('PSI Plan'!$N$6:$N$173,'PSI Plan'!$B$6:$B$173,B378,'PSI Plan'!$C$6:$C$173,I378))</f>
        <v>0</v>
      </c>
      <c r="O378" s="11">
        <f t="shared" si="10"/>
        <v>0</v>
      </c>
      <c r="P378" s="11">
        <f t="shared" si="11"/>
        <v>0</v>
      </c>
      <c r="Q378" s="6"/>
      <c r="R378" s="6"/>
      <c r="S378" s="6"/>
      <c r="T378" s="6"/>
    </row>
    <row r="379" spans="1:20">
      <c r="A379" s="6" t="s">
        <v>516</v>
      </c>
      <c r="B379" s="6" t="s">
        <v>69</v>
      </c>
      <c r="C379" s="6" t="s">
        <v>99</v>
      </c>
      <c r="D379" s="6" t="s">
        <v>319</v>
      </c>
      <c r="E379" s="6" t="s">
        <v>120</v>
      </c>
      <c r="F379" s="7">
        <v>312</v>
      </c>
      <c r="G379" s="7">
        <v>39000</v>
      </c>
      <c r="H379" s="16">
        <v>45247</v>
      </c>
      <c r="I379" s="6">
        <v>46</v>
      </c>
      <c r="J379" s="6" t="s">
        <v>121</v>
      </c>
      <c r="K379" s="6" t="s">
        <v>347</v>
      </c>
      <c r="L379" s="11">
        <f>F379*Controls!$B$6</f>
        <v>312</v>
      </c>
      <c r="M379" s="11">
        <f>G379*Controls!$B$6</f>
        <v>39000</v>
      </c>
      <c r="N379" s="12">
        <f>IF(L379=0,0,SUMIFS('PSI Plan'!$N$6:$N$173,'PSI Plan'!$B$6:$B$173,B379,'PSI Plan'!$C$6:$C$173,I379))</f>
        <v>0</v>
      </c>
      <c r="O379" s="11">
        <f t="shared" si="10"/>
        <v>0</v>
      </c>
      <c r="P379" s="11">
        <f t="shared" si="11"/>
        <v>0</v>
      </c>
      <c r="Q379" s="6"/>
      <c r="R379" s="6"/>
      <c r="S379" s="6"/>
      <c r="T379" s="6"/>
    </row>
    <row r="380" spans="1:20">
      <c r="A380" s="6" t="s">
        <v>517</v>
      </c>
      <c r="B380" s="6" t="s">
        <v>77</v>
      </c>
      <c r="C380" s="6" t="s">
        <v>99</v>
      </c>
      <c r="D380" s="6" t="s">
        <v>319</v>
      </c>
      <c r="E380" s="6" t="s">
        <v>120</v>
      </c>
      <c r="F380" s="7">
        <v>156</v>
      </c>
      <c r="G380" s="7">
        <v>19500</v>
      </c>
      <c r="H380" s="16">
        <v>45286</v>
      </c>
      <c r="I380" s="6">
        <v>52</v>
      </c>
      <c r="J380" s="6" t="s">
        <v>121</v>
      </c>
      <c r="K380" s="6" t="s">
        <v>347</v>
      </c>
      <c r="L380" s="11">
        <f>F380*Controls!$B$6</f>
        <v>156</v>
      </c>
      <c r="M380" s="11">
        <f>G380*Controls!$B$6</f>
        <v>19500</v>
      </c>
      <c r="N380" s="12">
        <f>IF(L380=0,0,SUMIFS('PSI Plan'!$N$6:$N$173,'PSI Plan'!$B$6:$B$173,B380,'PSI Plan'!$C$6:$C$173,I380))</f>
        <v>0</v>
      </c>
      <c r="O380" s="11">
        <f t="shared" si="10"/>
        <v>0</v>
      </c>
      <c r="P380" s="11">
        <f t="shared" si="11"/>
        <v>0</v>
      </c>
      <c r="Q380" s="6"/>
      <c r="R380" s="6"/>
      <c r="S380" s="6"/>
      <c r="T380" s="6"/>
    </row>
    <row r="381" spans="1:20">
      <c r="A381" s="6" t="s">
        <v>518</v>
      </c>
      <c r="B381" s="6" t="s">
        <v>69</v>
      </c>
      <c r="C381" s="6" t="s">
        <v>99</v>
      </c>
      <c r="D381" s="6" t="s">
        <v>319</v>
      </c>
      <c r="E381" s="6" t="s">
        <v>120</v>
      </c>
      <c r="F381" s="7">
        <v>40</v>
      </c>
      <c r="G381" s="7">
        <v>5000</v>
      </c>
      <c r="H381" s="16">
        <v>45273</v>
      </c>
      <c r="I381" s="6">
        <v>50</v>
      </c>
      <c r="J381" s="6" t="s">
        <v>121</v>
      </c>
      <c r="K381" s="6" t="s">
        <v>374</v>
      </c>
      <c r="L381" s="11">
        <f>F381*Controls!$B$6</f>
        <v>40</v>
      </c>
      <c r="M381" s="11">
        <f>G381*Controls!$B$6</f>
        <v>5000</v>
      </c>
      <c r="N381" s="12">
        <f>IF(L381=0,0,SUMIFS('PSI Plan'!$N$6:$N$173,'PSI Plan'!$B$6:$B$173,B381,'PSI Plan'!$C$6:$C$173,I381))</f>
        <v>0</v>
      </c>
      <c r="O381" s="11">
        <f t="shared" si="10"/>
        <v>0</v>
      </c>
      <c r="P381" s="11">
        <f t="shared" si="11"/>
        <v>0</v>
      </c>
      <c r="Q381" s="6"/>
      <c r="R381" s="6"/>
      <c r="S381" s="6"/>
      <c r="T381" s="6"/>
    </row>
    <row r="382" spans="1:20">
      <c r="A382" s="6" t="s">
        <v>519</v>
      </c>
      <c r="B382" s="6" t="s">
        <v>77</v>
      </c>
      <c r="C382" s="6" t="s">
        <v>99</v>
      </c>
      <c r="D382" s="6" t="s">
        <v>319</v>
      </c>
      <c r="E382" s="6" t="s">
        <v>120</v>
      </c>
      <c r="F382" s="7">
        <v>16</v>
      </c>
      <c r="G382" s="7">
        <v>2000</v>
      </c>
      <c r="H382" s="16">
        <v>45278</v>
      </c>
      <c r="I382" s="6">
        <v>51</v>
      </c>
      <c r="J382" s="6" t="s">
        <v>121</v>
      </c>
      <c r="K382" s="6" t="s">
        <v>365</v>
      </c>
      <c r="L382" s="11">
        <f>F382*Controls!$B$6</f>
        <v>16</v>
      </c>
      <c r="M382" s="11">
        <f>G382*Controls!$B$6</f>
        <v>2000</v>
      </c>
      <c r="N382" s="12">
        <f>IF(L382=0,0,SUMIFS('PSI Plan'!$N$6:$N$173,'PSI Plan'!$B$6:$B$173,B382,'PSI Plan'!$C$6:$C$173,I382))</f>
        <v>0</v>
      </c>
      <c r="O382" s="11">
        <f t="shared" si="10"/>
        <v>0</v>
      </c>
      <c r="P382" s="11">
        <f t="shared" si="11"/>
        <v>0</v>
      </c>
      <c r="Q382" s="6"/>
      <c r="R382" s="6"/>
      <c r="S382" s="6"/>
      <c r="T382" s="6"/>
    </row>
    <row r="383" spans="1:20">
      <c r="A383" s="6" t="s">
        <v>520</v>
      </c>
      <c r="B383" s="6" t="s">
        <v>69</v>
      </c>
      <c r="C383" s="6" t="s">
        <v>99</v>
      </c>
      <c r="D383" s="6" t="s">
        <v>319</v>
      </c>
      <c r="E383" s="6" t="s">
        <v>120</v>
      </c>
      <c r="F383" s="7">
        <v>24</v>
      </c>
      <c r="G383" s="7">
        <v>3000</v>
      </c>
      <c r="H383" s="16">
        <v>45210</v>
      </c>
      <c r="I383" s="6">
        <v>41</v>
      </c>
      <c r="J383" s="6" t="s">
        <v>121</v>
      </c>
      <c r="K383" s="6" t="s">
        <v>365</v>
      </c>
      <c r="L383" s="11">
        <f>F383*Controls!$B$6</f>
        <v>24</v>
      </c>
      <c r="M383" s="11">
        <f>G383*Controls!$B$6</f>
        <v>3000</v>
      </c>
      <c r="N383" s="12">
        <f>IF(L383=0,0,SUMIFS('PSI Plan'!$N$6:$N$173,'PSI Plan'!$B$6:$B$173,B383,'PSI Plan'!$C$6:$C$173,I383))</f>
        <v>0</v>
      </c>
      <c r="O383" s="11">
        <f t="shared" si="10"/>
        <v>0</v>
      </c>
      <c r="P383" s="11">
        <f t="shared" si="11"/>
        <v>0</v>
      </c>
      <c r="Q383" s="6"/>
      <c r="R383" s="6"/>
      <c r="S383" s="6"/>
      <c r="T383" s="6"/>
    </row>
    <row r="384" spans="1:20">
      <c r="A384" s="6" t="s">
        <v>521</v>
      </c>
      <c r="B384" s="6" t="s">
        <v>69</v>
      </c>
      <c r="C384" s="6" t="s">
        <v>99</v>
      </c>
      <c r="D384" s="6" t="s">
        <v>319</v>
      </c>
      <c r="E384" s="6" t="s">
        <v>120</v>
      </c>
      <c r="F384" s="7">
        <v>22</v>
      </c>
      <c r="G384" s="7">
        <v>2750</v>
      </c>
      <c r="H384" s="16">
        <v>45270</v>
      </c>
      <c r="I384" s="6">
        <v>50</v>
      </c>
      <c r="J384" s="6" t="s">
        <v>121</v>
      </c>
      <c r="K384" s="6" t="s">
        <v>459</v>
      </c>
      <c r="L384" s="11">
        <f>F384*Controls!$B$6</f>
        <v>22</v>
      </c>
      <c r="M384" s="11">
        <f>G384*Controls!$B$6</f>
        <v>2750</v>
      </c>
      <c r="N384" s="12">
        <f>IF(L384=0,0,SUMIFS('PSI Plan'!$N$6:$N$173,'PSI Plan'!$B$6:$B$173,B384,'PSI Plan'!$C$6:$C$173,I384))</f>
        <v>0</v>
      </c>
      <c r="O384" s="11">
        <f t="shared" si="10"/>
        <v>0</v>
      </c>
      <c r="P384" s="11">
        <f t="shared" si="11"/>
        <v>0</v>
      </c>
      <c r="Q384" s="6"/>
      <c r="R384" s="6"/>
      <c r="S384" s="6"/>
      <c r="T384" s="6"/>
    </row>
    <row r="385" spans="1:20">
      <c r="A385" s="6" t="s">
        <v>522</v>
      </c>
      <c r="B385" s="6" t="s">
        <v>77</v>
      </c>
      <c r="C385" s="6" t="s">
        <v>99</v>
      </c>
      <c r="D385" s="6" t="s">
        <v>319</v>
      </c>
      <c r="E385" s="6" t="s">
        <v>120</v>
      </c>
      <c r="F385" s="7">
        <v>52</v>
      </c>
      <c r="G385" s="7">
        <v>6500</v>
      </c>
      <c r="H385" s="16">
        <v>45257</v>
      </c>
      <c r="I385" s="6">
        <v>48</v>
      </c>
      <c r="J385" s="6" t="s">
        <v>121</v>
      </c>
      <c r="K385" s="6" t="s">
        <v>459</v>
      </c>
      <c r="L385" s="11">
        <f>F385*Controls!$B$6</f>
        <v>52</v>
      </c>
      <c r="M385" s="11">
        <f>G385*Controls!$B$6</f>
        <v>6500</v>
      </c>
      <c r="N385" s="12">
        <f>IF(L385=0,0,SUMIFS('PSI Plan'!$N$6:$N$173,'PSI Plan'!$B$6:$B$173,B385,'PSI Plan'!$C$6:$C$173,I385))</f>
        <v>0</v>
      </c>
      <c r="O385" s="11">
        <f t="shared" si="10"/>
        <v>0</v>
      </c>
      <c r="P385" s="11">
        <f t="shared" si="11"/>
        <v>0</v>
      </c>
      <c r="Q385" s="6"/>
      <c r="R385" s="6"/>
      <c r="S385" s="6"/>
      <c r="T385" s="6"/>
    </row>
    <row r="386" spans="1:20">
      <c r="A386" s="6" t="s">
        <v>523</v>
      </c>
      <c r="B386" s="6" t="s">
        <v>66</v>
      </c>
      <c r="C386" s="6" t="s">
        <v>90</v>
      </c>
      <c r="D386" s="6" t="s">
        <v>319</v>
      </c>
      <c r="E386" s="6" t="s">
        <v>120</v>
      </c>
      <c r="F386" s="7">
        <v>52</v>
      </c>
      <c r="G386" s="7">
        <v>6500</v>
      </c>
      <c r="H386" s="16">
        <v>45226</v>
      </c>
      <c r="I386" s="6">
        <v>43</v>
      </c>
      <c r="J386" s="6" t="s">
        <v>121</v>
      </c>
      <c r="K386" s="6" t="s">
        <v>344</v>
      </c>
      <c r="L386" s="11">
        <f>F386*Controls!$B$6</f>
        <v>52</v>
      </c>
      <c r="M386" s="11">
        <f>G386*Controls!$B$6</f>
        <v>6500</v>
      </c>
      <c r="N386" s="12">
        <f>IF(L386=0,0,SUMIFS('PSI Plan'!$N$6:$N$173,'PSI Plan'!$B$6:$B$173,B386,'PSI Plan'!$C$6:$C$173,I386))</f>
        <v>0</v>
      </c>
      <c r="O386" s="11">
        <f t="shared" ref="O386:O449" si="12">L386*N386</f>
        <v>0</v>
      </c>
      <c r="P386" s="11">
        <f t="shared" ref="P386:P449" si="13">M386*N386</f>
        <v>0</v>
      </c>
      <c r="Q386" s="6"/>
      <c r="R386" s="6"/>
      <c r="S386" s="6"/>
      <c r="T386" s="6"/>
    </row>
    <row r="387" spans="1:20">
      <c r="A387" s="6" t="s">
        <v>524</v>
      </c>
      <c r="B387" s="6" t="s">
        <v>77</v>
      </c>
      <c r="C387" s="6" t="s">
        <v>90</v>
      </c>
      <c r="D387" s="6" t="s">
        <v>319</v>
      </c>
      <c r="E387" s="6" t="s">
        <v>120</v>
      </c>
      <c r="F387" s="7">
        <v>52</v>
      </c>
      <c r="G387" s="7">
        <v>6500</v>
      </c>
      <c r="H387" s="16">
        <v>45220</v>
      </c>
      <c r="I387" s="6">
        <v>42</v>
      </c>
      <c r="J387" s="6" t="s">
        <v>121</v>
      </c>
      <c r="K387" s="6" t="s">
        <v>344</v>
      </c>
      <c r="L387" s="11">
        <f>F387*Controls!$B$6</f>
        <v>52</v>
      </c>
      <c r="M387" s="11">
        <f>G387*Controls!$B$6</f>
        <v>6500</v>
      </c>
      <c r="N387" s="12">
        <f>IF(L387=0,0,SUMIFS('PSI Plan'!$N$6:$N$173,'PSI Plan'!$B$6:$B$173,B387,'PSI Plan'!$C$6:$C$173,I387))</f>
        <v>0</v>
      </c>
      <c r="O387" s="11">
        <f t="shared" si="12"/>
        <v>0</v>
      </c>
      <c r="P387" s="11">
        <f t="shared" si="13"/>
        <v>0</v>
      </c>
      <c r="Q387" s="6"/>
      <c r="R387" s="6"/>
      <c r="S387" s="6"/>
      <c r="T387" s="6"/>
    </row>
    <row r="388" spans="1:20">
      <c r="A388" s="6" t="s">
        <v>525</v>
      </c>
      <c r="B388" s="6" t="s">
        <v>69</v>
      </c>
      <c r="C388" s="6" t="s">
        <v>90</v>
      </c>
      <c r="D388" s="6" t="s">
        <v>319</v>
      </c>
      <c r="E388" s="6" t="s">
        <v>120</v>
      </c>
      <c r="F388" s="7">
        <v>104</v>
      </c>
      <c r="G388" s="7">
        <v>13000</v>
      </c>
      <c r="H388" s="16">
        <v>45233</v>
      </c>
      <c r="I388" s="6">
        <v>44</v>
      </c>
      <c r="J388" s="6" t="s">
        <v>121</v>
      </c>
      <c r="K388" s="6" t="s">
        <v>344</v>
      </c>
      <c r="L388" s="11">
        <f>F388*Controls!$B$6</f>
        <v>104</v>
      </c>
      <c r="M388" s="11">
        <f>G388*Controls!$B$6</f>
        <v>13000</v>
      </c>
      <c r="N388" s="12">
        <f>IF(L388=0,0,SUMIFS('PSI Plan'!$N$6:$N$173,'PSI Plan'!$B$6:$B$173,B388,'PSI Plan'!$C$6:$C$173,I388))</f>
        <v>0</v>
      </c>
      <c r="O388" s="11">
        <f t="shared" si="12"/>
        <v>0</v>
      </c>
      <c r="P388" s="11">
        <f t="shared" si="13"/>
        <v>0</v>
      </c>
      <c r="Q388" s="6"/>
      <c r="R388" s="6"/>
      <c r="S388" s="6"/>
      <c r="T388" s="6"/>
    </row>
    <row r="389" spans="1:20">
      <c r="A389" s="6" t="s">
        <v>526</v>
      </c>
      <c r="B389" s="6" t="s">
        <v>66</v>
      </c>
      <c r="C389" s="6" t="s">
        <v>90</v>
      </c>
      <c r="D389" s="6" t="s">
        <v>119</v>
      </c>
      <c r="E389" s="6" t="s">
        <v>120</v>
      </c>
      <c r="F389" s="7">
        <v>3</v>
      </c>
      <c r="G389" s="7">
        <v>375</v>
      </c>
      <c r="H389" s="16">
        <v>45285</v>
      </c>
      <c r="I389" s="6">
        <v>52</v>
      </c>
      <c r="J389" s="6" t="s">
        <v>121</v>
      </c>
      <c r="K389" s="6" t="s">
        <v>135</v>
      </c>
      <c r="L389" s="11">
        <f>F389*Controls!$B$6</f>
        <v>3</v>
      </c>
      <c r="M389" s="11">
        <f>G389*Controls!$B$6</f>
        <v>375</v>
      </c>
      <c r="N389" s="12">
        <f>IF(L389=0,0,SUMIFS('PSI Plan'!$N$6:$N$173,'PSI Plan'!$B$6:$B$173,B389,'PSI Plan'!$C$6:$C$173,I389))</f>
        <v>0</v>
      </c>
      <c r="O389" s="11">
        <f t="shared" si="12"/>
        <v>0</v>
      </c>
      <c r="P389" s="11">
        <f t="shared" si="13"/>
        <v>0</v>
      </c>
      <c r="Q389" s="6"/>
      <c r="R389" s="6"/>
      <c r="S389" s="6"/>
      <c r="T389" s="6"/>
    </row>
    <row r="390" spans="1:20">
      <c r="A390" s="6" t="s">
        <v>527</v>
      </c>
      <c r="B390" s="6" t="s">
        <v>66</v>
      </c>
      <c r="C390" s="6" t="s">
        <v>90</v>
      </c>
      <c r="D390" s="6" t="s">
        <v>319</v>
      </c>
      <c r="E390" s="6" t="s">
        <v>120</v>
      </c>
      <c r="F390" s="7">
        <v>260</v>
      </c>
      <c r="G390" s="7">
        <v>32500</v>
      </c>
      <c r="H390" s="16">
        <v>45247</v>
      </c>
      <c r="I390" s="6">
        <v>46</v>
      </c>
      <c r="J390" s="6" t="s">
        <v>121</v>
      </c>
      <c r="K390" s="6" t="s">
        <v>347</v>
      </c>
      <c r="L390" s="11">
        <f>F390*Controls!$B$6</f>
        <v>260</v>
      </c>
      <c r="M390" s="11">
        <f>G390*Controls!$B$6</f>
        <v>32500</v>
      </c>
      <c r="N390" s="12">
        <f>IF(L390=0,0,SUMIFS('PSI Plan'!$N$6:$N$173,'PSI Plan'!$B$6:$B$173,B390,'PSI Plan'!$C$6:$C$173,I390))</f>
        <v>0</v>
      </c>
      <c r="O390" s="11">
        <f t="shared" si="12"/>
        <v>0</v>
      </c>
      <c r="P390" s="11">
        <f t="shared" si="13"/>
        <v>0</v>
      </c>
      <c r="Q390" s="6"/>
      <c r="R390" s="6"/>
      <c r="S390" s="6"/>
      <c r="T390" s="6"/>
    </row>
    <row r="391" spans="1:20">
      <c r="A391" s="6" t="s">
        <v>528</v>
      </c>
      <c r="B391" s="6" t="s">
        <v>69</v>
      </c>
      <c r="C391" s="6" t="s">
        <v>90</v>
      </c>
      <c r="D391" s="6" t="s">
        <v>319</v>
      </c>
      <c r="E391" s="6" t="s">
        <v>120</v>
      </c>
      <c r="F391" s="7">
        <v>312</v>
      </c>
      <c r="G391" s="7">
        <v>39000</v>
      </c>
      <c r="H391" s="16">
        <v>45243</v>
      </c>
      <c r="I391" s="6">
        <v>46</v>
      </c>
      <c r="J391" s="6" t="s">
        <v>121</v>
      </c>
      <c r="K391" s="6" t="s">
        <v>347</v>
      </c>
      <c r="L391" s="11">
        <f>F391*Controls!$B$6</f>
        <v>312</v>
      </c>
      <c r="M391" s="11">
        <f>G391*Controls!$B$6</f>
        <v>39000</v>
      </c>
      <c r="N391" s="12">
        <f>IF(L391=0,0,SUMIFS('PSI Plan'!$N$6:$N$173,'PSI Plan'!$B$6:$B$173,B391,'PSI Plan'!$C$6:$C$173,I391))</f>
        <v>0</v>
      </c>
      <c r="O391" s="11">
        <f t="shared" si="12"/>
        <v>0</v>
      </c>
      <c r="P391" s="11">
        <f t="shared" si="13"/>
        <v>0</v>
      </c>
      <c r="Q391" s="6"/>
      <c r="R391" s="6"/>
      <c r="S391" s="6"/>
      <c r="T391" s="6"/>
    </row>
    <row r="392" spans="1:20">
      <c r="A392" s="6" t="s">
        <v>529</v>
      </c>
      <c r="B392" s="6" t="s">
        <v>77</v>
      </c>
      <c r="C392" s="6" t="s">
        <v>90</v>
      </c>
      <c r="D392" s="6" t="s">
        <v>319</v>
      </c>
      <c r="E392" s="6" t="s">
        <v>120</v>
      </c>
      <c r="F392" s="7">
        <v>156</v>
      </c>
      <c r="G392" s="7">
        <v>19500</v>
      </c>
      <c r="H392" s="16">
        <v>45232</v>
      </c>
      <c r="I392" s="6">
        <v>44</v>
      </c>
      <c r="J392" s="6" t="s">
        <v>121</v>
      </c>
      <c r="K392" s="6" t="s">
        <v>347</v>
      </c>
      <c r="L392" s="11">
        <f>F392*Controls!$B$6</f>
        <v>156</v>
      </c>
      <c r="M392" s="11">
        <f>G392*Controls!$B$6</f>
        <v>19500</v>
      </c>
      <c r="N392" s="12">
        <f>IF(L392=0,0,SUMIFS('PSI Plan'!$N$6:$N$173,'PSI Plan'!$B$6:$B$173,B392,'PSI Plan'!$C$6:$C$173,I392))</f>
        <v>0</v>
      </c>
      <c r="O392" s="11">
        <f t="shared" si="12"/>
        <v>0</v>
      </c>
      <c r="P392" s="11">
        <f t="shared" si="13"/>
        <v>0</v>
      </c>
      <c r="Q392" s="6"/>
      <c r="R392" s="6"/>
      <c r="S392" s="6"/>
      <c r="T392" s="6"/>
    </row>
    <row r="393" spans="1:20">
      <c r="A393" s="6" t="s">
        <v>530</v>
      </c>
      <c r="B393" s="6" t="s">
        <v>69</v>
      </c>
      <c r="C393" s="6" t="s">
        <v>90</v>
      </c>
      <c r="D393" s="6" t="s">
        <v>119</v>
      </c>
      <c r="E393" s="6" t="s">
        <v>120</v>
      </c>
      <c r="F393" s="7">
        <v>6</v>
      </c>
      <c r="G393" s="7">
        <v>750</v>
      </c>
      <c r="H393" s="16">
        <v>45270</v>
      </c>
      <c r="I393" s="6">
        <v>50</v>
      </c>
      <c r="J393" s="6" t="s">
        <v>121</v>
      </c>
      <c r="K393" s="6" t="s">
        <v>150</v>
      </c>
      <c r="L393" s="11">
        <f>F393*Controls!$B$6</f>
        <v>6</v>
      </c>
      <c r="M393" s="11">
        <f>G393*Controls!$B$6</f>
        <v>750</v>
      </c>
      <c r="N393" s="12">
        <f>IF(L393=0,0,SUMIFS('PSI Plan'!$N$6:$N$173,'PSI Plan'!$B$6:$B$173,B393,'PSI Plan'!$C$6:$C$173,I393))</f>
        <v>0</v>
      </c>
      <c r="O393" s="11">
        <f t="shared" si="12"/>
        <v>0</v>
      </c>
      <c r="P393" s="11">
        <f t="shared" si="13"/>
        <v>0</v>
      </c>
      <c r="Q393" s="6"/>
      <c r="R393" s="6"/>
      <c r="S393" s="6"/>
      <c r="T393" s="6"/>
    </row>
    <row r="394" spans="1:20">
      <c r="A394" s="6" t="s">
        <v>531</v>
      </c>
      <c r="B394" s="6" t="s">
        <v>69</v>
      </c>
      <c r="C394" s="6" t="s">
        <v>90</v>
      </c>
      <c r="D394" s="6" t="s">
        <v>119</v>
      </c>
      <c r="E394" s="6" t="s">
        <v>120</v>
      </c>
      <c r="F394" s="7">
        <v>5</v>
      </c>
      <c r="G394" s="7">
        <v>625</v>
      </c>
      <c r="H394" s="16">
        <v>45277</v>
      </c>
      <c r="I394" s="6">
        <v>51</v>
      </c>
      <c r="J394" s="6" t="s">
        <v>121</v>
      </c>
      <c r="K394" s="6" t="s">
        <v>139</v>
      </c>
      <c r="L394" s="11">
        <f>F394*Controls!$B$6</f>
        <v>5</v>
      </c>
      <c r="M394" s="11">
        <f>G394*Controls!$B$6</f>
        <v>625</v>
      </c>
      <c r="N394" s="12">
        <f>IF(L394=0,0,SUMIFS('PSI Plan'!$N$6:$N$173,'PSI Plan'!$B$6:$B$173,B394,'PSI Plan'!$C$6:$C$173,I394))</f>
        <v>0</v>
      </c>
      <c r="O394" s="11">
        <f t="shared" si="12"/>
        <v>0</v>
      </c>
      <c r="P394" s="11">
        <f t="shared" si="13"/>
        <v>0</v>
      </c>
      <c r="Q394" s="6"/>
      <c r="R394" s="6"/>
      <c r="S394" s="6"/>
      <c r="T394" s="6"/>
    </row>
    <row r="395" spans="1:20">
      <c r="A395" s="6" t="s">
        <v>532</v>
      </c>
      <c r="B395" s="6" t="s">
        <v>77</v>
      </c>
      <c r="C395" s="6" t="s">
        <v>90</v>
      </c>
      <c r="D395" s="6" t="s">
        <v>119</v>
      </c>
      <c r="E395" s="6" t="s">
        <v>120</v>
      </c>
      <c r="F395" s="7">
        <v>1</v>
      </c>
      <c r="G395" s="7">
        <v>125</v>
      </c>
      <c r="H395" s="16">
        <v>45246</v>
      </c>
      <c r="I395" s="6">
        <v>46</v>
      </c>
      <c r="J395" s="6" t="s">
        <v>121</v>
      </c>
      <c r="K395" s="6" t="s">
        <v>171</v>
      </c>
      <c r="L395" s="11">
        <f>F395*Controls!$B$6</f>
        <v>1</v>
      </c>
      <c r="M395" s="11">
        <f>G395*Controls!$B$6</f>
        <v>125</v>
      </c>
      <c r="N395" s="12">
        <f>IF(L395=0,0,SUMIFS('PSI Plan'!$N$6:$N$173,'PSI Plan'!$B$6:$B$173,B395,'PSI Plan'!$C$6:$C$173,I395))</f>
        <v>0</v>
      </c>
      <c r="O395" s="11">
        <f t="shared" si="12"/>
        <v>0</v>
      </c>
      <c r="P395" s="11">
        <f t="shared" si="13"/>
        <v>0</v>
      </c>
      <c r="Q395" s="6"/>
      <c r="R395" s="6"/>
      <c r="S395" s="6"/>
      <c r="T395" s="6"/>
    </row>
    <row r="396" spans="1:20">
      <c r="A396" s="6" t="s">
        <v>533</v>
      </c>
      <c r="B396" s="6" t="s">
        <v>69</v>
      </c>
      <c r="C396" s="6" t="s">
        <v>90</v>
      </c>
      <c r="D396" s="6" t="s">
        <v>119</v>
      </c>
      <c r="E396" s="6" t="s">
        <v>120</v>
      </c>
      <c r="F396" s="7">
        <v>26</v>
      </c>
      <c r="G396" s="7">
        <v>3250</v>
      </c>
      <c r="H396" s="16">
        <v>45260</v>
      </c>
      <c r="I396" s="6">
        <v>48</v>
      </c>
      <c r="J396" s="6" t="s">
        <v>121</v>
      </c>
      <c r="K396" s="6" t="s">
        <v>171</v>
      </c>
      <c r="L396" s="11">
        <f>F396*Controls!$B$6</f>
        <v>26</v>
      </c>
      <c r="M396" s="11">
        <f>G396*Controls!$B$6</f>
        <v>3250</v>
      </c>
      <c r="N396" s="12">
        <f>IF(L396=0,0,SUMIFS('PSI Plan'!$N$6:$N$173,'PSI Plan'!$B$6:$B$173,B396,'PSI Plan'!$C$6:$C$173,I396))</f>
        <v>0</v>
      </c>
      <c r="O396" s="11">
        <f t="shared" si="12"/>
        <v>0</v>
      </c>
      <c r="P396" s="11">
        <f t="shared" si="13"/>
        <v>0</v>
      </c>
      <c r="Q396" s="6"/>
      <c r="R396" s="6"/>
      <c r="S396" s="6"/>
      <c r="T396" s="6"/>
    </row>
    <row r="397" spans="1:20">
      <c r="A397" s="6" t="s">
        <v>534</v>
      </c>
      <c r="B397" s="6" t="s">
        <v>67</v>
      </c>
      <c r="C397" s="6" t="s">
        <v>90</v>
      </c>
      <c r="D397" s="6" t="s">
        <v>119</v>
      </c>
      <c r="E397" s="6" t="s">
        <v>120</v>
      </c>
      <c r="F397" s="7">
        <v>14</v>
      </c>
      <c r="G397" s="7">
        <v>1750</v>
      </c>
      <c r="H397" s="16">
        <v>45235</v>
      </c>
      <c r="I397" s="6">
        <v>45</v>
      </c>
      <c r="J397" s="6" t="s">
        <v>121</v>
      </c>
      <c r="K397" s="6" t="s">
        <v>171</v>
      </c>
      <c r="L397" s="11">
        <f>F397*Controls!$B$6</f>
        <v>14</v>
      </c>
      <c r="M397" s="11">
        <f>G397*Controls!$B$6</f>
        <v>1750</v>
      </c>
      <c r="N397" s="12">
        <f>IF(L397=0,0,SUMIFS('PSI Plan'!$N$6:$N$173,'PSI Plan'!$B$6:$B$173,B397,'PSI Plan'!$C$6:$C$173,I397))</f>
        <v>0</v>
      </c>
      <c r="O397" s="11">
        <f t="shared" si="12"/>
        <v>0</v>
      </c>
      <c r="P397" s="11">
        <f t="shared" si="13"/>
        <v>0</v>
      </c>
      <c r="Q397" s="6"/>
      <c r="R397" s="6"/>
      <c r="S397" s="6"/>
      <c r="T397" s="6"/>
    </row>
    <row r="398" spans="1:20">
      <c r="A398" s="6" t="s">
        <v>535</v>
      </c>
      <c r="B398" s="6" t="s">
        <v>76</v>
      </c>
      <c r="C398" s="6" t="s">
        <v>90</v>
      </c>
      <c r="D398" s="6" t="s">
        <v>119</v>
      </c>
      <c r="E398" s="6" t="s">
        <v>120</v>
      </c>
      <c r="F398" s="7">
        <v>26</v>
      </c>
      <c r="G398" s="7">
        <v>3250</v>
      </c>
      <c r="H398" s="16">
        <v>45201</v>
      </c>
      <c r="I398" s="6">
        <v>40</v>
      </c>
      <c r="J398" s="6" t="s">
        <v>121</v>
      </c>
      <c r="K398" s="6" t="s">
        <v>122</v>
      </c>
      <c r="L398" s="11">
        <f>F398*Controls!$B$6</f>
        <v>26</v>
      </c>
      <c r="M398" s="11">
        <f>G398*Controls!$B$6</f>
        <v>3250</v>
      </c>
      <c r="N398" s="12">
        <f>IF(L398=0,0,SUMIFS('PSI Plan'!$N$6:$N$173,'PSI Plan'!$B$6:$B$173,B398,'PSI Plan'!$C$6:$C$173,I398))</f>
        <v>0</v>
      </c>
      <c r="O398" s="11">
        <f t="shared" si="12"/>
        <v>0</v>
      </c>
      <c r="P398" s="11">
        <f t="shared" si="13"/>
        <v>0</v>
      </c>
      <c r="Q398" s="6"/>
      <c r="R398" s="6"/>
      <c r="S398" s="6"/>
      <c r="T398" s="6"/>
    </row>
    <row r="399" spans="1:20">
      <c r="A399" s="6" t="s">
        <v>536</v>
      </c>
      <c r="B399" s="6" t="s">
        <v>67</v>
      </c>
      <c r="C399" s="6" t="s">
        <v>90</v>
      </c>
      <c r="D399" s="6" t="s">
        <v>119</v>
      </c>
      <c r="E399" s="6" t="s">
        <v>120</v>
      </c>
      <c r="F399" s="7">
        <v>52</v>
      </c>
      <c r="G399" s="7">
        <v>6500</v>
      </c>
      <c r="H399" s="16">
        <v>45239</v>
      </c>
      <c r="I399" s="6">
        <v>45</v>
      </c>
      <c r="J399" s="6" t="s">
        <v>121</v>
      </c>
      <c r="K399" s="6" t="s">
        <v>122</v>
      </c>
      <c r="L399" s="11">
        <f>F399*Controls!$B$6</f>
        <v>52</v>
      </c>
      <c r="M399" s="11">
        <f>G399*Controls!$B$6</f>
        <v>6500</v>
      </c>
      <c r="N399" s="12">
        <f>IF(L399=0,0,SUMIFS('PSI Plan'!$N$6:$N$173,'PSI Plan'!$B$6:$B$173,B399,'PSI Plan'!$C$6:$C$173,I399))</f>
        <v>0</v>
      </c>
      <c r="O399" s="11">
        <f t="shared" si="12"/>
        <v>0</v>
      </c>
      <c r="P399" s="11">
        <f t="shared" si="13"/>
        <v>0</v>
      </c>
      <c r="Q399" s="6"/>
      <c r="R399" s="6"/>
      <c r="S399" s="6"/>
      <c r="T399" s="6"/>
    </row>
    <row r="400" spans="1:20">
      <c r="A400" s="6" t="s">
        <v>537</v>
      </c>
      <c r="B400" s="6" t="s">
        <v>69</v>
      </c>
      <c r="C400" s="6" t="s">
        <v>90</v>
      </c>
      <c r="D400" s="6" t="s">
        <v>119</v>
      </c>
      <c r="E400" s="6" t="s">
        <v>120</v>
      </c>
      <c r="F400" s="7">
        <v>7</v>
      </c>
      <c r="G400" s="7">
        <v>875</v>
      </c>
      <c r="H400" s="16">
        <v>45224</v>
      </c>
      <c r="I400" s="6">
        <v>43</v>
      </c>
      <c r="J400" s="6" t="s">
        <v>121</v>
      </c>
      <c r="K400" s="6" t="s">
        <v>132</v>
      </c>
      <c r="L400" s="11">
        <f>F400*Controls!$B$6</f>
        <v>7</v>
      </c>
      <c r="M400" s="11">
        <f>G400*Controls!$B$6</f>
        <v>875</v>
      </c>
      <c r="N400" s="12">
        <f>IF(L400=0,0,SUMIFS('PSI Plan'!$N$6:$N$173,'PSI Plan'!$B$6:$B$173,B400,'PSI Plan'!$C$6:$C$173,I400))</f>
        <v>0</v>
      </c>
      <c r="O400" s="11">
        <f t="shared" si="12"/>
        <v>0</v>
      </c>
      <c r="P400" s="11">
        <f t="shared" si="13"/>
        <v>0</v>
      </c>
      <c r="Q400" s="6"/>
      <c r="R400" s="6"/>
      <c r="S400" s="6"/>
      <c r="T400" s="6"/>
    </row>
    <row r="401" spans="1:20">
      <c r="A401" s="6" t="s">
        <v>538</v>
      </c>
      <c r="B401" s="6" t="s">
        <v>77</v>
      </c>
      <c r="C401" s="6" t="s">
        <v>90</v>
      </c>
      <c r="D401" s="6" t="s">
        <v>119</v>
      </c>
      <c r="E401" s="6" t="s">
        <v>120</v>
      </c>
      <c r="F401" s="7">
        <v>11</v>
      </c>
      <c r="G401" s="7">
        <v>1375</v>
      </c>
      <c r="H401" s="16">
        <v>45261</v>
      </c>
      <c r="I401" s="6">
        <v>48</v>
      </c>
      <c r="J401" s="6" t="s">
        <v>121</v>
      </c>
      <c r="K401" s="6" t="s">
        <v>132</v>
      </c>
      <c r="L401" s="11">
        <f>F401*Controls!$B$6</f>
        <v>11</v>
      </c>
      <c r="M401" s="11">
        <f>G401*Controls!$B$6</f>
        <v>1375</v>
      </c>
      <c r="N401" s="12">
        <f>IF(L401=0,0,SUMIFS('PSI Plan'!$N$6:$N$173,'PSI Plan'!$B$6:$B$173,B401,'PSI Plan'!$C$6:$C$173,I401))</f>
        <v>0</v>
      </c>
      <c r="O401" s="11">
        <f t="shared" si="12"/>
        <v>0</v>
      </c>
      <c r="P401" s="11">
        <f t="shared" si="13"/>
        <v>0</v>
      </c>
      <c r="Q401" s="6"/>
      <c r="R401" s="6"/>
      <c r="S401" s="6"/>
      <c r="T401" s="6"/>
    </row>
    <row r="402" spans="1:20">
      <c r="A402" s="6" t="s">
        <v>539</v>
      </c>
      <c r="B402" s="6" t="s">
        <v>69</v>
      </c>
      <c r="C402" s="6" t="s">
        <v>90</v>
      </c>
      <c r="D402" s="6" t="s">
        <v>119</v>
      </c>
      <c r="E402" s="6" t="s">
        <v>120</v>
      </c>
      <c r="F402" s="7">
        <v>104</v>
      </c>
      <c r="G402" s="7">
        <v>13000</v>
      </c>
      <c r="H402" s="16">
        <v>45270</v>
      </c>
      <c r="I402" s="6">
        <v>50</v>
      </c>
      <c r="J402" s="6" t="s">
        <v>121</v>
      </c>
      <c r="K402" s="6" t="s">
        <v>122</v>
      </c>
      <c r="L402" s="11">
        <f>F402*Controls!$B$6</f>
        <v>104</v>
      </c>
      <c r="M402" s="11">
        <f>G402*Controls!$B$6</f>
        <v>13000</v>
      </c>
      <c r="N402" s="12">
        <f>IF(L402=0,0,SUMIFS('PSI Plan'!$N$6:$N$173,'PSI Plan'!$B$6:$B$173,B402,'PSI Plan'!$C$6:$C$173,I402))</f>
        <v>0</v>
      </c>
      <c r="O402" s="11">
        <f t="shared" si="12"/>
        <v>0</v>
      </c>
      <c r="P402" s="11">
        <f t="shared" si="13"/>
        <v>0</v>
      </c>
      <c r="Q402" s="6"/>
      <c r="R402" s="6"/>
      <c r="S402" s="6"/>
      <c r="T402" s="6"/>
    </row>
    <row r="403" spans="1:20">
      <c r="A403" s="6" t="s">
        <v>540</v>
      </c>
      <c r="B403" s="6" t="s">
        <v>76</v>
      </c>
      <c r="C403" s="6" t="s">
        <v>90</v>
      </c>
      <c r="D403" s="6" t="s">
        <v>119</v>
      </c>
      <c r="E403" s="6" t="s">
        <v>120</v>
      </c>
      <c r="F403" s="7">
        <v>26</v>
      </c>
      <c r="G403" s="7">
        <v>3250</v>
      </c>
      <c r="H403" s="16">
        <v>45238</v>
      </c>
      <c r="I403" s="6">
        <v>45</v>
      </c>
      <c r="J403" s="6" t="s">
        <v>121</v>
      </c>
      <c r="K403" s="6" t="s">
        <v>122</v>
      </c>
      <c r="L403" s="11">
        <f>F403*Controls!$B$6</f>
        <v>26</v>
      </c>
      <c r="M403" s="11">
        <f>G403*Controls!$B$6</f>
        <v>3250</v>
      </c>
      <c r="N403" s="12">
        <f>IF(L403=0,0,SUMIFS('PSI Plan'!$N$6:$N$173,'PSI Plan'!$B$6:$B$173,B403,'PSI Plan'!$C$6:$C$173,I403))</f>
        <v>0</v>
      </c>
      <c r="O403" s="11">
        <f t="shared" si="12"/>
        <v>0</v>
      </c>
      <c r="P403" s="11">
        <f t="shared" si="13"/>
        <v>0</v>
      </c>
      <c r="Q403" s="6"/>
      <c r="R403" s="6"/>
      <c r="S403" s="6"/>
      <c r="T403" s="6"/>
    </row>
    <row r="404" spans="1:20">
      <c r="A404" s="6" t="s">
        <v>541</v>
      </c>
      <c r="B404" s="6" t="s">
        <v>77</v>
      </c>
      <c r="C404" s="6" t="s">
        <v>90</v>
      </c>
      <c r="D404" s="6" t="s">
        <v>119</v>
      </c>
      <c r="E404" s="6" t="s">
        <v>120</v>
      </c>
      <c r="F404" s="7">
        <v>52</v>
      </c>
      <c r="G404" s="7">
        <v>6500</v>
      </c>
      <c r="H404" s="16">
        <v>45270</v>
      </c>
      <c r="I404" s="6">
        <v>50</v>
      </c>
      <c r="J404" s="6" t="s">
        <v>121</v>
      </c>
      <c r="K404" s="6" t="s">
        <v>122</v>
      </c>
      <c r="L404" s="11">
        <f>F404*Controls!$B$6</f>
        <v>52</v>
      </c>
      <c r="M404" s="11">
        <f>G404*Controls!$B$6</f>
        <v>6500</v>
      </c>
      <c r="N404" s="12">
        <f>IF(L404=0,0,SUMIFS('PSI Plan'!$N$6:$N$173,'PSI Plan'!$B$6:$B$173,B404,'PSI Plan'!$C$6:$C$173,I404))</f>
        <v>0</v>
      </c>
      <c r="O404" s="11">
        <f t="shared" si="12"/>
        <v>0</v>
      </c>
      <c r="P404" s="11">
        <f t="shared" si="13"/>
        <v>0</v>
      </c>
      <c r="Q404" s="6"/>
      <c r="R404" s="6"/>
      <c r="S404" s="6"/>
      <c r="T404" s="6"/>
    </row>
    <row r="405" spans="1:20">
      <c r="A405" s="6" t="s">
        <v>542</v>
      </c>
      <c r="B405" s="6" t="s">
        <v>76</v>
      </c>
      <c r="C405" s="6" t="s">
        <v>90</v>
      </c>
      <c r="D405" s="6" t="s">
        <v>119</v>
      </c>
      <c r="E405" s="6" t="s">
        <v>120</v>
      </c>
      <c r="F405" s="7">
        <v>26</v>
      </c>
      <c r="G405" s="7">
        <v>3250</v>
      </c>
      <c r="H405" s="16">
        <v>45243</v>
      </c>
      <c r="I405" s="6">
        <v>46</v>
      </c>
      <c r="J405" s="6" t="s">
        <v>121</v>
      </c>
      <c r="K405" s="6" t="s">
        <v>122</v>
      </c>
      <c r="L405" s="11">
        <f>F405*Controls!$B$6</f>
        <v>26</v>
      </c>
      <c r="M405" s="11">
        <f>G405*Controls!$B$6</f>
        <v>3250</v>
      </c>
      <c r="N405" s="12">
        <f>IF(L405=0,0,SUMIFS('PSI Plan'!$N$6:$N$173,'PSI Plan'!$B$6:$B$173,B405,'PSI Plan'!$C$6:$C$173,I405))</f>
        <v>0</v>
      </c>
      <c r="O405" s="11">
        <f t="shared" si="12"/>
        <v>0</v>
      </c>
      <c r="P405" s="11">
        <f t="shared" si="13"/>
        <v>0</v>
      </c>
      <c r="Q405" s="6"/>
      <c r="R405" s="6"/>
      <c r="S405" s="6"/>
      <c r="T405" s="6"/>
    </row>
    <row r="406" spans="1:20">
      <c r="A406" s="6" t="s">
        <v>543</v>
      </c>
      <c r="B406" s="6" t="s">
        <v>77</v>
      </c>
      <c r="C406" s="6" t="s">
        <v>90</v>
      </c>
      <c r="D406" s="6" t="s">
        <v>119</v>
      </c>
      <c r="E406" s="6" t="s">
        <v>120</v>
      </c>
      <c r="F406" s="7">
        <v>4</v>
      </c>
      <c r="G406" s="7">
        <v>500</v>
      </c>
      <c r="H406" s="16">
        <v>45283</v>
      </c>
      <c r="I406" s="6">
        <v>51</v>
      </c>
      <c r="J406" s="6" t="s">
        <v>121</v>
      </c>
      <c r="K406" s="6" t="s">
        <v>298</v>
      </c>
      <c r="L406" s="11">
        <f>F406*Controls!$B$6</f>
        <v>4</v>
      </c>
      <c r="M406" s="11">
        <f>G406*Controls!$B$6</f>
        <v>500</v>
      </c>
      <c r="N406" s="12">
        <f>IF(L406=0,0,SUMIFS('PSI Plan'!$N$6:$N$173,'PSI Plan'!$B$6:$B$173,B406,'PSI Plan'!$C$6:$C$173,I406))</f>
        <v>0</v>
      </c>
      <c r="O406" s="11">
        <f t="shared" si="12"/>
        <v>0</v>
      </c>
      <c r="P406" s="11">
        <f t="shared" si="13"/>
        <v>0</v>
      </c>
      <c r="Q406" s="6"/>
      <c r="R406" s="6"/>
      <c r="S406" s="6"/>
      <c r="T406" s="6"/>
    </row>
    <row r="407" spans="1:20">
      <c r="A407" s="6" t="s">
        <v>544</v>
      </c>
      <c r="B407" s="6" t="s">
        <v>77</v>
      </c>
      <c r="C407" s="6" t="s">
        <v>90</v>
      </c>
      <c r="D407" s="6" t="s">
        <v>319</v>
      </c>
      <c r="E407" s="6" t="s">
        <v>120</v>
      </c>
      <c r="F407" s="7">
        <v>74</v>
      </c>
      <c r="G407" s="7">
        <v>9250</v>
      </c>
      <c r="H407" s="16">
        <v>45283</v>
      </c>
      <c r="I407" s="6">
        <v>51</v>
      </c>
      <c r="J407" s="6" t="s">
        <v>121</v>
      </c>
      <c r="K407" s="6" t="s">
        <v>320</v>
      </c>
      <c r="L407" s="11">
        <f>F407*Controls!$B$6</f>
        <v>74</v>
      </c>
      <c r="M407" s="11">
        <f>G407*Controls!$B$6</f>
        <v>9250</v>
      </c>
      <c r="N407" s="12">
        <f>IF(L407=0,0,SUMIFS('PSI Plan'!$N$6:$N$173,'PSI Plan'!$B$6:$B$173,B407,'PSI Plan'!$C$6:$C$173,I407))</f>
        <v>0</v>
      </c>
      <c r="O407" s="11">
        <f t="shared" si="12"/>
        <v>0</v>
      </c>
      <c r="P407" s="11">
        <f t="shared" si="13"/>
        <v>0</v>
      </c>
      <c r="Q407" s="6"/>
      <c r="R407" s="6"/>
      <c r="S407" s="6"/>
      <c r="T407" s="6"/>
    </row>
    <row r="408" spans="1:20">
      <c r="A408" s="6" t="s">
        <v>545</v>
      </c>
      <c r="B408" s="6" t="s">
        <v>69</v>
      </c>
      <c r="C408" s="6" t="s">
        <v>90</v>
      </c>
      <c r="D408" s="6" t="s">
        <v>319</v>
      </c>
      <c r="E408" s="6" t="s">
        <v>120</v>
      </c>
      <c r="F408" s="7">
        <v>125</v>
      </c>
      <c r="G408" s="7">
        <v>15625</v>
      </c>
      <c r="H408" s="16">
        <v>45233</v>
      </c>
      <c r="I408" s="6">
        <v>44</v>
      </c>
      <c r="J408" s="6" t="s">
        <v>121</v>
      </c>
      <c r="K408" s="6" t="s">
        <v>320</v>
      </c>
      <c r="L408" s="11">
        <f>F408*Controls!$B$6</f>
        <v>125</v>
      </c>
      <c r="M408" s="11">
        <f>G408*Controls!$B$6</f>
        <v>15625</v>
      </c>
      <c r="N408" s="12">
        <f>IF(L408=0,0,SUMIFS('PSI Plan'!$N$6:$N$173,'PSI Plan'!$B$6:$B$173,B408,'PSI Plan'!$C$6:$C$173,I408))</f>
        <v>0</v>
      </c>
      <c r="O408" s="11">
        <f t="shared" si="12"/>
        <v>0</v>
      </c>
      <c r="P408" s="11">
        <f t="shared" si="13"/>
        <v>0</v>
      </c>
      <c r="Q408" s="6"/>
      <c r="R408" s="6"/>
      <c r="S408" s="6"/>
      <c r="T408" s="6"/>
    </row>
    <row r="409" spans="1:20">
      <c r="A409" s="6" t="s">
        <v>546</v>
      </c>
      <c r="B409" s="6" t="s">
        <v>66</v>
      </c>
      <c r="C409" s="6" t="s">
        <v>90</v>
      </c>
      <c r="D409" s="6" t="s">
        <v>319</v>
      </c>
      <c r="E409" s="6" t="s">
        <v>120</v>
      </c>
      <c r="F409" s="7">
        <v>45</v>
      </c>
      <c r="G409" s="7">
        <v>5625</v>
      </c>
      <c r="H409" s="16">
        <v>45239</v>
      </c>
      <c r="I409" s="6">
        <v>45</v>
      </c>
      <c r="J409" s="6" t="s">
        <v>121</v>
      </c>
      <c r="K409" s="6" t="s">
        <v>361</v>
      </c>
      <c r="L409" s="11">
        <f>F409*Controls!$B$6</f>
        <v>45</v>
      </c>
      <c r="M409" s="11">
        <f>G409*Controls!$B$6</f>
        <v>5625</v>
      </c>
      <c r="N409" s="12">
        <f>IF(L409=0,0,SUMIFS('PSI Plan'!$N$6:$N$173,'PSI Plan'!$B$6:$B$173,B409,'PSI Plan'!$C$6:$C$173,I409))</f>
        <v>0</v>
      </c>
      <c r="O409" s="11">
        <f t="shared" si="12"/>
        <v>0</v>
      </c>
      <c r="P409" s="11">
        <f t="shared" si="13"/>
        <v>0</v>
      </c>
      <c r="Q409" s="6"/>
      <c r="R409" s="6"/>
      <c r="S409" s="6"/>
      <c r="T409" s="6"/>
    </row>
    <row r="410" spans="1:20">
      <c r="A410" s="6" t="s">
        <v>547</v>
      </c>
      <c r="B410" s="6" t="s">
        <v>77</v>
      </c>
      <c r="C410" s="6" t="s">
        <v>90</v>
      </c>
      <c r="D410" s="6" t="s">
        <v>319</v>
      </c>
      <c r="E410" s="6" t="s">
        <v>120</v>
      </c>
      <c r="F410" s="7">
        <v>41</v>
      </c>
      <c r="G410" s="7">
        <v>5125</v>
      </c>
      <c r="H410" s="16">
        <v>45249</v>
      </c>
      <c r="I410" s="6">
        <v>47</v>
      </c>
      <c r="J410" s="6" t="s">
        <v>121</v>
      </c>
      <c r="K410" s="6" t="s">
        <v>361</v>
      </c>
      <c r="L410" s="11">
        <f>F410*Controls!$B$6</f>
        <v>41</v>
      </c>
      <c r="M410" s="11">
        <f>G410*Controls!$B$6</f>
        <v>5125</v>
      </c>
      <c r="N410" s="12">
        <f>IF(L410=0,0,SUMIFS('PSI Plan'!$N$6:$N$173,'PSI Plan'!$B$6:$B$173,B410,'PSI Plan'!$C$6:$C$173,I410))</f>
        <v>0</v>
      </c>
      <c r="O410" s="11">
        <f t="shared" si="12"/>
        <v>0</v>
      </c>
      <c r="P410" s="11">
        <f t="shared" si="13"/>
        <v>0</v>
      </c>
      <c r="Q410" s="6"/>
      <c r="R410" s="6"/>
      <c r="S410" s="6"/>
      <c r="T410" s="6"/>
    </row>
    <row r="411" spans="1:20">
      <c r="A411" s="6" t="s">
        <v>548</v>
      </c>
      <c r="B411" s="6" t="s">
        <v>69</v>
      </c>
      <c r="C411" s="6" t="s">
        <v>90</v>
      </c>
      <c r="D411" s="6" t="s">
        <v>319</v>
      </c>
      <c r="E411" s="6" t="s">
        <v>120</v>
      </c>
      <c r="F411" s="7">
        <v>28</v>
      </c>
      <c r="G411" s="7">
        <v>3500</v>
      </c>
      <c r="H411" s="16">
        <v>45221</v>
      </c>
      <c r="I411" s="6">
        <v>43</v>
      </c>
      <c r="J411" s="6" t="s">
        <v>121</v>
      </c>
      <c r="K411" s="6" t="s">
        <v>361</v>
      </c>
      <c r="L411" s="11">
        <f>F411*Controls!$B$6</f>
        <v>28</v>
      </c>
      <c r="M411" s="11">
        <f>G411*Controls!$B$6</f>
        <v>3500</v>
      </c>
      <c r="N411" s="12">
        <f>IF(L411=0,0,SUMIFS('PSI Plan'!$N$6:$N$173,'PSI Plan'!$B$6:$B$173,B411,'PSI Plan'!$C$6:$C$173,I411))</f>
        <v>0</v>
      </c>
      <c r="O411" s="11">
        <f t="shared" si="12"/>
        <v>0</v>
      </c>
      <c r="P411" s="11">
        <f t="shared" si="13"/>
        <v>0</v>
      </c>
      <c r="Q411" s="6"/>
      <c r="R411" s="6"/>
      <c r="S411" s="6"/>
      <c r="T411" s="6"/>
    </row>
    <row r="412" spans="1:20">
      <c r="A412" s="6" t="s">
        <v>549</v>
      </c>
      <c r="B412" s="6" t="s">
        <v>77</v>
      </c>
      <c r="C412" s="6" t="s">
        <v>90</v>
      </c>
      <c r="D412" s="6" t="s">
        <v>319</v>
      </c>
      <c r="E412" s="6" t="s">
        <v>120</v>
      </c>
      <c r="F412" s="7">
        <v>52</v>
      </c>
      <c r="G412" s="7">
        <v>6500</v>
      </c>
      <c r="H412" s="16">
        <v>45274</v>
      </c>
      <c r="I412" s="6">
        <v>50</v>
      </c>
      <c r="J412" s="6" t="s">
        <v>121</v>
      </c>
      <c r="K412" s="6" t="s">
        <v>344</v>
      </c>
      <c r="L412" s="11">
        <f>F412*Controls!$B$6</f>
        <v>52</v>
      </c>
      <c r="M412" s="11">
        <f>G412*Controls!$B$6</f>
        <v>6500</v>
      </c>
      <c r="N412" s="12">
        <f>IF(L412=0,0,SUMIFS('PSI Plan'!$N$6:$N$173,'PSI Plan'!$B$6:$B$173,B412,'PSI Plan'!$C$6:$C$173,I412))</f>
        <v>0</v>
      </c>
      <c r="O412" s="11">
        <f t="shared" si="12"/>
        <v>0</v>
      </c>
      <c r="P412" s="11">
        <f t="shared" si="13"/>
        <v>0</v>
      </c>
      <c r="Q412" s="6"/>
      <c r="R412" s="6"/>
      <c r="S412" s="6"/>
      <c r="T412" s="6"/>
    </row>
    <row r="413" spans="1:20">
      <c r="A413" s="6" t="s">
        <v>550</v>
      </c>
      <c r="B413" s="6" t="s">
        <v>69</v>
      </c>
      <c r="C413" s="6" t="s">
        <v>90</v>
      </c>
      <c r="D413" s="6" t="s">
        <v>319</v>
      </c>
      <c r="E413" s="6" t="s">
        <v>120</v>
      </c>
      <c r="F413" s="7">
        <v>52</v>
      </c>
      <c r="G413" s="7">
        <v>6500</v>
      </c>
      <c r="H413" s="16">
        <v>45261</v>
      </c>
      <c r="I413" s="6">
        <v>48</v>
      </c>
      <c r="J413" s="6" t="s">
        <v>121</v>
      </c>
      <c r="K413" s="6" t="s">
        <v>344</v>
      </c>
      <c r="L413" s="11">
        <f>F413*Controls!$B$6</f>
        <v>52</v>
      </c>
      <c r="M413" s="11">
        <f>G413*Controls!$B$6</f>
        <v>6500</v>
      </c>
      <c r="N413" s="12">
        <f>IF(L413=0,0,SUMIFS('PSI Plan'!$N$6:$N$173,'PSI Plan'!$B$6:$B$173,B413,'PSI Plan'!$C$6:$C$173,I413))</f>
        <v>0</v>
      </c>
      <c r="O413" s="11">
        <f t="shared" si="12"/>
        <v>0</v>
      </c>
      <c r="P413" s="11">
        <f t="shared" si="13"/>
        <v>0</v>
      </c>
      <c r="Q413" s="6"/>
      <c r="R413" s="6"/>
      <c r="S413" s="6"/>
      <c r="T413" s="6"/>
    </row>
    <row r="414" spans="1:20">
      <c r="A414" s="6" t="s">
        <v>551</v>
      </c>
      <c r="B414" s="6" t="s">
        <v>76</v>
      </c>
      <c r="C414" s="6" t="s">
        <v>90</v>
      </c>
      <c r="D414" s="6" t="s">
        <v>119</v>
      </c>
      <c r="E414" s="6" t="s">
        <v>120</v>
      </c>
      <c r="F414" s="7">
        <v>26</v>
      </c>
      <c r="G414" s="7">
        <v>3250</v>
      </c>
      <c r="H414" s="16">
        <v>45225</v>
      </c>
      <c r="I414" s="6">
        <v>43</v>
      </c>
      <c r="J414" s="6" t="s">
        <v>121</v>
      </c>
      <c r="K414" s="6" t="s">
        <v>122</v>
      </c>
      <c r="L414" s="11">
        <f>F414*Controls!$B$6</f>
        <v>26</v>
      </c>
      <c r="M414" s="11">
        <f>G414*Controls!$B$6</f>
        <v>3250</v>
      </c>
      <c r="N414" s="12">
        <f>IF(L414=0,0,SUMIFS('PSI Plan'!$N$6:$N$173,'PSI Plan'!$B$6:$B$173,B414,'PSI Plan'!$C$6:$C$173,I414))</f>
        <v>0</v>
      </c>
      <c r="O414" s="11">
        <f t="shared" si="12"/>
        <v>0</v>
      </c>
      <c r="P414" s="11">
        <f t="shared" si="13"/>
        <v>0</v>
      </c>
      <c r="Q414" s="6"/>
      <c r="R414" s="6"/>
      <c r="S414" s="6"/>
      <c r="T414" s="6"/>
    </row>
    <row r="415" spans="1:20">
      <c r="A415" s="6" t="s">
        <v>552</v>
      </c>
      <c r="B415" s="6" t="s">
        <v>69</v>
      </c>
      <c r="C415" s="6" t="s">
        <v>90</v>
      </c>
      <c r="D415" s="6" t="s">
        <v>119</v>
      </c>
      <c r="E415" s="6" t="s">
        <v>120</v>
      </c>
      <c r="F415" s="7">
        <v>15</v>
      </c>
      <c r="G415" s="7">
        <v>1875</v>
      </c>
      <c r="H415" s="16">
        <v>45203</v>
      </c>
      <c r="I415" s="6">
        <v>40</v>
      </c>
      <c r="J415" s="6" t="s">
        <v>121</v>
      </c>
      <c r="K415" s="6" t="s">
        <v>132</v>
      </c>
      <c r="L415" s="11">
        <f>F415*Controls!$B$6</f>
        <v>15</v>
      </c>
      <c r="M415" s="11">
        <f>G415*Controls!$B$6</f>
        <v>1875</v>
      </c>
      <c r="N415" s="12">
        <f>IF(L415=0,0,SUMIFS('PSI Plan'!$N$6:$N$173,'PSI Plan'!$B$6:$B$173,B415,'PSI Plan'!$C$6:$C$173,I415))</f>
        <v>0</v>
      </c>
      <c r="O415" s="11">
        <f t="shared" si="12"/>
        <v>0</v>
      </c>
      <c r="P415" s="11">
        <f t="shared" si="13"/>
        <v>0</v>
      </c>
      <c r="Q415" s="6"/>
      <c r="R415" s="6"/>
      <c r="S415" s="6"/>
      <c r="T415" s="6"/>
    </row>
    <row r="416" spans="1:20">
      <c r="A416" s="6" t="s">
        <v>553</v>
      </c>
      <c r="B416" s="6" t="s">
        <v>76</v>
      </c>
      <c r="C416" s="6" t="s">
        <v>90</v>
      </c>
      <c r="D416" s="6" t="s">
        <v>119</v>
      </c>
      <c r="E416" s="6" t="s">
        <v>120</v>
      </c>
      <c r="F416" s="7">
        <v>12</v>
      </c>
      <c r="G416" s="7">
        <v>1500</v>
      </c>
      <c r="H416" s="16">
        <v>45206</v>
      </c>
      <c r="I416" s="6">
        <v>40</v>
      </c>
      <c r="J416" s="6" t="s">
        <v>121</v>
      </c>
      <c r="K416" s="6" t="s">
        <v>139</v>
      </c>
      <c r="L416" s="11">
        <f>F416*Controls!$B$6</f>
        <v>12</v>
      </c>
      <c r="M416" s="11">
        <f>G416*Controls!$B$6</f>
        <v>1500</v>
      </c>
      <c r="N416" s="12">
        <f>IF(L416=0,0,SUMIFS('PSI Plan'!$N$6:$N$173,'PSI Plan'!$B$6:$B$173,B416,'PSI Plan'!$C$6:$C$173,I416))</f>
        <v>0</v>
      </c>
      <c r="O416" s="11">
        <f t="shared" si="12"/>
        <v>0</v>
      </c>
      <c r="P416" s="11">
        <f t="shared" si="13"/>
        <v>0</v>
      </c>
      <c r="Q416" s="6"/>
      <c r="R416" s="6"/>
      <c r="S416" s="6"/>
      <c r="T416" s="6"/>
    </row>
    <row r="417" spans="1:20">
      <c r="A417" s="6" t="s">
        <v>554</v>
      </c>
      <c r="B417" s="6" t="s">
        <v>77</v>
      </c>
      <c r="C417" s="6" t="s">
        <v>90</v>
      </c>
      <c r="D417" s="6" t="s">
        <v>119</v>
      </c>
      <c r="E417" s="6" t="s">
        <v>120</v>
      </c>
      <c r="F417" s="7">
        <v>10</v>
      </c>
      <c r="G417" s="7">
        <v>1250</v>
      </c>
      <c r="H417" s="16">
        <v>45259</v>
      </c>
      <c r="I417" s="6">
        <v>48</v>
      </c>
      <c r="J417" s="6" t="s">
        <v>121</v>
      </c>
      <c r="K417" s="6" t="s">
        <v>139</v>
      </c>
      <c r="L417" s="11">
        <f>F417*Controls!$B$6</f>
        <v>10</v>
      </c>
      <c r="M417" s="11">
        <f>G417*Controls!$B$6</f>
        <v>1250</v>
      </c>
      <c r="N417" s="12">
        <f>IF(L417=0,0,SUMIFS('PSI Plan'!$N$6:$N$173,'PSI Plan'!$B$6:$B$173,B417,'PSI Plan'!$C$6:$C$173,I417))</f>
        <v>0</v>
      </c>
      <c r="O417" s="11">
        <f t="shared" si="12"/>
        <v>0</v>
      </c>
      <c r="P417" s="11">
        <f t="shared" si="13"/>
        <v>0</v>
      </c>
      <c r="Q417" s="6"/>
      <c r="R417" s="6"/>
      <c r="S417" s="6"/>
      <c r="T417" s="6"/>
    </row>
    <row r="418" spans="1:20">
      <c r="A418" s="6" t="s">
        <v>555</v>
      </c>
      <c r="B418" s="6" t="s">
        <v>69</v>
      </c>
      <c r="C418" s="6" t="s">
        <v>90</v>
      </c>
      <c r="D418" s="6" t="s">
        <v>119</v>
      </c>
      <c r="E418" s="6" t="s">
        <v>120</v>
      </c>
      <c r="F418" s="7">
        <v>10</v>
      </c>
      <c r="G418" s="7">
        <v>1250</v>
      </c>
      <c r="H418" s="16">
        <v>45270</v>
      </c>
      <c r="I418" s="6">
        <v>50</v>
      </c>
      <c r="J418" s="6" t="s">
        <v>121</v>
      </c>
      <c r="K418" s="6" t="s">
        <v>139</v>
      </c>
      <c r="L418" s="11">
        <f>F418*Controls!$B$6</f>
        <v>10</v>
      </c>
      <c r="M418" s="11">
        <f>G418*Controls!$B$6</f>
        <v>1250</v>
      </c>
      <c r="N418" s="12">
        <f>IF(L418=0,0,SUMIFS('PSI Plan'!$N$6:$N$173,'PSI Plan'!$B$6:$B$173,B418,'PSI Plan'!$C$6:$C$173,I418))</f>
        <v>0</v>
      </c>
      <c r="O418" s="11">
        <f t="shared" si="12"/>
        <v>0</v>
      </c>
      <c r="P418" s="11">
        <f t="shared" si="13"/>
        <v>0</v>
      </c>
      <c r="Q418" s="6"/>
      <c r="R418" s="6"/>
      <c r="S418" s="6"/>
      <c r="T418" s="6"/>
    </row>
    <row r="419" spans="1:20">
      <c r="A419" s="6" t="s">
        <v>556</v>
      </c>
      <c r="B419" s="6" t="s">
        <v>66</v>
      </c>
      <c r="C419" s="6" t="s">
        <v>90</v>
      </c>
      <c r="D419" s="6" t="s">
        <v>119</v>
      </c>
      <c r="E419" s="6" t="s">
        <v>120</v>
      </c>
      <c r="F419" s="7">
        <v>12</v>
      </c>
      <c r="G419" s="7">
        <v>1500</v>
      </c>
      <c r="H419" s="16">
        <v>45233</v>
      </c>
      <c r="I419" s="6">
        <v>44</v>
      </c>
      <c r="J419" s="6" t="s">
        <v>121</v>
      </c>
      <c r="K419" s="6" t="s">
        <v>135</v>
      </c>
      <c r="L419" s="11">
        <f>F419*Controls!$B$6</f>
        <v>12</v>
      </c>
      <c r="M419" s="11">
        <f>G419*Controls!$B$6</f>
        <v>1500</v>
      </c>
      <c r="N419" s="12">
        <f>IF(L419=0,0,SUMIFS('PSI Plan'!$N$6:$N$173,'PSI Plan'!$B$6:$B$173,B419,'PSI Plan'!$C$6:$C$173,I419))</f>
        <v>0</v>
      </c>
      <c r="O419" s="11">
        <f t="shared" si="12"/>
        <v>0</v>
      </c>
      <c r="P419" s="11">
        <f t="shared" si="13"/>
        <v>0</v>
      </c>
      <c r="Q419" s="6"/>
      <c r="R419" s="6"/>
      <c r="S419" s="6"/>
      <c r="T419" s="6"/>
    </row>
    <row r="420" spans="1:20">
      <c r="A420" s="6" t="s">
        <v>557</v>
      </c>
      <c r="B420" s="6" t="s">
        <v>69</v>
      </c>
      <c r="C420" s="6" t="s">
        <v>90</v>
      </c>
      <c r="D420" s="6" t="s">
        <v>119</v>
      </c>
      <c r="E420" s="6" t="s">
        <v>120</v>
      </c>
      <c r="F420" s="7">
        <v>30</v>
      </c>
      <c r="G420" s="7">
        <v>3750</v>
      </c>
      <c r="H420" s="16">
        <v>45272</v>
      </c>
      <c r="I420" s="6">
        <v>50</v>
      </c>
      <c r="J420" s="6" t="s">
        <v>121</v>
      </c>
      <c r="K420" s="6" t="s">
        <v>298</v>
      </c>
      <c r="L420" s="11">
        <f>F420*Controls!$B$6</f>
        <v>30</v>
      </c>
      <c r="M420" s="11">
        <f>G420*Controls!$B$6</f>
        <v>3750</v>
      </c>
      <c r="N420" s="12">
        <f>IF(L420=0,0,SUMIFS('PSI Plan'!$N$6:$N$173,'PSI Plan'!$B$6:$B$173,B420,'PSI Plan'!$C$6:$C$173,I420))</f>
        <v>0</v>
      </c>
      <c r="O420" s="11">
        <f t="shared" si="12"/>
        <v>0</v>
      </c>
      <c r="P420" s="11">
        <f t="shared" si="13"/>
        <v>0</v>
      </c>
      <c r="Q420" s="6"/>
      <c r="R420" s="6"/>
      <c r="S420" s="6"/>
      <c r="T420" s="6"/>
    </row>
    <row r="421" spans="1:20">
      <c r="A421" s="6" t="s">
        <v>558</v>
      </c>
      <c r="B421" s="6" t="s">
        <v>77</v>
      </c>
      <c r="C421" s="6" t="s">
        <v>90</v>
      </c>
      <c r="D421" s="6" t="s">
        <v>119</v>
      </c>
      <c r="E421" s="6" t="s">
        <v>120</v>
      </c>
      <c r="F421" s="7">
        <v>12</v>
      </c>
      <c r="G421" s="7">
        <v>1500</v>
      </c>
      <c r="H421" s="16">
        <v>45230</v>
      </c>
      <c r="I421" s="6">
        <v>44</v>
      </c>
      <c r="J421" s="6" t="s">
        <v>121</v>
      </c>
      <c r="K421" s="6" t="s">
        <v>298</v>
      </c>
      <c r="L421" s="11">
        <f>F421*Controls!$B$6</f>
        <v>12</v>
      </c>
      <c r="M421" s="11">
        <f>G421*Controls!$B$6</f>
        <v>1500</v>
      </c>
      <c r="N421" s="12">
        <f>IF(L421=0,0,SUMIFS('PSI Plan'!$N$6:$N$173,'PSI Plan'!$B$6:$B$173,B421,'PSI Plan'!$C$6:$C$173,I421))</f>
        <v>0</v>
      </c>
      <c r="O421" s="11">
        <f t="shared" si="12"/>
        <v>0</v>
      </c>
      <c r="P421" s="11">
        <f t="shared" si="13"/>
        <v>0</v>
      </c>
      <c r="Q421" s="6"/>
      <c r="R421" s="6"/>
      <c r="S421" s="6"/>
      <c r="T421" s="6"/>
    </row>
    <row r="422" spans="1:20">
      <c r="A422" s="6" t="s">
        <v>559</v>
      </c>
      <c r="B422" s="6" t="s">
        <v>66</v>
      </c>
      <c r="C422" s="6" t="s">
        <v>90</v>
      </c>
      <c r="D422" s="6" t="s">
        <v>119</v>
      </c>
      <c r="E422" s="6" t="s">
        <v>120</v>
      </c>
      <c r="F422" s="7">
        <v>52</v>
      </c>
      <c r="G422" s="7">
        <v>6500</v>
      </c>
      <c r="H422" s="16">
        <v>45231</v>
      </c>
      <c r="I422" s="6">
        <v>44</v>
      </c>
      <c r="J422" s="6" t="s">
        <v>121</v>
      </c>
      <c r="K422" s="6" t="s">
        <v>122</v>
      </c>
      <c r="L422" s="11">
        <f>F422*Controls!$B$6</f>
        <v>52</v>
      </c>
      <c r="M422" s="11">
        <f>G422*Controls!$B$6</f>
        <v>6500</v>
      </c>
      <c r="N422" s="12">
        <f>IF(L422=0,0,SUMIFS('PSI Plan'!$N$6:$N$173,'PSI Plan'!$B$6:$B$173,B422,'PSI Plan'!$C$6:$C$173,I422))</f>
        <v>0</v>
      </c>
      <c r="O422" s="11">
        <f t="shared" si="12"/>
        <v>0</v>
      </c>
      <c r="P422" s="11">
        <f t="shared" si="13"/>
        <v>0</v>
      </c>
      <c r="Q422" s="6"/>
      <c r="R422" s="6"/>
      <c r="S422" s="6"/>
      <c r="T422" s="6"/>
    </row>
    <row r="423" spans="1:20">
      <c r="A423" s="6" t="s">
        <v>560</v>
      </c>
      <c r="B423" s="6" t="s">
        <v>76</v>
      </c>
      <c r="C423" s="6" t="s">
        <v>90</v>
      </c>
      <c r="D423" s="6" t="s">
        <v>119</v>
      </c>
      <c r="E423" s="6" t="s">
        <v>120</v>
      </c>
      <c r="F423" s="7">
        <v>26</v>
      </c>
      <c r="G423" s="7">
        <v>3250</v>
      </c>
      <c r="H423" s="16">
        <v>45229</v>
      </c>
      <c r="I423" s="6">
        <v>44</v>
      </c>
      <c r="J423" s="6" t="s">
        <v>121</v>
      </c>
      <c r="K423" s="6" t="s">
        <v>122</v>
      </c>
      <c r="L423" s="11">
        <f>F423*Controls!$B$6</f>
        <v>26</v>
      </c>
      <c r="M423" s="11">
        <f>G423*Controls!$B$6</f>
        <v>3250</v>
      </c>
      <c r="N423" s="12">
        <f>IF(L423=0,0,SUMIFS('PSI Plan'!$N$6:$N$173,'PSI Plan'!$B$6:$B$173,B423,'PSI Plan'!$C$6:$C$173,I423))</f>
        <v>0</v>
      </c>
      <c r="O423" s="11">
        <f t="shared" si="12"/>
        <v>0</v>
      </c>
      <c r="P423" s="11">
        <f t="shared" si="13"/>
        <v>0</v>
      </c>
      <c r="Q423" s="6"/>
      <c r="R423" s="6"/>
      <c r="S423" s="6"/>
      <c r="T423" s="6"/>
    </row>
    <row r="424" spans="1:20">
      <c r="A424" s="6" t="s">
        <v>561</v>
      </c>
      <c r="B424" s="6" t="s">
        <v>77</v>
      </c>
      <c r="C424" s="6" t="s">
        <v>90</v>
      </c>
      <c r="D424" s="6" t="s">
        <v>119</v>
      </c>
      <c r="E424" s="6" t="s">
        <v>120</v>
      </c>
      <c r="F424" s="7">
        <v>52</v>
      </c>
      <c r="G424" s="7">
        <v>6500</v>
      </c>
      <c r="H424" s="16">
        <v>45203</v>
      </c>
      <c r="I424" s="6">
        <v>40</v>
      </c>
      <c r="J424" s="6" t="s">
        <v>121</v>
      </c>
      <c r="K424" s="6" t="s">
        <v>122</v>
      </c>
      <c r="L424" s="11">
        <f>F424*Controls!$B$6</f>
        <v>52</v>
      </c>
      <c r="M424" s="11">
        <f>G424*Controls!$B$6</f>
        <v>6500</v>
      </c>
      <c r="N424" s="12">
        <f>IF(L424=0,0,SUMIFS('PSI Plan'!$N$6:$N$173,'PSI Plan'!$B$6:$B$173,B424,'PSI Plan'!$C$6:$C$173,I424))</f>
        <v>0</v>
      </c>
      <c r="O424" s="11">
        <f t="shared" si="12"/>
        <v>0</v>
      </c>
      <c r="P424" s="11">
        <f t="shared" si="13"/>
        <v>0</v>
      </c>
      <c r="Q424" s="6"/>
      <c r="R424" s="6"/>
      <c r="S424" s="6"/>
      <c r="T424" s="6"/>
    </row>
    <row r="425" spans="1:20">
      <c r="A425" s="6" t="s">
        <v>562</v>
      </c>
      <c r="B425" s="6" t="s">
        <v>67</v>
      </c>
      <c r="C425" s="6" t="s">
        <v>90</v>
      </c>
      <c r="D425" s="6" t="s">
        <v>119</v>
      </c>
      <c r="E425" s="6" t="s">
        <v>120</v>
      </c>
      <c r="F425" s="7">
        <v>52</v>
      </c>
      <c r="G425" s="7">
        <v>6500</v>
      </c>
      <c r="H425" s="16">
        <v>45284</v>
      </c>
      <c r="I425" s="6">
        <v>52</v>
      </c>
      <c r="J425" s="6" t="s">
        <v>121</v>
      </c>
      <c r="K425" s="6" t="s">
        <v>122</v>
      </c>
      <c r="L425" s="11">
        <f>F425*Controls!$B$6</f>
        <v>52</v>
      </c>
      <c r="M425" s="11">
        <f>G425*Controls!$B$6</f>
        <v>6500</v>
      </c>
      <c r="N425" s="12">
        <f>IF(L425=0,0,SUMIFS('PSI Plan'!$N$6:$N$173,'PSI Plan'!$B$6:$B$173,B425,'PSI Plan'!$C$6:$C$173,I425))</f>
        <v>0</v>
      </c>
      <c r="O425" s="11">
        <f t="shared" si="12"/>
        <v>0</v>
      </c>
      <c r="P425" s="11">
        <f t="shared" si="13"/>
        <v>0</v>
      </c>
      <c r="Q425" s="6"/>
      <c r="R425" s="6"/>
      <c r="S425" s="6"/>
      <c r="T425" s="6"/>
    </row>
    <row r="426" spans="1:20">
      <c r="A426" s="6" t="s">
        <v>563</v>
      </c>
      <c r="B426" s="6" t="s">
        <v>77</v>
      </c>
      <c r="C426" s="6" t="s">
        <v>90</v>
      </c>
      <c r="D426" s="6" t="s">
        <v>119</v>
      </c>
      <c r="E426" s="6" t="s">
        <v>120</v>
      </c>
      <c r="F426" s="7">
        <v>13</v>
      </c>
      <c r="G426" s="7">
        <v>1625</v>
      </c>
      <c r="H426" s="16">
        <v>45221</v>
      </c>
      <c r="I426" s="6">
        <v>43</v>
      </c>
      <c r="J426" s="6" t="s">
        <v>121</v>
      </c>
      <c r="K426" s="6" t="s">
        <v>171</v>
      </c>
      <c r="L426" s="11">
        <f>F426*Controls!$B$6</f>
        <v>13</v>
      </c>
      <c r="M426" s="11">
        <f>G426*Controls!$B$6</f>
        <v>1625</v>
      </c>
      <c r="N426" s="12">
        <f>IF(L426=0,0,SUMIFS('PSI Plan'!$N$6:$N$173,'PSI Plan'!$B$6:$B$173,B426,'PSI Plan'!$C$6:$C$173,I426))</f>
        <v>0</v>
      </c>
      <c r="O426" s="11">
        <f t="shared" si="12"/>
        <v>0</v>
      </c>
      <c r="P426" s="11">
        <f t="shared" si="13"/>
        <v>0</v>
      </c>
      <c r="Q426" s="6"/>
      <c r="R426" s="6"/>
      <c r="S426" s="6"/>
      <c r="T426" s="6"/>
    </row>
    <row r="427" spans="1:20">
      <c r="A427" s="6" t="s">
        <v>564</v>
      </c>
      <c r="B427" s="6" t="s">
        <v>67</v>
      </c>
      <c r="C427" s="6" t="s">
        <v>90</v>
      </c>
      <c r="D427" s="6" t="s">
        <v>119</v>
      </c>
      <c r="E427" s="6" t="s">
        <v>120</v>
      </c>
      <c r="F427" s="7">
        <v>13</v>
      </c>
      <c r="G427" s="7">
        <v>1625</v>
      </c>
      <c r="H427" s="16">
        <v>45268</v>
      </c>
      <c r="I427" s="6">
        <v>49</v>
      </c>
      <c r="J427" s="6" t="s">
        <v>121</v>
      </c>
      <c r="K427" s="6" t="s">
        <v>171</v>
      </c>
      <c r="L427" s="11">
        <f>F427*Controls!$B$6</f>
        <v>13</v>
      </c>
      <c r="M427" s="11">
        <f>G427*Controls!$B$6</f>
        <v>1625</v>
      </c>
      <c r="N427" s="12">
        <f>IF(L427=0,0,SUMIFS('PSI Plan'!$N$6:$N$173,'PSI Plan'!$B$6:$B$173,B427,'PSI Plan'!$C$6:$C$173,I427))</f>
        <v>0</v>
      </c>
      <c r="O427" s="11">
        <f t="shared" si="12"/>
        <v>0</v>
      </c>
      <c r="P427" s="11">
        <f t="shared" si="13"/>
        <v>0</v>
      </c>
      <c r="Q427" s="6"/>
      <c r="R427" s="6"/>
      <c r="S427" s="6"/>
      <c r="T427" s="6"/>
    </row>
    <row r="428" spans="1:20">
      <c r="A428" s="6" t="s">
        <v>565</v>
      </c>
      <c r="B428" s="6" t="s">
        <v>69</v>
      </c>
      <c r="C428" s="6" t="s">
        <v>90</v>
      </c>
      <c r="D428" s="6" t="s">
        <v>119</v>
      </c>
      <c r="E428" s="6" t="s">
        <v>120</v>
      </c>
      <c r="F428" s="7">
        <v>26</v>
      </c>
      <c r="G428" s="7">
        <v>3250</v>
      </c>
      <c r="H428" s="16">
        <v>45282</v>
      </c>
      <c r="I428" s="6">
        <v>51</v>
      </c>
      <c r="J428" s="6" t="s">
        <v>121</v>
      </c>
      <c r="K428" s="6" t="s">
        <v>171</v>
      </c>
      <c r="L428" s="11">
        <f>F428*Controls!$B$6</f>
        <v>26</v>
      </c>
      <c r="M428" s="11">
        <f>G428*Controls!$B$6</f>
        <v>3250</v>
      </c>
      <c r="N428" s="12">
        <f>IF(L428=0,0,SUMIFS('PSI Plan'!$N$6:$N$173,'PSI Plan'!$B$6:$B$173,B428,'PSI Plan'!$C$6:$C$173,I428))</f>
        <v>0</v>
      </c>
      <c r="O428" s="11">
        <f t="shared" si="12"/>
        <v>0</v>
      </c>
      <c r="P428" s="11">
        <f t="shared" si="13"/>
        <v>0</v>
      </c>
      <c r="Q428" s="6"/>
      <c r="R428" s="6"/>
      <c r="S428" s="6"/>
      <c r="T428" s="6"/>
    </row>
    <row r="429" spans="1:20">
      <c r="A429" s="6" t="s">
        <v>566</v>
      </c>
      <c r="B429" s="6" t="s">
        <v>76</v>
      </c>
      <c r="C429" s="6" t="s">
        <v>100</v>
      </c>
      <c r="D429" s="6" t="s">
        <v>567</v>
      </c>
      <c r="E429" s="6" t="s">
        <v>120</v>
      </c>
      <c r="F429" s="7">
        <v>3</v>
      </c>
      <c r="G429" s="7">
        <v>375</v>
      </c>
      <c r="H429" s="16">
        <v>45254</v>
      </c>
      <c r="I429" s="6">
        <v>47</v>
      </c>
      <c r="J429" s="6" t="s">
        <v>121</v>
      </c>
      <c r="K429" s="6" t="s">
        <v>568</v>
      </c>
      <c r="L429" s="11">
        <f>F429*Controls!$B$6</f>
        <v>3</v>
      </c>
      <c r="M429" s="11">
        <f>G429*Controls!$B$6</f>
        <v>375</v>
      </c>
      <c r="N429" s="12">
        <f>IF(L429=0,0,SUMIFS('PSI Plan'!$N$6:$N$173,'PSI Plan'!$B$6:$B$173,B429,'PSI Plan'!$C$6:$C$173,I429))</f>
        <v>0</v>
      </c>
      <c r="O429" s="11">
        <f t="shared" si="12"/>
        <v>0</v>
      </c>
      <c r="P429" s="11">
        <f t="shared" si="13"/>
        <v>0</v>
      </c>
      <c r="Q429" s="6"/>
      <c r="R429" s="6"/>
      <c r="S429" s="6"/>
      <c r="T429" s="6"/>
    </row>
    <row r="430" spans="1:20">
      <c r="A430" s="6" t="s">
        <v>569</v>
      </c>
      <c r="B430" s="6" t="s">
        <v>67</v>
      </c>
      <c r="C430" s="6" t="s">
        <v>100</v>
      </c>
      <c r="D430" s="6" t="s">
        <v>567</v>
      </c>
      <c r="E430" s="6" t="s">
        <v>120</v>
      </c>
      <c r="F430" s="7">
        <v>4</v>
      </c>
      <c r="G430" s="7">
        <v>500</v>
      </c>
      <c r="H430" s="16">
        <v>45256</v>
      </c>
      <c r="I430" s="6">
        <v>48</v>
      </c>
      <c r="J430" s="6" t="s">
        <v>121</v>
      </c>
      <c r="K430" s="6" t="s">
        <v>568</v>
      </c>
      <c r="L430" s="11">
        <f>F430*Controls!$B$6</f>
        <v>4</v>
      </c>
      <c r="M430" s="11">
        <f>G430*Controls!$B$6</f>
        <v>500</v>
      </c>
      <c r="N430" s="12">
        <f>IF(L430=0,0,SUMIFS('PSI Plan'!$N$6:$N$173,'PSI Plan'!$B$6:$B$173,B430,'PSI Plan'!$C$6:$C$173,I430))</f>
        <v>0</v>
      </c>
      <c r="O430" s="11">
        <f t="shared" si="12"/>
        <v>0</v>
      </c>
      <c r="P430" s="11">
        <f t="shared" si="13"/>
        <v>0</v>
      </c>
      <c r="Q430" s="6"/>
      <c r="R430" s="6"/>
      <c r="S430" s="6"/>
      <c r="T430" s="6"/>
    </row>
    <row r="431" spans="1:20">
      <c r="A431" s="6" t="s">
        <v>570</v>
      </c>
      <c r="B431" s="6" t="s">
        <v>67</v>
      </c>
      <c r="C431" s="6" t="s">
        <v>101</v>
      </c>
      <c r="D431" s="6" t="s">
        <v>571</v>
      </c>
      <c r="E431" s="6" t="s">
        <v>120</v>
      </c>
      <c r="F431" s="7">
        <v>319</v>
      </c>
      <c r="G431" s="7">
        <v>39875</v>
      </c>
      <c r="H431" s="16">
        <v>45244</v>
      </c>
      <c r="I431" s="6">
        <v>46</v>
      </c>
      <c r="J431" s="6" t="s">
        <v>121</v>
      </c>
      <c r="K431" s="6" t="s">
        <v>572</v>
      </c>
      <c r="L431" s="11">
        <f>F431*Controls!$B$6</f>
        <v>319</v>
      </c>
      <c r="M431" s="11">
        <f>G431*Controls!$B$6</f>
        <v>39875</v>
      </c>
      <c r="N431" s="12">
        <f>IF(L431=0,0,SUMIFS('PSI Plan'!$N$6:$N$173,'PSI Plan'!$B$6:$B$173,B431,'PSI Plan'!$C$6:$C$173,I431))</f>
        <v>0</v>
      </c>
      <c r="O431" s="11">
        <f t="shared" si="12"/>
        <v>0</v>
      </c>
      <c r="P431" s="11">
        <f t="shared" si="13"/>
        <v>0</v>
      </c>
      <c r="Q431" s="6"/>
      <c r="R431" s="6"/>
      <c r="S431" s="6"/>
      <c r="T431" s="6"/>
    </row>
    <row r="432" spans="1:20">
      <c r="A432" s="6" t="s">
        <v>573</v>
      </c>
      <c r="B432" s="6" t="s">
        <v>76</v>
      </c>
      <c r="C432" s="6" t="s">
        <v>101</v>
      </c>
      <c r="D432" s="6" t="s">
        <v>571</v>
      </c>
      <c r="E432" s="6" t="s">
        <v>120</v>
      </c>
      <c r="F432" s="7">
        <v>673</v>
      </c>
      <c r="G432" s="7">
        <v>84125</v>
      </c>
      <c r="H432" s="16">
        <v>45247</v>
      </c>
      <c r="I432" s="6">
        <v>46</v>
      </c>
      <c r="J432" s="6" t="s">
        <v>121</v>
      </c>
      <c r="K432" s="6" t="s">
        <v>572</v>
      </c>
      <c r="L432" s="11">
        <f>F432*Controls!$B$6</f>
        <v>673</v>
      </c>
      <c r="M432" s="11">
        <f>G432*Controls!$B$6</f>
        <v>84125</v>
      </c>
      <c r="N432" s="12">
        <f>IF(L432=0,0,SUMIFS('PSI Plan'!$N$6:$N$173,'PSI Plan'!$B$6:$B$173,B432,'PSI Plan'!$C$6:$C$173,I432))</f>
        <v>0</v>
      </c>
      <c r="O432" s="11">
        <f t="shared" si="12"/>
        <v>0</v>
      </c>
      <c r="P432" s="11">
        <f t="shared" si="13"/>
        <v>0</v>
      </c>
      <c r="Q432" s="6"/>
      <c r="R432" s="6"/>
      <c r="S432" s="6"/>
      <c r="T432" s="6"/>
    </row>
    <row r="433" spans="1:20">
      <c r="A433" s="6" t="s">
        <v>574</v>
      </c>
      <c r="B433" s="6" t="s">
        <v>69</v>
      </c>
      <c r="C433" s="6" t="s">
        <v>99</v>
      </c>
      <c r="D433" s="6" t="s">
        <v>319</v>
      </c>
      <c r="E433" s="6" t="s">
        <v>120</v>
      </c>
      <c r="F433" s="7">
        <v>100</v>
      </c>
      <c r="G433" s="7">
        <v>12500</v>
      </c>
      <c r="H433" s="16">
        <v>45242</v>
      </c>
      <c r="I433" s="6">
        <v>46</v>
      </c>
      <c r="J433" s="6" t="s">
        <v>121</v>
      </c>
      <c r="K433" s="6" t="s">
        <v>324</v>
      </c>
      <c r="L433" s="11">
        <f>F433*Controls!$B$6</f>
        <v>100</v>
      </c>
      <c r="M433" s="11">
        <f>G433*Controls!$B$6</f>
        <v>12500</v>
      </c>
      <c r="N433" s="12">
        <f>IF(L433=0,0,SUMIFS('PSI Plan'!$N$6:$N$173,'PSI Plan'!$B$6:$B$173,B433,'PSI Plan'!$C$6:$C$173,I433))</f>
        <v>0</v>
      </c>
      <c r="O433" s="11">
        <f t="shared" si="12"/>
        <v>0</v>
      </c>
      <c r="P433" s="11">
        <f t="shared" si="13"/>
        <v>0</v>
      </c>
      <c r="Q433" s="6"/>
      <c r="R433" s="6"/>
      <c r="S433" s="6"/>
      <c r="T433" s="6"/>
    </row>
    <row r="434" spans="1:20">
      <c r="A434" s="6" t="s">
        <v>575</v>
      </c>
      <c r="B434" s="6" t="s">
        <v>77</v>
      </c>
      <c r="C434" s="6" t="s">
        <v>99</v>
      </c>
      <c r="D434" s="6" t="s">
        <v>319</v>
      </c>
      <c r="E434" s="6" t="s">
        <v>120</v>
      </c>
      <c r="F434" s="7">
        <v>29</v>
      </c>
      <c r="G434" s="7">
        <v>3625</v>
      </c>
      <c r="H434" s="16">
        <v>45241</v>
      </c>
      <c r="I434" s="6">
        <v>45</v>
      </c>
      <c r="J434" s="6" t="s">
        <v>121</v>
      </c>
      <c r="K434" s="6" t="s">
        <v>320</v>
      </c>
      <c r="L434" s="11">
        <f>F434*Controls!$B$6</f>
        <v>29</v>
      </c>
      <c r="M434" s="11">
        <f>G434*Controls!$B$6</f>
        <v>3625</v>
      </c>
      <c r="N434" s="12">
        <f>IF(L434=0,0,SUMIFS('PSI Plan'!$N$6:$N$173,'PSI Plan'!$B$6:$B$173,B434,'PSI Plan'!$C$6:$C$173,I434))</f>
        <v>0</v>
      </c>
      <c r="O434" s="11">
        <f t="shared" si="12"/>
        <v>0</v>
      </c>
      <c r="P434" s="11">
        <f t="shared" si="13"/>
        <v>0</v>
      </c>
      <c r="Q434" s="6"/>
      <c r="R434" s="6"/>
      <c r="S434" s="6"/>
      <c r="T434" s="6"/>
    </row>
    <row r="435" spans="1:20">
      <c r="A435" s="6" t="s">
        <v>576</v>
      </c>
      <c r="B435" s="6" t="s">
        <v>69</v>
      </c>
      <c r="C435" s="6" t="s">
        <v>99</v>
      </c>
      <c r="D435" s="6" t="s">
        <v>319</v>
      </c>
      <c r="E435" s="6" t="s">
        <v>120</v>
      </c>
      <c r="F435" s="7">
        <v>27</v>
      </c>
      <c r="G435" s="7">
        <v>3375</v>
      </c>
      <c r="H435" s="16">
        <v>45239</v>
      </c>
      <c r="I435" s="6">
        <v>45</v>
      </c>
      <c r="J435" s="6" t="s">
        <v>121</v>
      </c>
      <c r="K435" s="6" t="s">
        <v>320</v>
      </c>
      <c r="L435" s="11">
        <f>F435*Controls!$B$6</f>
        <v>27</v>
      </c>
      <c r="M435" s="11">
        <f>G435*Controls!$B$6</f>
        <v>3375</v>
      </c>
      <c r="N435" s="12">
        <f>IF(L435=0,0,SUMIFS('PSI Plan'!$N$6:$N$173,'PSI Plan'!$B$6:$B$173,B435,'PSI Plan'!$C$6:$C$173,I435))</f>
        <v>0</v>
      </c>
      <c r="O435" s="11">
        <f t="shared" si="12"/>
        <v>0</v>
      </c>
      <c r="P435" s="11">
        <f t="shared" si="13"/>
        <v>0</v>
      </c>
      <c r="Q435" s="6"/>
      <c r="R435" s="6"/>
      <c r="S435" s="6"/>
      <c r="T435" s="6"/>
    </row>
    <row r="436" spans="1:20">
      <c r="A436" s="6" t="s">
        <v>577</v>
      </c>
      <c r="B436" s="6" t="s">
        <v>66</v>
      </c>
      <c r="C436" s="6" t="s">
        <v>90</v>
      </c>
      <c r="D436" s="6" t="s">
        <v>119</v>
      </c>
      <c r="E436" s="6" t="s">
        <v>120</v>
      </c>
      <c r="F436" s="7">
        <v>14</v>
      </c>
      <c r="G436" s="7">
        <v>1750</v>
      </c>
      <c r="H436" s="16">
        <v>45237</v>
      </c>
      <c r="I436" s="6">
        <v>45</v>
      </c>
      <c r="J436" s="6" t="s">
        <v>121</v>
      </c>
      <c r="K436" s="6" t="s">
        <v>135</v>
      </c>
      <c r="L436" s="11">
        <f>F436*Controls!$B$6</f>
        <v>14</v>
      </c>
      <c r="M436" s="11">
        <f>G436*Controls!$B$6</f>
        <v>1750</v>
      </c>
      <c r="N436" s="12">
        <f>IF(L436=0,0,SUMIFS('PSI Plan'!$N$6:$N$173,'PSI Plan'!$B$6:$B$173,B436,'PSI Plan'!$C$6:$C$173,I436))</f>
        <v>0</v>
      </c>
      <c r="O436" s="11">
        <f t="shared" si="12"/>
        <v>0</v>
      </c>
      <c r="P436" s="11">
        <f t="shared" si="13"/>
        <v>0</v>
      </c>
      <c r="Q436" s="6"/>
      <c r="R436" s="6"/>
      <c r="S436" s="6"/>
      <c r="T436" s="6"/>
    </row>
    <row r="437" spans="1:20">
      <c r="A437" s="6" t="s">
        <v>578</v>
      </c>
      <c r="B437" s="6" t="s">
        <v>76</v>
      </c>
      <c r="C437" s="6" t="s">
        <v>90</v>
      </c>
      <c r="D437" s="6" t="s">
        <v>119</v>
      </c>
      <c r="E437" s="6" t="s">
        <v>120</v>
      </c>
      <c r="F437" s="7">
        <v>2</v>
      </c>
      <c r="G437" s="7">
        <v>250</v>
      </c>
      <c r="H437" s="16">
        <v>45206</v>
      </c>
      <c r="I437" s="6">
        <v>40</v>
      </c>
      <c r="J437" s="6" t="s">
        <v>121</v>
      </c>
      <c r="K437" s="6" t="s">
        <v>150</v>
      </c>
      <c r="L437" s="11">
        <f>F437*Controls!$B$6</f>
        <v>2</v>
      </c>
      <c r="M437" s="11">
        <f>G437*Controls!$B$6</f>
        <v>250</v>
      </c>
      <c r="N437" s="12">
        <f>IF(L437=0,0,SUMIFS('PSI Plan'!$N$6:$N$173,'PSI Plan'!$B$6:$B$173,B437,'PSI Plan'!$C$6:$C$173,I437))</f>
        <v>0</v>
      </c>
      <c r="O437" s="11">
        <f t="shared" si="12"/>
        <v>0</v>
      </c>
      <c r="P437" s="11">
        <f t="shared" si="13"/>
        <v>0</v>
      </c>
      <c r="Q437" s="6"/>
      <c r="R437" s="6"/>
      <c r="S437" s="6"/>
      <c r="T437" s="6"/>
    </row>
    <row r="438" spans="1:20">
      <c r="A438" s="6" t="s">
        <v>579</v>
      </c>
      <c r="B438" s="6" t="s">
        <v>69</v>
      </c>
      <c r="C438" s="6" t="s">
        <v>90</v>
      </c>
      <c r="D438" s="6" t="s">
        <v>119</v>
      </c>
      <c r="E438" s="6" t="s">
        <v>120</v>
      </c>
      <c r="F438" s="7">
        <v>3</v>
      </c>
      <c r="G438" s="7">
        <v>375</v>
      </c>
      <c r="H438" s="16">
        <v>45229</v>
      </c>
      <c r="I438" s="6">
        <v>44</v>
      </c>
      <c r="J438" s="6" t="s">
        <v>121</v>
      </c>
      <c r="K438" s="6" t="s">
        <v>150</v>
      </c>
      <c r="L438" s="11">
        <f>F438*Controls!$B$6</f>
        <v>3</v>
      </c>
      <c r="M438" s="11">
        <f>G438*Controls!$B$6</f>
        <v>375</v>
      </c>
      <c r="N438" s="12">
        <f>IF(L438=0,0,SUMIFS('PSI Plan'!$N$6:$N$173,'PSI Plan'!$B$6:$B$173,B438,'PSI Plan'!$C$6:$C$173,I438))</f>
        <v>0</v>
      </c>
      <c r="O438" s="11">
        <f t="shared" si="12"/>
        <v>0</v>
      </c>
      <c r="P438" s="11">
        <f t="shared" si="13"/>
        <v>0</v>
      </c>
      <c r="Q438" s="6"/>
      <c r="R438" s="6"/>
      <c r="S438" s="6"/>
      <c r="T438" s="6"/>
    </row>
    <row r="439" spans="1:20">
      <c r="A439" s="6" t="s">
        <v>580</v>
      </c>
      <c r="B439" s="6" t="s">
        <v>77</v>
      </c>
      <c r="C439" s="6" t="s">
        <v>90</v>
      </c>
      <c r="D439" s="6" t="s">
        <v>119</v>
      </c>
      <c r="E439" s="6" t="s">
        <v>120</v>
      </c>
      <c r="F439" s="7">
        <v>19</v>
      </c>
      <c r="G439" s="7">
        <v>2375</v>
      </c>
      <c r="H439" s="16">
        <v>45283</v>
      </c>
      <c r="I439" s="6">
        <v>51</v>
      </c>
      <c r="J439" s="6" t="s">
        <v>121</v>
      </c>
      <c r="K439" s="6" t="s">
        <v>171</v>
      </c>
      <c r="L439" s="11">
        <f>F439*Controls!$B$6</f>
        <v>19</v>
      </c>
      <c r="M439" s="11">
        <f>G439*Controls!$B$6</f>
        <v>2375</v>
      </c>
      <c r="N439" s="12">
        <f>IF(L439=0,0,SUMIFS('PSI Plan'!$N$6:$N$173,'PSI Plan'!$B$6:$B$173,B439,'PSI Plan'!$C$6:$C$173,I439))</f>
        <v>0</v>
      </c>
      <c r="O439" s="11">
        <f t="shared" si="12"/>
        <v>0</v>
      </c>
      <c r="P439" s="11">
        <f t="shared" si="13"/>
        <v>0</v>
      </c>
      <c r="Q439" s="6"/>
      <c r="R439" s="6"/>
      <c r="S439" s="6"/>
      <c r="T439" s="6"/>
    </row>
    <row r="440" spans="1:20">
      <c r="A440" s="6" t="s">
        <v>581</v>
      </c>
      <c r="B440" s="6" t="s">
        <v>67</v>
      </c>
      <c r="C440" s="6" t="s">
        <v>90</v>
      </c>
      <c r="D440" s="6" t="s">
        <v>119</v>
      </c>
      <c r="E440" s="6" t="s">
        <v>120</v>
      </c>
      <c r="F440" s="7">
        <v>8</v>
      </c>
      <c r="G440" s="7">
        <v>1000</v>
      </c>
      <c r="H440" s="16">
        <v>45216</v>
      </c>
      <c r="I440" s="6">
        <v>42</v>
      </c>
      <c r="J440" s="6" t="s">
        <v>121</v>
      </c>
      <c r="K440" s="6" t="s">
        <v>171</v>
      </c>
      <c r="L440" s="11">
        <f>F440*Controls!$B$6</f>
        <v>8</v>
      </c>
      <c r="M440" s="11">
        <f>G440*Controls!$B$6</f>
        <v>1000</v>
      </c>
      <c r="N440" s="12">
        <f>IF(L440=0,0,SUMIFS('PSI Plan'!$N$6:$N$173,'PSI Plan'!$B$6:$B$173,B440,'PSI Plan'!$C$6:$C$173,I440))</f>
        <v>0</v>
      </c>
      <c r="O440" s="11">
        <f t="shared" si="12"/>
        <v>0</v>
      </c>
      <c r="P440" s="11">
        <f t="shared" si="13"/>
        <v>0</v>
      </c>
      <c r="Q440" s="6"/>
      <c r="R440" s="6"/>
      <c r="S440" s="6"/>
      <c r="T440" s="6"/>
    </row>
    <row r="441" spans="1:20">
      <c r="A441" s="6" t="s">
        <v>582</v>
      </c>
      <c r="B441" s="6" t="s">
        <v>69</v>
      </c>
      <c r="C441" s="6" t="s">
        <v>90</v>
      </c>
      <c r="D441" s="6" t="s">
        <v>119</v>
      </c>
      <c r="E441" s="6" t="s">
        <v>120</v>
      </c>
      <c r="F441" s="7">
        <v>26</v>
      </c>
      <c r="G441" s="7">
        <v>3250</v>
      </c>
      <c r="H441" s="16">
        <v>45234</v>
      </c>
      <c r="I441" s="6">
        <v>44</v>
      </c>
      <c r="J441" s="6" t="s">
        <v>121</v>
      </c>
      <c r="K441" s="6" t="s">
        <v>171</v>
      </c>
      <c r="L441" s="11">
        <f>F441*Controls!$B$6</f>
        <v>26</v>
      </c>
      <c r="M441" s="11">
        <f>G441*Controls!$B$6</f>
        <v>3250</v>
      </c>
      <c r="N441" s="12">
        <f>IF(L441=0,0,SUMIFS('PSI Plan'!$N$6:$N$173,'PSI Plan'!$B$6:$B$173,B441,'PSI Plan'!$C$6:$C$173,I441))</f>
        <v>0</v>
      </c>
      <c r="O441" s="11">
        <f t="shared" si="12"/>
        <v>0</v>
      </c>
      <c r="P441" s="11">
        <f t="shared" si="13"/>
        <v>0</v>
      </c>
      <c r="Q441" s="6"/>
      <c r="R441" s="6"/>
      <c r="S441" s="6"/>
      <c r="T441" s="6"/>
    </row>
    <row r="442" spans="1:20">
      <c r="A442" s="6" t="s">
        <v>583</v>
      </c>
      <c r="B442" s="6" t="s">
        <v>76</v>
      </c>
      <c r="C442" s="6" t="s">
        <v>90</v>
      </c>
      <c r="D442" s="6" t="s">
        <v>119</v>
      </c>
      <c r="E442" s="6" t="s">
        <v>120</v>
      </c>
      <c r="F442" s="7">
        <v>26</v>
      </c>
      <c r="G442" s="7">
        <v>3250</v>
      </c>
      <c r="H442" s="16">
        <v>45229</v>
      </c>
      <c r="I442" s="6">
        <v>44</v>
      </c>
      <c r="J442" s="6" t="s">
        <v>121</v>
      </c>
      <c r="K442" s="6" t="s">
        <v>122</v>
      </c>
      <c r="L442" s="11">
        <f>F442*Controls!$B$6</f>
        <v>26</v>
      </c>
      <c r="M442" s="11">
        <f>G442*Controls!$B$6</f>
        <v>3250</v>
      </c>
      <c r="N442" s="12">
        <f>IF(L442=0,0,SUMIFS('PSI Plan'!$N$6:$N$173,'PSI Plan'!$B$6:$B$173,B442,'PSI Plan'!$C$6:$C$173,I442))</f>
        <v>0</v>
      </c>
      <c r="O442" s="11">
        <f t="shared" si="12"/>
        <v>0</v>
      </c>
      <c r="P442" s="11">
        <f t="shared" si="13"/>
        <v>0</v>
      </c>
      <c r="Q442" s="6"/>
      <c r="R442" s="6"/>
      <c r="S442" s="6"/>
      <c r="T442" s="6"/>
    </row>
    <row r="443" spans="1:20">
      <c r="A443" s="6" t="s">
        <v>584</v>
      </c>
      <c r="B443" s="6" t="s">
        <v>69</v>
      </c>
      <c r="C443" s="6" t="s">
        <v>90</v>
      </c>
      <c r="D443" s="6" t="s">
        <v>119</v>
      </c>
      <c r="E443" s="6" t="s">
        <v>120</v>
      </c>
      <c r="F443" s="7">
        <v>52</v>
      </c>
      <c r="G443" s="7">
        <v>6500</v>
      </c>
      <c r="H443" s="16">
        <v>45220</v>
      </c>
      <c r="I443" s="6">
        <v>42</v>
      </c>
      <c r="J443" s="6" t="s">
        <v>121</v>
      </c>
      <c r="K443" s="6" t="s">
        <v>122</v>
      </c>
      <c r="L443" s="11">
        <f>F443*Controls!$B$6</f>
        <v>52</v>
      </c>
      <c r="M443" s="11">
        <f>G443*Controls!$B$6</f>
        <v>6500</v>
      </c>
      <c r="N443" s="12">
        <f>IF(L443=0,0,SUMIFS('PSI Plan'!$N$6:$N$173,'PSI Plan'!$B$6:$B$173,B443,'PSI Plan'!$C$6:$C$173,I443))</f>
        <v>0</v>
      </c>
      <c r="O443" s="11">
        <f t="shared" si="12"/>
        <v>0</v>
      </c>
      <c r="P443" s="11">
        <f t="shared" si="13"/>
        <v>0</v>
      </c>
      <c r="Q443" s="6"/>
      <c r="R443" s="6"/>
      <c r="S443" s="6"/>
      <c r="T443" s="6"/>
    </row>
    <row r="444" spans="1:20">
      <c r="A444" s="6" t="s">
        <v>585</v>
      </c>
      <c r="B444" s="6" t="s">
        <v>69</v>
      </c>
      <c r="C444" s="6" t="s">
        <v>90</v>
      </c>
      <c r="D444" s="6" t="s">
        <v>119</v>
      </c>
      <c r="E444" s="6" t="s">
        <v>120</v>
      </c>
      <c r="F444" s="7">
        <v>10</v>
      </c>
      <c r="G444" s="7">
        <v>1250</v>
      </c>
      <c r="H444" s="16">
        <v>45257</v>
      </c>
      <c r="I444" s="6">
        <v>48</v>
      </c>
      <c r="J444" s="6" t="s">
        <v>121</v>
      </c>
      <c r="K444" s="6" t="s">
        <v>139</v>
      </c>
      <c r="L444" s="11">
        <f>F444*Controls!$B$6</f>
        <v>10</v>
      </c>
      <c r="M444" s="11">
        <f>G444*Controls!$B$6</f>
        <v>1250</v>
      </c>
      <c r="N444" s="12">
        <f>IF(L444=0,0,SUMIFS('PSI Plan'!$N$6:$N$173,'PSI Plan'!$B$6:$B$173,B444,'PSI Plan'!$C$6:$C$173,I444))</f>
        <v>0</v>
      </c>
      <c r="O444" s="11">
        <f t="shared" si="12"/>
        <v>0</v>
      </c>
      <c r="P444" s="11">
        <f t="shared" si="13"/>
        <v>0</v>
      </c>
      <c r="Q444" s="6"/>
      <c r="R444" s="6"/>
      <c r="S444" s="6"/>
      <c r="T444" s="6"/>
    </row>
    <row r="445" spans="1:20">
      <c r="A445" s="6" t="s">
        <v>586</v>
      </c>
      <c r="B445" s="6" t="s">
        <v>77</v>
      </c>
      <c r="C445" s="6" t="s">
        <v>90</v>
      </c>
      <c r="D445" s="6" t="s">
        <v>119</v>
      </c>
      <c r="E445" s="6" t="s">
        <v>120</v>
      </c>
      <c r="F445" s="7">
        <v>19</v>
      </c>
      <c r="G445" s="7">
        <v>2375</v>
      </c>
      <c r="H445" s="16">
        <v>45240</v>
      </c>
      <c r="I445" s="6">
        <v>45</v>
      </c>
      <c r="J445" s="6" t="s">
        <v>121</v>
      </c>
      <c r="K445" s="6" t="s">
        <v>132</v>
      </c>
      <c r="L445" s="11">
        <f>F445*Controls!$B$6</f>
        <v>19</v>
      </c>
      <c r="M445" s="11">
        <f>G445*Controls!$B$6</f>
        <v>2375</v>
      </c>
      <c r="N445" s="12">
        <f>IF(L445=0,0,SUMIFS('PSI Plan'!$N$6:$N$173,'PSI Plan'!$B$6:$B$173,B445,'PSI Plan'!$C$6:$C$173,I445))</f>
        <v>0</v>
      </c>
      <c r="O445" s="11">
        <f t="shared" si="12"/>
        <v>0</v>
      </c>
      <c r="P445" s="11">
        <f t="shared" si="13"/>
        <v>0</v>
      </c>
      <c r="Q445" s="6"/>
      <c r="R445" s="6"/>
      <c r="S445" s="6"/>
      <c r="T445" s="6"/>
    </row>
    <row r="446" spans="1:20">
      <c r="A446" s="6" t="s">
        <v>587</v>
      </c>
      <c r="B446" s="6" t="s">
        <v>69</v>
      </c>
      <c r="C446" s="6" t="s">
        <v>90</v>
      </c>
      <c r="D446" s="6" t="s">
        <v>119</v>
      </c>
      <c r="E446" s="6" t="s">
        <v>120</v>
      </c>
      <c r="F446" s="7">
        <v>12</v>
      </c>
      <c r="G446" s="7">
        <v>1500</v>
      </c>
      <c r="H446" s="16">
        <v>45219</v>
      </c>
      <c r="I446" s="6">
        <v>42</v>
      </c>
      <c r="J446" s="6" t="s">
        <v>121</v>
      </c>
      <c r="K446" s="6" t="s">
        <v>132</v>
      </c>
      <c r="L446" s="11">
        <f>F446*Controls!$B$6</f>
        <v>12</v>
      </c>
      <c r="M446" s="11">
        <f>G446*Controls!$B$6</f>
        <v>1500</v>
      </c>
      <c r="N446" s="12">
        <f>IF(L446=0,0,SUMIFS('PSI Plan'!$N$6:$N$173,'PSI Plan'!$B$6:$B$173,B446,'PSI Plan'!$C$6:$C$173,I446))</f>
        <v>0</v>
      </c>
      <c r="O446" s="11">
        <f t="shared" si="12"/>
        <v>0</v>
      </c>
      <c r="P446" s="11">
        <f t="shared" si="13"/>
        <v>0</v>
      </c>
      <c r="Q446" s="6"/>
      <c r="R446" s="6"/>
      <c r="S446" s="6"/>
      <c r="T446" s="6"/>
    </row>
    <row r="447" spans="1:20">
      <c r="A447" s="6" t="s">
        <v>588</v>
      </c>
      <c r="B447" s="6" t="s">
        <v>77</v>
      </c>
      <c r="C447" s="6" t="s">
        <v>90</v>
      </c>
      <c r="D447" s="6" t="s">
        <v>119</v>
      </c>
      <c r="E447" s="6" t="s">
        <v>120</v>
      </c>
      <c r="F447" s="7">
        <v>13</v>
      </c>
      <c r="G447" s="7">
        <v>1625</v>
      </c>
      <c r="H447" s="16">
        <v>45258</v>
      </c>
      <c r="I447" s="6">
        <v>48</v>
      </c>
      <c r="J447" s="6" t="s">
        <v>121</v>
      </c>
      <c r="K447" s="6" t="s">
        <v>298</v>
      </c>
      <c r="L447" s="11">
        <f>F447*Controls!$B$6</f>
        <v>13</v>
      </c>
      <c r="M447" s="11">
        <f>G447*Controls!$B$6</f>
        <v>1625</v>
      </c>
      <c r="N447" s="12">
        <f>IF(L447=0,0,SUMIFS('PSI Plan'!$N$6:$N$173,'PSI Plan'!$B$6:$B$173,B447,'PSI Plan'!$C$6:$C$173,I447))</f>
        <v>0</v>
      </c>
      <c r="O447" s="11">
        <f t="shared" si="12"/>
        <v>0</v>
      </c>
      <c r="P447" s="11">
        <f t="shared" si="13"/>
        <v>0</v>
      </c>
      <c r="Q447" s="6"/>
      <c r="R447" s="6"/>
      <c r="S447" s="6"/>
      <c r="T447" s="6"/>
    </row>
    <row r="448" spans="1:20">
      <c r="A448" s="6" t="s">
        <v>589</v>
      </c>
      <c r="B448" s="6" t="s">
        <v>69</v>
      </c>
      <c r="C448" s="6" t="s">
        <v>90</v>
      </c>
      <c r="D448" s="6" t="s">
        <v>119</v>
      </c>
      <c r="E448" s="6" t="s">
        <v>120</v>
      </c>
      <c r="F448" s="7">
        <v>14</v>
      </c>
      <c r="G448" s="7">
        <v>1750</v>
      </c>
      <c r="H448" s="16">
        <v>45226</v>
      </c>
      <c r="I448" s="6">
        <v>43</v>
      </c>
      <c r="J448" s="6" t="s">
        <v>121</v>
      </c>
      <c r="K448" s="6" t="s">
        <v>298</v>
      </c>
      <c r="L448" s="11">
        <f>F448*Controls!$B$6</f>
        <v>14</v>
      </c>
      <c r="M448" s="11">
        <f>G448*Controls!$B$6</f>
        <v>1750</v>
      </c>
      <c r="N448" s="12">
        <f>IF(L448=0,0,SUMIFS('PSI Plan'!$N$6:$N$173,'PSI Plan'!$B$6:$B$173,B448,'PSI Plan'!$C$6:$C$173,I448))</f>
        <v>0</v>
      </c>
      <c r="O448" s="11">
        <f t="shared" si="12"/>
        <v>0</v>
      </c>
      <c r="P448" s="11">
        <f t="shared" si="13"/>
        <v>0</v>
      </c>
      <c r="Q448" s="6"/>
      <c r="R448" s="6"/>
      <c r="S448" s="6"/>
      <c r="T448" s="6"/>
    </row>
    <row r="449" spans="1:20">
      <c r="A449" s="6" t="s">
        <v>590</v>
      </c>
      <c r="B449" s="6" t="s">
        <v>77</v>
      </c>
      <c r="C449" s="6" t="s">
        <v>90</v>
      </c>
      <c r="D449" s="6" t="s">
        <v>119</v>
      </c>
      <c r="E449" s="6" t="s">
        <v>120</v>
      </c>
      <c r="F449" s="7">
        <v>42</v>
      </c>
      <c r="G449" s="7">
        <v>5250</v>
      </c>
      <c r="H449" s="16">
        <v>45230</v>
      </c>
      <c r="I449" s="6">
        <v>44</v>
      </c>
      <c r="J449" s="6" t="s">
        <v>121</v>
      </c>
      <c r="K449" s="6" t="s">
        <v>171</v>
      </c>
      <c r="L449" s="11">
        <f>F449*Controls!$B$6</f>
        <v>42</v>
      </c>
      <c r="M449" s="11">
        <f>G449*Controls!$B$6</f>
        <v>5250</v>
      </c>
      <c r="N449" s="12">
        <f>IF(L449=0,0,SUMIFS('PSI Plan'!$N$6:$N$173,'PSI Plan'!$B$6:$B$173,B449,'PSI Plan'!$C$6:$C$173,I449))</f>
        <v>0</v>
      </c>
      <c r="O449" s="11">
        <f t="shared" si="12"/>
        <v>0</v>
      </c>
      <c r="P449" s="11">
        <f t="shared" si="13"/>
        <v>0</v>
      </c>
      <c r="Q449" s="6"/>
      <c r="R449" s="6"/>
      <c r="S449" s="6"/>
      <c r="T449" s="6"/>
    </row>
    <row r="450" spans="1:20">
      <c r="A450" s="6" t="s">
        <v>591</v>
      </c>
      <c r="B450" s="6" t="s">
        <v>67</v>
      </c>
      <c r="C450" s="6" t="s">
        <v>90</v>
      </c>
      <c r="D450" s="6" t="s">
        <v>119</v>
      </c>
      <c r="E450" s="6" t="s">
        <v>120</v>
      </c>
      <c r="F450" s="7">
        <v>6</v>
      </c>
      <c r="G450" s="7">
        <v>750</v>
      </c>
      <c r="H450" s="16">
        <v>45243</v>
      </c>
      <c r="I450" s="6">
        <v>46</v>
      </c>
      <c r="J450" s="6" t="s">
        <v>121</v>
      </c>
      <c r="K450" s="6" t="s">
        <v>171</v>
      </c>
      <c r="L450" s="11">
        <f>F450*Controls!$B$6</f>
        <v>6</v>
      </c>
      <c r="M450" s="11">
        <f>G450*Controls!$B$6</f>
        <v>750</v>
      </c>
      <c r="N450" s="12">
        <f>IF(L450=0,0,SUMIFS('PSI Plan'!$N$6:$N$173,'PSI Plan'!$B$6:$B$173,B450,'PSI Plan'!$C$6:$C$173,I450))</f>
        <v>0</v>
      </c>
      <c r="O450" s="11">
        <f t="shared" ref="O450:O513" si="14">L450*N450</f>
        <v>0</v>
      </c>
      <c r="P450" s="11">
        <f t="shared" ref="P450:P513" si="15">M450*N450</f>
        <v>0</v>
      </c>
      <c r="Q450" s="6"/>
      <c r="R450" s="6"/>
      <c r="S450" s="6"/>
      <c r="T450" s="6"/>
    </row>
    <row r="451" spans="1:20">
      <c r="A451" s="6" t="s">
        <v>592</v>
      </c>
      <c r="B451" s="6" t="s">
        <v>69</v>
      </c>
      <c r="C451" s="6" t="s">
        <v>90</v>
      </c>
      <c r="D451" s="6" t="s">
        <v>119</v>
      </c>
      <c r="E451" s="6" t="s">
        <v>120</v>
      </c>
      <c r="F451" s="7">
        <v>26</v>
      </c>
      <c r="G451" s="7">
        <v>3250</v>
      </c>
      <c r="H451" s="16">
        <v>45213</v>
      </c>
      <c r="I451" s="6">
        <v>41</v>
      </c>
      <c r="J451" s="6" t="s">
        <v>121</v>
      </c>
      <c r="K451" s="6" t="s">
        <v>171</v>
      </c>
      <c r="L451" s="11">
        <f>F451*Controls!$B$6</f>
        <v>26</v>
      </c>
      <c r="M451" s="11">
        <f>G451*Controls!$B$6</f>
        <v>3250</v>
      </c>
      <c r="N451" s="12">
        <f>IF(L451=0,0,SUMIFS('PSI Plan'!$N$6:$N$173,'PSI Plan'!$B$6:$B$173,B451,'PSI Plan'!$C$6:$C$173,I451))</f>
        <v>0</v>
      </c>
      <c r="O451" s="11">
        <f t="shared" si="14"/>
        <v>0</v>
      </c>
      <c r="P451" s="11">
        <f t="shared" si="15"/>
        <v>0</v>
      </c>
      <c r="Q451" s="6"/>
      <c r="R451" s="6"/>
      <c r="S451" s="6"/>
      <c r="T451" s="6"/>
    </row>
    <row r="452" spans="1:20">
      <c r="A452" s="6" t="s">
        <v>593</v>
      </c>
      <c r="B452" s="6" t="s">
        <v>77</v>
      </c>
      <c r="C452" s="6" t="s">
        <v>100</v>
      </c>
      <c r="D452" s="6" t="s">
        <v>567</v>
      </c>
      <c r="E452" s="6" t="s">
        <v>120</v>
      </c>
      <c r="F452" s="7">
        <v>13</v>
      </c>
      <c r="G452" s="7">
        <v>1625</v>
      </c>
      <c r="H452" s="16">
        <v>45229</v>
      </c>
      <c r="I452" s="6">
        <v>44</v>
      </c>
      <c r="J452" s="6" t="s">
        <v>121</v>
      </c>
      <c r="K452" s="6" t="s">
        <v>568</v>
      </c>
      <c r="L452" s="11">
        <f>F452*Controls!$B$6</f>
        <v>13</v>
      </c>
      <c r="M452" s="11">
        <f>G452*Controls!$B$6</f>
        <v>1625</v>
      </c>
      <c r="N452" s="12">
        <f>IF(L452=0,0,SUMIFS('PSI Plan'!$N$6:$N$173,'PSI Plan'!$B$6:$B$173,B452,'PSI Plan'!$C$6:$C$173,I452))</f>
        <v>0</v>
      </c>
      <c r="O452" s="11">
        <f t="shared" si="14"/>
        <v>0</v>
      </c>
      <c r="P452" s="11">
        <f t="shared" si="15"/>
        <v>0</v>
      </c>
      <c r="Q452" s="6"/>
      <c r="R452" s="6"/>
      <c r="S452" s="6"/>
      <c r="T452" s="6"/>
    </row>
    <row r="453" spans="1:20">
      <c r="A453" s="6" t="s">
        <v>594</v>
      </c>
      <c r="B453" s="6" t="s">
        <v>67</v>
      </c>
      <c r="C453" s="6" t="s">
        <v>100</v>
      </c>
      <c r="D453" s="6" t="s">
        <v>567</v>
      </c>
      <c r="E453" s="6" t="s">
        <v>120</v>
      </c>
      <c r="F453" s="7">
        <v>5</v>
      </c>
      <c r="G453" s="7">
        <v>625</v>
      </c>
      <c r="H453" s="16">
        <v>45212</v>
      </c>
      <c r="I453" s="6">
        <v>41</v>
      </c>
      <c r="J453" s="6" t="s">
        <v>121</v>
      </c>
      <c r="K453" s="6" t="s">
        <v>568</v>
      </c>
      <c r="L453" s="11">
        <f>F453*Controls!$B$6</f>
        <v>5</v>
      </c>
      <c r="M453" s="11">
        <f>G453*Controls!$B$6</f>
        <v>625</v>
      </c>
      <c r="N453" s="12">
        <f>IF(L453=0,0,SUMIFS('PSI Plan'!$N$6:$N$173,'PSI Plan'!$B$6:$B$173,B453,'PSI Plan'!$C$6:$C$173,I453))</f>
        <v>0</v>
      </c>
      <c r="O453" s="11">
        <f t="shared" si="14"/>
        <v>0</v>
      </c>
      <c r="P453" s="11">
        <f t="shared" si="15"/>
        <v>0</v>
      </c>
      <c r="Q453" s="6"/>
      <c r="R453" s="6"/>
      <c r="S453" s="6"/>
      <c r="T453" s="6"/>
    </row>
    <row r="454" spans="1:20">
      <c r="A454" s="6" t="s">
        <v>595</v>
      </c>
      <c r="B454" s="6" t="s">
        <v>66</v>
      </c>
      <c r="C454" s="6" t="s">
        <v>99</v>
      </c>
      <c r="D454" s="6" t="s">
        <v>319</v>
      </c>
      <c r="E454" s="6" t="s">
        <v>120</v>
      </c>
      <c r="F454" s="7">
        <v>17</v>
      </c>
      <c r="G454" s="7">
        <v>2125</v>
      </c>
      <c r="H454" s="16">
        <v>45219</v>
      </c>
      <c r="I454" s="6">
        <v>42</v>
      </c>
      <c r="J454" s="6" t="s">
        <v>121</v>
      </c>
      <c r="K454" s="6" t="s">
        <v>365</v>
      </c>
      <c r="L454" s="11">
        <f>F454*Controls!$B$6</f>
        <v>17</v>
      </c>
      <c r="M454" s="11">
        <f>G454*Controls!$B$6</f>
        <v>2125</v>
      </c>
      <c r="N454" s="12">
        <f>IF(L454=0,0,SUMIFS('PSI Plan'!$N$6:$N$173,'PSI Plan'!$B$6:$B$173,B454,'PSI Plan'!$C$6:$C$173,I454))</f>
        <v>0.59807073954983925</v>
      </c>
      <c r="O454" s="11">
        <f t="shared" si="14"/>
        <v>10.167202572347268</v>
      </c>
      <c r="P454" s="11">
        <f t="shared" si="15"/>
        <v>1270.9003215434084</v>
      </c>
      <c r="Q454" s="6"/>
      <c r="R454" s="6"/>
      <c r="S454" s="6"/>
      <c r="T454" s="6"/>
    </row>
    <row r="455" spans="1:20">
      <c r="A455" s="6" t="s">
        <v>596</v>
      </c>
      <c r="B455" s="6" t="s">
        <v>77</v>
      </c>
      <c r="C455" s="6" t="s">
        <v>99</v>
      </c>
      <c r="D455" s="6" t="s">
        <v>319</v>
      </c>
      <c r="E455" s="6" t="s">
        <v>120</v>
      </c>
      <c r="F455" s="7">
        <v>17</v>
      </c>
      <c r="G455" s="7">
        <v>2125</v>
      </c>
      <c r="H455" s="16">
        <v>45209</v>
      </c>
      <c r="I455" s="6">
        <v>41</v>
      </c>
      <c r="J455" s="6" t="s">
        <v>121</v>
      </c>
      <c r="K455" s="6" t="s">
        <v>365</v>
      </c>
      <c r="L455" s="11">
        <f>F455*Controls!$B$6</f>
        <v>17</v>
      </c>
      <c r="M455" s="11">
        <f>G455*Controls!$B$6</f>
        <v>2125</v>
      </c>
      <c r="N455" s="12">
        <f>IF(L455=0,0,SUMIFS('PSI Plan'!$N$6:$N$173,'PSI Plan'!$B$6:$B$173,B455,'PSI Plan'!$C$6:$C$173,I455))</f>
        <v>0</v>
      </c>
      <c r="O455" s="11">
        <f t="shared" si="14"/>
        <v>0</v>
      </c>
      <c r="P455" s="11">
        <f t="shared" si="15"/>
        <v>0</v>
      </c>
      <c r="Q455" s="6"/>
      <c r="R455" s="6"/>
      <c r="S455" s="6"/>
      <c r="T455" s="6"/>
    </row>
    <row r="456" spans="1:20">
      <c r="A456" s="6" t="s">
        <v>597</v>
      </c>
      <c r="B456" s="6" t="s">
        <v>69</v>
      </c>
      <c r="C456" s="6" t="s">
        <v>99</v>
      </c>
      <c r="D456" s="6" t="s">
        <v>319</v>
      </c>
      <c r="E456" s="6" t="s">
        <v>120</v>
      </c>
      <c r="F456" s="7">
        <v>23</v>
      </c>
      <c r="G456" s="7">
        <v>2875</v>
      </c>
      <c r="H456" s="16">
        <v>45234</v>
      </c>
      <c r="I456" s="6">
        <v>44</v>
      </c>
      <c r="J456" s="6" t="s">
        <v>121</v>
      </c>
      <c r="K456" s="6" t="s">
        <v>365</v>
      </c>
      <c r="L456" s="11">
        <f>F456*Controls!$B$6</f>
        <v>23</v>
      </c>
      <c r="M456" s="11">
        <f>G456*Controls!$B$6</f>
        <v>2875</v>
      </c>
      <c r="N456" s="12">
        <f>IF(L456=0,0,SUMIFS('PSI Plan'!$N$6:$N$173,'PSI Plan'!$B$6:$B$173,B456,'PSI Plan'!$C$6:$C$173,I456))</f>
        <v>0</v>
      </c>
      <c r="O456" s="11">
        <f t="shared" si="14"/>
        <v>0</v>
      </c>
      <c r="P456" s="11">
        <f t="shared" si="15"/>
        <v>0</v>
      </c>
      <c r="Q456" s="6"/>
      <c r="R456" s="6"/>
      <c r="S456" s="6"/>
      <c r="T456" s="6"/>
    </row>
    <row r="457" spans="1:20">
      <c r="A457" s="6" t="s">
        <v>598</v>
      </c>
      <c r="B457" s="6" t="s">
        <v>77</v>
      </c>
      <c r="C457" s="6" t="s">
        <v>90</v>
      </c>
      <c r="D457" s="6" t="s">
        <v>119</v>
      </c>
      <c r="E457" s="6" t="s">
        <v>120</v>
      </c>
      <c r="F457" s="7">
        <v>52</v>
      </c>
      <c r="G457" s="7">
        <v>6500</v>
      </c>
      <c r="H457" s="16">
        <v>45260</v>
      </c>
      <c r="I457" s="6">
        <v>48</v>
      </c>
      <c r="J457" s="6" t="s">
        <v>121</v>
      </c>
      <c r="K457" s="6" t="s">
        <v>122</v>
      </c>
      <c r="L457" s="11">
        <f>F457*Controls!$B$6</f>
        <v>52</v>
      </c>
      <c r="M457" s="11">
        <f>G457*Controls!$B$6</f>
        <v>6500</v>
      </c>
      <c r="N457" s="12">
        <f>IF(L457=0,0,SUMIFS('PSI Plan'!$N$6:$N$173,'PSI Plan'!$B$6:$B$173,B457,'PSI Plan'!$C$6:$C$173,I457))</f>
        <v>0</v>
      </c>
      <c r="O457" s="11">
        <f t="shared" si="14"/>
        <v>0</v>
      </c>
      <c r="P457" s="11">
        <f t="shared" si="15"/>
        <v>0</v>
      </c>
      <c r="Q457" s="6"/>
      <c r="R457" s="6"/>
      <c r="S457" s="6"/>
      <c r="T457" s="6"/>
    </row>
    <row r="458" spans="1:20">
      <c r="A458" s="6" t="s">
        <v>599</v>
      </c>
      <c r="B458" s="6" t="s">
        <v>69</v>
      </c>
      <c r="C458" s="6" t="s">
        <v>90</v>
      </c>
      <c r="D458" s="6" t="s">
        <v>119</v>
      </c>
      <c r="E458" s="6" t="s">
        <v>120</v>
      </c>
      <c r="F458" s="7">
        <v>104</v>
      </c>
      <c r="G458" s="7">
        <v>13000</v>
      </c>
      <c r="H458" s="16">
        <v>45242</v>
      </c>
      <c r="I458" s="6">
        <v>46</v>
      </c>
      <c r="J458" s="6" t="s">
        <v>121</v>
      </c>
      <c r="K458" s="6" t="s">
        <v>122</v>
      </c>
      <c r="L458" s="11">
        <f>F458*Controls!$B$6</f>
        <v>104</v>
      </c>
      <c r="M458" s="11">
        <f>G458*Controls!$B$6</f>
        <v>13000</v>
      </c>
      <c r="N458" s="12">
        <f>IF(L458=0,0,SUMIFS('PSI Plan'!$N$6:$N$173,'PSI Plan'!$B$6:$B$173,B458,'PSI Plan'!$C$6:$C$173,I458))</f>
        <v>0</v>
      </c>
      <c r="O458" s="11">
        <f t="shared" si="14"/>
        <v>0</v>
      </c>
      <c r="P458" s="11">
        <f t="shared" si="15"/>
        <v>0</v>
      </c>
      <c r="Q458" s="6"/>
      <c r="R458" s="6"/>
      <c r="S458" s="6"/>
      <c r="T458" s="6"/>
    </row>
    <row r="459" spans="1:20">
      <c r="A459" s="6" t="s">
        <v>600</v>
      </c>
      <c r="B459" s="6" t="s">
        <v>77</v>
      </c>
      <c r="C459" s="6" t="s">
        <v>99</v>
      </c>
      <c r="D459" s="6" t="s">
        <v>319</v>
      </c>
      <c r="E459" s="6" t="s">
        <v>120</v>
      </c>
      <c r="F459" s="7">
        <v>104</v>
      </c>
      <c r="G459" s="7">
        <v>13000</v>
      </c>
      <c r="H459" s="16">
        <v>45220</v>
      </c>
      <c r="I459" s="6">
        <v>42</v>
      </c>
      <c r="J459" s="6" t="s">
        <v>121</v>
      </c>
      <c r="K459" s="6" t="s">
        <v>347</v>
      </c>
      <c r="L459" s="11">
        <f>F459*Controls!$B$6</f>
        <v>104</v>
      </c>
      <c r="M459" s="11">
        <f>G459*Controls!$B$6</f>
        <v>13000</v>
      </c>
      <c r="N459" s="12">
        <f>IF(L459=0,0,SUMIFS('PSI Plan'!$N$6:$N$173,'PSI Plan'!$B$6:$B$173,B459,'PSI Plan'!$C$6:$C$173,I459))</f>
        <v>0</v>
      </c>
      <c r="O459" s="11">
        <f t="shared" si="14"/>
        <v>0</v>
      </c>
      <c r="P459" s="11">
        <f t="shared" si="15"/>
        <v>0</v>
      </c>
      <c r="Q459" s="6"/>
      <c r="R459" s="6"/>
      <c r="S459" s="6"/>
      <c r="T459" s="6"/>
    </row>
    <row r="460" spans="1:20">
      <c r="A460" s="6" t="s">
        <v>601</v>
      </c>
      <c r="B460" s="6" t="s">
        <v>69</v>
      </c>
      <c r="C460" s="6" t="s">
        <v>99</v>
      </c>
      <c r="D460" s="6" t="s">
        <v>319</v>
      </c>
      <c r="E460" s="6" t="s">
        <v>120</v>
      </c>
      <c r="F460" s="7">
        <v>104</v>
      </c>
      <c r="G460" s="7">
        <v>13000</v>
      </c>
      <c r="H460" s="16">
        <v>45264</v>
      </c>
      <c r="I460" s="6">
        <v>49</v>
      </c>
      <c r="J460" s="6" t="s">
        <v>121</v>
      </c>
      <c r="K460" s="6" t="s">
        <v>347</v>
      </c>
      <c r="L460" s="11">
        <f>F460*Controls!$B$6</f>
        <v>104</v>
      </c>
      <c r="M460" s="11">
        <f>G460*Controls!$B$6</f>
        <v>13000</v>
      </c>
      <c r="N460" s="12">
        <f>IF(L460=0,0,SUMIFS('PSI Plan'!$N$6:$N$173,'PSI Plan'!$B$6:$B$173,B460,'PSI Plan'!$C$6:$C$173,I460))</f>
        <v>0</v>
      </c>
      <c r="O460" s="11">
        <f t="shared" si="14"/>
        <v>0</v>
      </c>
      <c r="P460" s="11">
        <f t="shared" si="15"/>
        <v>0</v>
      </c>
      <c r="Q460" s="6"/>
      <c r="R460" s="6"/>
      <c r="S460" s="6"/>
      <c r="T460" s="6"/>
    </row>
    <row r="461" spans="1:20">
      <c r="A461" s="6" t="s">
        <v>602</v>
      </c>
      <c r="B461" s="6" t="s">
        <v>66</v>
      </c>
      <c r="C461" s="6" t="s">
        <v>99</v>
      </c>
      <c r="D461" s="6" t="s">
        <v>319</v>
      </c>
      <c r="E461" s="6" t="s">
        <v>120</v>
      </c>
      <c r="F461" s="7">
        <v>33</v>
      </c>
      <c r="G461" s="7">
        <v>4125</v>
      </c>
      <c r="H461" s="16">
        <v>45204</v>
      </c>
      <c r="I461" s="6">
        <v>40</v>
      </c>
      <c r="J461" s="6" t="s">
        <v>121</v>
      </c>
      <c r="K461" s="6" t="s">
        <v>361</v>
      </c>
      <c r="L461" s="11">
        <f>F461*Controls!$B$6</f>
        <v>33</v>
      </c>
      <c r="M461" s="11">
        <f>G461*Controls!$B$6</f>
        <v>4125</v>
      </c>
      <c r="N461" s="12">
        <f>IF(L461=0,0,SUMIFS('PSI Plan'!$N$6:$N$173,'PSI Plan'!$B$6:$B$173,B461,'PSI Plan'!$C$6:$C$173,I461))</f>
        <v>0</v>
      </c>
      <c r="O461" s="11">
        <f t="shared" si="14"/>
        <v>0</v>
      </c>
      <c r="P461" s="11">
        <f t="shared" si="15"/>
        <v>0</v>
      </c>
      <c r="Q461" s="6"/>
      <c r="R461" s="6"/>
      <c r="S461" s="6"/>
      <c r="T461" s="6"/>
    </row>
    <row r="462" spans="1:20">
      <c r="A462" s="6" t="s">
        <v>603</v>
      </c>
      <c r="B462" s="6" t="s">
        <v>77</v>
      </c>
      <c r="C462" s="6" t="s">
        <v>99</v>
      </c>
      <c r="D462" s="6" t="s">
        <v>319</v>
      </c>
      <c r="E462" s="6" t="s">
        <v>120</v>
      </c>
      <c r="F462" s="7">
        <v>29</v>
      </c>
      <c r="G462" s="7">
        <v>3625</v>
      </c>
      <c r="H462" s="16">
        <v>45288</v>
      </c>
      <c r="I462" s="6">
        <v>52</v>
      </c>
      <c r="J462" s="6" t="s">
        <v>121</v>
      </c>
      <c r="K462" s="6" t="s">
        <v>361</v>
      </c>
      <c r="L462" s="11">
        <f>F462*Controls!$B$6</f>
        <v>29</v>
      </c>
      <c r="M462" s="11">
        <f>G462*Controls!$B$6</f>
        <v>3625</v>
      </c>
      <c r="N462" s="12">
        <f>IF(L462=0,0,SUMIFS('PSI Plan'!$N$6:$N$173,'PSI Plan'!$B$6:$B$173,B462,'PSI Plan'!$C$6:$C$173,I462))</f>
        <v>0</v>
      </c>
      <c r="O462" s="11">
        <f t="shared" si="14"/>
        <v>0</v>
      </c>
      <c r="P462" s="11">
        <f t="shared" si="15"/>
        <v>0</v>
      </c>
      <c r="Q462" s="6"/>
      <c r="R462" s="6"/>
      <c r="S462" s="6"/>
      <c r="T462" s="6"/>
    </row>
    <row r="463" spans="1:20">
      <c r="A463" s="6" t="s">
        <v>604</v>
      </c>
      <c r="B463" s="6" t="s">
        <v>69</v>
      </c>
      <c r="C463" s="6" t="s">
        <v>99</v>
      </c>
      <c r="D463" s="6" t="s">
        <v>319</v>
      </c>
      <c r="E463" s="6" t="s">
        <v>120</v>
      </c>
      <c r="F463" s="7">
        <v>52</v>
      </c>
      <c r="G463" s="7">
        <v>6500</v>
      </c>
      <c r="H463" s="16">
        <v>45224</v>
      </c>
      <c r="I463" s="6">
        <v>43</v>
      </c>
      <c r="J463" s="6" t="s">
        <v>121</v>
      </c>
      <c r="K463" s="6" t="s">
        <v>361</v>
      </c>
      <c r="L463" s="11">
        <f>F463*Controls!$B$6</f>
        <v>52</v>
      </c>
      <c r="M463" s="11">
        <f>G463*Controls!$B$6</f>
        <v>6500</v>
      </c>
      <c r="N463" s="12">
        <f>IF(L463=0,0,SUMIFS('PSI Plan'!$N$6:$N$173,'PSI Plan'!$B$6:$B$173,B463,'PSI Plan'!$C$6:$C$173,I463))</f>
        <v>0</v>
      </c>
      <c r="O463" s="11">
        <f t="shared" si="14"/>
        <v>0</v>
      </c>
      <c r="P463" s="11">
        <f t="shared" si="15"/>
        <v>0</v>
      </c>
      <c r="Q463" s="6"/>
      <c r="R463" s="6"/>
      <c r="S463" s="6"/>
      <c r="T463" s="6"/>
    </row>
    <row r="464" spans="1:20">
      <c r="A464" s="6" t="s">
        <v>605</v>
      </c>
      <c r="B464" s="6" t="s">
        <v>77</v>
      </c>
      <c r="C464" s="6" t="s">
        <v>100</v>
      </c>
      <c r="D464" s="6" t="s">
        <v>567</v>
      </c>
      <c r="E464" s="6" t="s">
        <v>120</v>
      </c>
      <c r="F464" s="7">
        <v>5</v>
      </c>
      <c r="G464" s="7">
        <v>625</v>
      </c>
      <c r="H464" s="16">
        <v>45214</v>
      </c>
      <c r="I464" s="6">
        <v>42</v>
      </c>
      <c r="J464" s="6" t="s">
        <v>121</v>
      </c>
      <c r="K464" s="6" t="s">
        <v>568</v>
      </c>
      <c r="L464" s="11">
        <f>F464*Controls!$B$6</f>
        <v>5</v>
      </c>
      <c r="M464" s="11">
        <f>G464*Controls!$B$6</f>
        <v>625</v>
      </c>
      <c r="N464" s="12">
        <f>IF(L464=0,0,SUMIFS('PSI Plan'!$N$6:$N$173,'PSI Plan'!$B$6:$B$173,B464,'PSI Plan'!$C$6:$C$173,I464))</f>
        <v>0</v>
      </c>
      <c r="O464" s="11">
        <f t="shared" si="14"/>
        <v>0</v>
      </c>
      <c r="P464" s="11">
        <f t="shared" si="15"/>
        <v>0</v>
      </c>
      <c r="Q464" s="6"/>
      <c r="R464" s="6"/>
      <c r="S464" s="6"/>
      <c r="T464" s="6"/>
    </row>
    <row r="465" spans="1:20">
      <c r="A465" s="6" t="s">
        <v>606</v>
      </c>
      <c r="B465" s="6" t="s">
        <v>67</v>
      </c>
      <c r="C465" s="6" t="s">
        <v>100</v>
      </c>
      <c r="D465" s="6" t="s">
        <v>567</v>
      </c>
      <c r="E465" s="6" t="s">
        <v>120</v>
      </c>
      <c r="F465" s="7">
        <v>2</v>
      </c>
      <c r="G465" s="7">
        <v>250</v>
      </c>
      <c r="H465" s="16">
        <v>45239</v>
      </c>
      <c r="I465" s="6">
        <v>45</v>
      </c>
      <c r="J465" s="6" t="s">
        <v>121</v>
      </c>
      <c r="K465" s="6" t="s">
        <v>568</v>
      </c>
      <c r="L465" s="11">
        <f>F465*Controls!$B$6</f>
        <v>2</v>
      </c>
      <c r="M465" s="11">
        <f>G465*Controls!$B$6</f>
        <v>250</v>
      </c>
      <c r="N465" s="12">
        <f>IF(L465=0,0,SUMIFS('PSI Plan'!$N$6:$N$173,'PSI Plan'!$B$6:$B$173,B465,'PSI Plan'!$C$6:$C$173,I465))</f>
        <v>0</v>
      </c>
      <c r="O465" s="11">
        <f t="shared" si="14"/>
        <v>0</v>
      </c>
      <c r="P465" s="11">
        <f t="shared" si="15"/>
        <v>0</v>
      </c>
      <c r="Q465" s="6"/>
      <c r="R465" s="6"/>
      <c r="S465" s="6"/>
      <c r="T465" s="6"/>
    </row>
    <row r="466" spans="1:20">
      <c r="A466" s="6" t="s">
        <v>607</v>
      </c>
      <c r="B466" s="6" t="s">
        <v>77</v>
      </c>
      <c r="C466" s="6" t="s">
        <v>102</v>
      </c>
      <c r="D466" s="6" t="s">
        <v>319</v>
      </c>
      <c r="E466" s="6" t="s">
        <v>120</v>
      </c>
      <c r="F466" s="7">
        <v>260</v>
      </c>
      <c r="G466" s="7">
        <v>32500</v>
      </c>
      <c r="H466" s="16">
        <v>45284</v>
      </c>
      <c r="I466" s="6">
        <v>52</v>
      </c>
      <c r="J466" s="6" t="s">
        <v>121</v>
      </c>
      <c r="K466" s="6" t="s">
        <v>347</v>
      </c>
      <c r="L466" s="11">
        <f>F466*Controls!$B$6</f>
        <v>260</v>
      </c>
      <c r="M466" s="11">
        <f>G466*Controls!$B$6</f>
        <v>32500</v>
      </c>
      <c r="N466" s="12">
        <f>IF(L466=0,0,SUMIFS('PSI Plan'!$N$6:$N$173,'PSI Plan'!$B$6:$B$173,B466,'PSI Plan'!$C$6:$C$173,I466))</f>
        <v>0</v>
      </c>
      <c r="O466" s="11">
        <f t="shared" si="14"/>
        <v>0</v>
      </c>
      <c r="P466" s="11">
        <f t="shared" si="15"/>
        <v>0</v>
      </c>
      <c r="Q466" s="6"/>
      <c r="R466" s="6"/>
      <c r="S466" s="6"/>
      <c r="T466" s="6"/>
    </row>
    <row r="467" spans="1:20">
      <c r="A467" s="6" t="s">
        <v>608</v>
      </c>
      <c r="B467" s="6" t="s">
        <v>69</v>
      </c>
      <c r="C467" s="6" t="s">
        <v>102</v>
      </c>
      <c r="D467" s="6" t="s">
        <v>319</v>
      </c>
      <c r="E467" s="6" t="s">
        <v>120</v>
      </c>
      <c r="F467" s="7">
        <v>208</v>
      </c>
      <c r="G467" s="7">
        <v>26000</v>
      </c>
      <c r="H467" s="16">
        <v>45230</v>
      </c>
      <c r="I467" s="6">
        <v>44</v>
      </c>
      <c r="J467" s="6" t="s">
        <v>121</v>
      </c>
      <c r="K467" s="6" t="s">
        <v>347</v>
      </c>
      <c r="L467" s="11">
        <f>F467*Controls!$B$6</f>
        <v>208</v>
      </c>
      <c r="M467" s="11">
        <f>G467*Controls!$B$6</f>
        <v>26000</v>
      </c>
      <c r="N467" s="12">
        <f>IF(L467=0,0,SUMIFS('PSI Plan'!$N$6:$N$173,'PSI Plan'!$B$6:$B$173,B467,'PSI Plan'!$C$6:$C$173,I467))</f>
        <v>0</v>
      </c>
      <c r="O467" s="11">
        <f t="shared" si="14"/>
        <v>0</v>
      </c>
      <c r="P467" s="11">
        <f t="shared" si="15"/>
        <v>0</v>
      </c>
      <c r="Q467" s="6"/>
      <c r="R467" s="6"/>
      <c r="S467" s="6"/>
      <c r="T467" s="6"/>
    </row>
    <row r="468" spans="1:20">
      <c r="A468" s="6" t="s">
        <v>609</v>
      </c>
      <c r="B468" s="6" t="s">
        <v>77</v>
      </c>
      <c r="C468" s="6" t="s">
        <v>90</v>
      </c>
      <c r="D468" s="6" t="s">
        <v>119</v>
      </c>
      <c r="E468" s="6" t="s">
        <v>120</v>
      </c>
      <c r="F468" s="7">
        <v>32</v>
      </c>
      <c r="G468" s="7">
        <v>4000</v>
      </c>
      <c r="H468" s="16">
        <v>45236</v>
      </c>
      <c r="I468" s="6">
        <v>45</v>
      </c>
      <c r="J468" s="6" t="s">
        <v>121</v>
      </c>
      <c r="K468" s="6" t="s">
        <v>171</v>
      </c>
      <c r="L468" s="11">
        <f>F468*Controls!$B$6</f>
        <v>32</v>
      </c>
      <c r="M468" s="11">
        <f>G468*Controls!$B$6</f>
        <v>4000</v>
      </c>
      <c r="N468" s="12">
        <f>IF(L468=0,0,SUMIFS('PSI Plan'!$N$6:$N$173,'PSI Plan'!$B$6:$B$173,B468,'PSI Plan'!$C$6:$C$173,I468))</f>
        <v>0</v>
      </c>
      <c r="O468" s="11">
        <f t="shared" si="14"/>
        <v>0</v>
      </c>
      <c r="P468" s="11">
        <f t="shared" si="15"/>
        <v>0</v>
      </c>
      <c r="Q468" s="6"/>
      <c r="R468" s="6"/>
      <c r="S468" s="6"/>
      <c r="T468" s="6"/>
    </row>
    <row r="469" spans="1:20">
      <c r="A469" s="6" t="s">
        <v>610</v>
      </c>
      <c r="B469" s="6" t="s">
        <v>67</v>
      </c>
      <c r="C469" s="6" t="s">
        <v>90</v>
      </c>
      <c r="D469" s="6" t="s">
        <v>119</v>
      </c>
      <c r="E469" s="6" t="s">
        <v>120</v>
      </c>
      <c r="F469" s="7">
        <v>43</v>
      </c>
      <c r="G469" s="7">
        <v>5375</v>
      </c>
      <c r="H469" s="16">
        <v>45257</v>
      </c>
      <c r="I469" s="6">
        <v>48</v>
      </c>
      <c r="J469" s="6" t="s">
        <v>121</v>
      </c>
      <c r="K469" s="6" t="s">
        <v>171</v>
      </c>
      <c r="L469" s="11">
        <f>F469*Controls!$B$6</f>
        <v>43</v>
      </c>
      <c r="M469" s="11">
        <f>G469*Controls!$B$6</f>
        <v>5375</v>
      </c>
      <c r="N469" s="12">
        <f>IF(L469=0,0,SUMIFS('PSI Plan'!$N$6:$N$173,'PSI Plan'!$B$6:$B$173,B469,'PSI Plan'!$C$6:$C$173,I469))</f>
        <v>0</v>
      </c>
      <c r="O469" s="11">
        <f t="shared" si="14"/>
        <v>0</v>
      </c>
      <c r="P469" s="11">
        <f t="shared" si="15"/>
        <v>0</v>
      </c>
      <c r="Q469" s="6"/>
      <c r="R469" s="6"/>
      <c r="S469" s="6"/>
      <c r="T469" s="6"/>
    </row>
    <row r="470" spans="1:20">
      <c r="A470" s="6" t="s">
        <v>611</v>
      </c>
      <c r="B470" s="6" t="s">
        <v>69</v>
      </c>
      <c r="C470" s="6" t="s">
        <v>90</v>
      </c>
      <c r="D470" s="6" t="s">
        <v>119</v>
      </c>
      <c r="E470" s="6" t="s">
        <v>120</v>
      </c>
      <c r="F470" s="7">
        <v>52</v>
      </c>
      <c r="G470" s="7">
        <v>6500</v>
      </c>
      <c r="H470" s="16">
        <v>45237</v>
      </c>
      <c r="I470" s="6">
        <v>45</v>
      </c>
      <c r="J470" s="6" t="s">
        <v>121</v>
      </c>
      <c r="K470" s="6" t="s">
        <v>171</v>
      </c>
      <c r="L470" s="11">
        <f>F470*Controls!$B$6</f>
        <v>52</v>
      </c>
      <c r="M470" s="11">
        <f>G470*Controls!$B$6</f>
        <v>6500</v>
      </c>
      <c r="N470" s="12">
        <f>IF(L470=0,0,SUMIFS('PSI Plan'!$N$6:$N$173,'PSI Plan'!$B$6:$B$173,B470,'PSI Plan'!$C$6:$C$173,I470))</f>
        <v>0</v>
      </c>
      <c r="O470" s="11">
        <f t="shared" si="14"/>
        <v>0</v>
      </c>
      <c r="P470" s="11">
        <f t="shared" si="15"/>
        <v>0</v>
      </c>
      <c r="Q470" s="6"/>
      <c r="R470" s="6"/>
      <c r="S470" s="6"/>
      <c r="T470" s="6"/>
    </row>
    <row r="471" spans="1:20">
      <c r="A471" s="6" t="s">
        <v>612</v>
      </c>
      <c r="B471" s="6" t="s">
        <v>69</v>
      </c>
      <c r="C471" s="6" t="s">
        <v>90</v>
      </c>
      <c r="D471" s="6" t="s">
        <v>119</v>
      </c>
      <c r="E471" s="6" t="s">
        <v>120</v>
      </c>
      <c r="F471" s="7">
        <v>7</v>
      </c>
      <c r="G471" s="7">
        <v>875</v>
      </c>
      <c r="H471" s="16">
        <v>45278</v>
      </c>
      <c r="I471" s="6">
        <v>51</v>
      </c>
      <c r="J471" s="6" t="s">
        <v>121</v>
      </c>
      <c r="K471" s="6" t="s">
        <v>135</v>
      </c>
      <c r="L471" s="11">
        <f>F471*Controls!$B$6</f>
        <v>7</v>
      </c>
      <c r="M471" s="11">
        <f>G471*Controls!$B$6</f>
        <v>875</v>
      </c>
      <c r="N471" s="12">
        <f>IF(L471=0,0,SUMIFS('PSI Plan'!$N$6:$N$173,'PSI Plan'!$B$6:$B$173,B471,'PSI Plan'!$C$6:$C$173,I471))</f>
        <v>0</v>
      </c>
      <c r="O471" s="11">
        <f t="shared" si="14"/>
        <v>0</v>
      </c>
      <c r="P471" s="11">
        <f t="shared" si="15"/>
        <v>0</v>
      </c>
      <c r="Q471" s="6"/>
      <c r="R471" s="6"/>
      <c r="S471" s="6"/>
      <c r="T471" s="6"/>
    </row>
    <row r="472" spans="1:20">
      <c r="A472" s="6" t="s">
        <v>613</v>
      </c>
      <c r="B472" s="6" t="s">
        <v>69</v>
      </c>
      <c r="C472" s="6" t="s">
        <v>90</v>
      </c>
      <c r="D472" s="6" t="s">
        <v>119</v>
      </c>
      <c r="E472" s="6" t="s">
        <v>120</v>
      </c>
      <c r="F472" s="7">
        <v>11</v>
      </c>
      <c r="G472" s="7">
        <v>1375</v>
      </c>
      <c r="H472" s="16">
        <v>45219</v>
      </c>
      <c r="I472" s="6">
        <v>42</v>
      </c>
      <c r="J472" s="6" t="s">
        <v>121</v>
      </c>
      <c r="K472" s="6" t="s">
        <v>132</v>
      </c>
      <c r="L472" s="11">
        <f>F472*Controls!$B$6</f>
        <v>11</v>
      </c>
      <c r="M472" s="11">
        <f>G472*Controls!$B$6</f>
        <v>1375</v>
      </c>
      <c r="N472" s="12">
        <f>IF(L472=0,0,SUMIFS('PSI Plan'!$N$6:$N$173,'PSI Plan'!$B$6:$B$173,B472,'PSI Plan'!$C$6:$C$173,I472))</f>
        <v>0</v>
      </c>
      <c r="O472" s="11">
        <f t="shared" si="14"/>
        <v>0</v>
      </c>
      <c r="P472" s="11">
        <f t="shared" si="15"/>
        <v>0</v>
      </c>
      <c r="Q472" s="6"/>
      <c r="R472" s="6"/>
      <c r="S472" s="6"/>
      <c r="T472" s="6"/>
    </row>
    <row r="473" spans="1:20">
      <c r="A473" s="6" t="s">
        <v>614</v>
      </c>
      <c r="B473" s="6" t="s">
        <v>66</v>
      </c>
      <c r="C473" s="6" t="s">
        <v>90</v>
      </c>
      <c r="D473" s="6" t="s">
        <v>119</v>
      </c>
      <c r="E473" s="6" t="s">
        <v>120</v>
      </c>
      <c r="F473" s="7">
        <v>156</v>
      </c>
      <c r="G473" s="7">
        <v>19500</v>
      </c>
      <c r="H473" s="16">
        <v>45208</v>
      </c>
      <c r="I473" s="6">
        <v>41</v>
      </c>
      <c r="J473" s="6" t="s">
        <v>121</v>
      </c>
      <c r="K473" s="6" t="s">
        <v>122</v>
      </c>
      <c r="L473" s="11">
        <f>F473*Controls!$B$6</f>
        <v>156</v>
      </c>
      <c r="M473" s="11">
        <f>G473*Controls!$B$6</f>
        <v>19500</v>
      </c>
      <c r="N473" s="12">
        <f>IF(L473=0,0,SUMIFS('PSI Plan'!$N$6:$N$173,'PSI Plan'!$B$6:$B$173,B473,'PSI Plan'!$C$6:$C$173,I473))</f>
        <v>0.22897465437788017</v>
      </c>
      <c r="O473" s="11">
        <f t="shared" si="14"/>
        <v>35.72004608294931</v>
      </c>
      <c r="P473" s="11">
        <f t="shared" si="15"/>
        <v>4465.0057603686637</v>
      </c>
      <c r="Q473" s="6"/>
      <c r="R473" s="6"/>
      <c r="S473" s="6"/>
      <c r="T473" s="6"/>
    </row>
    <row r="474" spans="1:20">
      <c r="A474" s="6" t="s">
        <v>615</v>
      </c>
      <c r="B474" s="6" t="s">
        <v>77</v>
      </c>
      <c r="C474" s="6" t="s">
        <v>90</v>
      </c>
      <c r="D474" s="6" t="s">
        <v>119</v>
      </c>
      <c r="E474" s="6" t="s">
        <v>120</v>
      </c>
      <c r="F474" s="7">
        <v>104</v>
      </c>
      <c r="G474" s="7">
        <v>13000</v>
      </c>
      <c r="H474" s="16">
        <v>45264</v>
      </c>
      <c r="I474" s="6">
        <v>49</v>
      </c>
      <c r="J474" s="6" t="s">
        <v>121</v>
      </c>
      <c r="K474" s="6" t="s">
        <v>122</v>
      </c>
      <c r="L474" s="11">
        <f>F474*Controls!$B$6</f>
        <v>104</v>
      </c>
      <c r="M474" s="11">
        <f>G474*Controls!$B$6</f>
        <v>13000</v>
      </c>
      <c r="N474" s="12">
        <f>IF(L474=0,0,SUMIFS('PSI Plan'!$N$6:$N$173,'PSI Plan'!$B$6:$B$173,B474,'PSI Plan'!$C$6:$C$173,I474))</f>
        <v>0</v>
      </c>
      <c r="O474" s="11">
        <f t="shared" si="14"/>
        <v>0</v>
      </c>
      <c r="P474" s="11">
        <f t="shared" si="15"/>
        <v>0</v>
      </c>
      <c r="Q474" s="6"/>
      <c r="R474" s="6"/>
      <c r="S474" s="6"/>
      <c r="T474" s="6"/>
    </row>
    <row r="475" spans="1:20">
      <c r="A475" s="6" t="s">
        <v>616</v>
      </c>
      <c r="B475" s="6" t="s">
        <v>76</v>
      </c>
      <c r="C475" s="6" t="s">
        <v>90</v>
      </c>
      <c r="D475" s="6" t="s">
        <v>119</v>
      </c>
      <c r="E475" s="6" t="s">
        <v>120</v>
      </c>
      <c r="F475" s="7">
        <v>104</v>
      </c>
      <c r="G475" s="7">
        <v>13000</v>
      </c>
      <c r="H475" s="16">
        <v>45247</v>
      </c>
      <c r="I475" s="6">
        <v>46</v>
      </c>
      <c r="J475" s="6" t="s">
        <v>121</v>
      </c>
      <c r="K475" s="6" t="s">
        <v>122</v>
      </c>
      <c r="L475" s="11">
        <f>F475*Controls!$B$6</f>
        <v>104</v>
      </c>
      <c r="M475" s="11">
        <f>G475*Controls!$B$6</f>
        <v>13000</v>
      </c>
      <c r="N475" s="12">
        <f>IF(L475=0,0,SUMIFS('PSI Plan'!$N$6:$N$173,'PSI Plan'!$B$6:$B$173,B475,'PSI Plan'!$C$6:$C$173,I475))</f>
        <v>0</v>
      </c>
      <c r="O475" s="11">
        <f t="shared" si="14"/>
        <v>0</v>
      </c>
      <c r="P475" s="11">
        <f t="shared" si="15"/>
        <v>0</v>
      </c>
      <c r="Q475" s="6"/>
      <c r="R475" s="6"/>
      <c r="S475" s="6"/>
      <c r="T475" s="6"/>
    </row>
    <row r="476" spans="1:20">
      <c r="A476" s="6" t="s">
        <v>617</v>
      </c>
      <c r="B476" s="6" t="s">
        <v>67</v>
      </c>
      <c r="C476" s="6" t="s">
        <v>90</v>
      </c>
      <c r="D476" s="6" t="s">
        <v>119</v>
      </c>
      <c r="E476" s="6" t="s">
        <v>120</v>
      </c>
      <c r="F476" s="7">
        <v>156</v>
      </c>
      <c r="G476" s="7">
        <v>19500</v>
      </c>
      <c r="H476" s="16">
        <v>45211</v>
      </c>
      <c r="I476" s="6">
        <v>41</v>
      </c>
      <c r="J476" s="6" t="s">
        <v>121</v>
      </c>
      <c r="K476" s="6" t="s">
        <v>122</v>
      </c>
      <c r="L476" s="11">
        <f>F476*Controls!$B$6</f>
        <v>156</v>
      </c>
      <c r="M476" s="11">
        <f>G476*Controls!$B$6</f>
        <v>19500</v>
      </c>
      <c r="N476" s="12">
        <f>IF(L476=0,0,SUMIFS('PSI Plan'!$N$6:$N$173,'PSI Plan'!$B$6:$B$173,B476,'PSI Plan'!$C$6:$C$173,I476))</f>
        <v>0</v>
      </c>
      <c r="O476" s="11">
        <f t="shared" si="14"/>
        <v>0</v>
      </c>
      <c r="P476" s="11">
        <f t="shared" si="15"/>
        <v>0</v>
      </c>
      <c r="Q476" s="6"/>
      <c r="R476" s="6"/>
      <c r="S476" s="6"/>
      <c r="T476" s="6"/>
    </row>
    <row r="477" spans="1:20">
      <c r="A477" s="6" t="s">
        <v>618</v>
      </c>
      <c r="B477" s="6" t="s">
        <v>69</v>
      </c>
      <c r="C477" s="6" t="s">
        <v>90</v>
      </c>
      <c r="D477" s="6" t="s">
        <v>119</v>
      </c>
      <c r="E477" s="6" t="s">
        <v>120</v>
      </c>
      <c r="F477" s="7">
        <v>156</v>
      </c>
      <c r="G477" s="7">
        <v>19500</v>
      </c>
      <c r="H477" s="16">
        <v>45250</v>
      </c>
      <c r="I477" s="6">
        <v>47</v>
      </c>
      <c r="J477" s="6" t="s">
        <v>121</v>
      </c>
      <c r="K477" s="6" t="s">
        <v>122</v>
      </c>
      <c r="L477" s="11">
        <f>F477*Controls!$B$6</f>
        <v>156</v>
      </c>
      <c r="M477" s="11">
        <f>G477*Controls!$B$6</f>
        <v>19500</v>
      </c>
      <c r="N477" s="12">
        <f>IF(L477=0,0,SUMIFS('PSI Plan'!$N$6:$N$173,'PSI Plan'!$B$6:$B$173,B477,'PSI Plan'!$C$6:$C$173,I477))</f>
        <v>0</v>
      </c>
      <c r="O477" s="11">
        <f t="shared" si="14"/>
        <v>0</v>
      </c>
      <c r="P477" s="11">
        <f t="shared" si="15"/>
        <v>0</v>
      </c>
      <c r="Q477" s="6"/>
      <c r="R477" s="6"/>
      <c r="S477" s="6"/>
      <c r="T477" s="6"/>
    </row>
    <row r="478" spans="1:20">
      <c r="A478" s="6" t="s">
        <v>619</v>
      </c>
      <c r="B478" s="6" t="s">
        <v>69</v>
      </c>
      <c r="C478" s="6" t="s">
        <v>90</v>
      </c>
      <c r="D478" s="6" t="s">
        <v>119</v>
      </c>
      <c r="E478" s="6" t="s">
        <v>120</v>
      </c>
      <c r="F478" s="7">
        <v>20</v>
      </c>
      <c r="G478" s="7">
        <v>2500</v>
      </c>
      <c r="H478" s="16">
        <v>45202</v>
      </c>
      <c r="I478" s="6">
        <v>40</v>
      </c>
      <c r="J478" s="6" t="s">
        <v>121</v>
      </c>
      <c r="K478" s="6" t="s">
        <v>298</v>
      </c>
      <c r="L478" s="11">
        <f>F478*Controls!$B$6</f>
        <v>20</v>
      </c>
      <c r="M478" s="11">
        <f>G478*Controls!$B$6</f>
        <v>2500</v>
      </c>
      <c r="N478" s="12">
        <f>IF(L478=0,0,SUMIFS('PSI Plan'!$N$6:$N$173,'PSI Plan'!$B$6:$B$173,B478,'PSI Plan'!$C$6:$C$173,I478))</f>
        <v>0</v>
      </c>
      <c r="O478" s="11">
        <f t="shared" si="14"/>
        <v>0</v>
      </c>
      <c r="P478" s="11">
        <f t="shared" si="15"/>
        <v>0</v>
      </c>
      <c r="Q478" s="6"/>
      <c r="R478" s="6"/>
      <c r="S478" s="6"/>
      <c r="T478" s="6"/>
    </row>
    <row r="479" spans="1:20">
      <c r="A479" s="6" t="s">
        <v>620</v>
      </c>
      <c r="B479" s="6" t="s">
        <v>66</v>
      </c>
      <c r="C479" s="6" t="s">
        <v>90</v>
      </c>
      <c r="D479" s="6" t="s">
        <v>119</v>
      </c>
      <c r="E479" s="6" t="s">
        <v>120</v>
      </c>
      <c r="F479" s="7">
        <v>16</v>
      </c>
      <c r="G479" s="7">
        <v>2000</v>
      </c>
      <c r="H479" s="16">
        <v>45279</v>
      </c>
      <c r="I479" s="6">
        <v>51</v>
      </c>
      <c r="J479" s="6" t="s">
        <v>121</v>
      </c>
      <c r="K479" s="6" t="s">
        <v>139</v>
      </c>
      <c r="L479" s="11">
        <f>F479*Controls!$B$6</f>
        <v>16</v>
      </c>
      <c r="M479" s="11">
        <f>G479*Controls!$B$6</f>
        <v>2000</v>
      </c>
      <c r="N479" s="12">
        <f>IF(L479=0,0,SUMIFS('PSI Plan'!$N$6:$N$173,'PSI Plan'!$B$6:$B$173,B479,'PSI Plan'!$C$6:$C$173,I479))</f>
        <v>0</v>
      </c>
      <c r="O479" s="11">
        <f t="shared" si="14"/>
        <v>0</v>
      </c>
      <c r="P479" s="11">
        <f t="shared" si="15"/>
        <v>0</v>
      </c>
      <c r="Q479" s="6"/>
      <c r="R479" s="6"/>
      <c r="S479" s="6"/>
      <c r="T479" s="6"/>
    </row>
    <row r="480" spans="1:20">
      <c r="A480" s="6" t="s">
        <v>621</v>
      </c>
      <c r="B480" s="6" t="s">
        <v>77</v>
      </c>
      <c r="C480" s="6" t="s">
        <v>90</v>
      </c>
      <c r="D480" s="6" t="s">
        <v>119</v>
      </c>
      <c r="E480" s="6" t="s">
        <v>120</v>
      </c>
      <c r="F480" s="7">
        <v>7</v>
      </c>
      <c r="G480" s="7">
        <v>875</v>
      </c>
      <c r="H480" s="16">
        <v>45279</v>
      </c>
      <c r="I480" s="6">
        <v>51</v>
      </c>
      <c r="J480" s="6" t="s">
        <v>121</v>
      </c>
      <c r="K480" s="6" t="s">
        <v>139</v>
      </c>
      <c r="L480" s="11">
        <f>F480*Controls!$B$6</f>
        <v>7</v>
      </c>
      <c r="M480" s="11">
        <f>G480*Controls!$B$6</f>
        <v>875</v>
      </c>
      <c r="N480" s="12">
        <f>IF(L480=0,0,SUMIFS('PSI Plan'!$N$6:$N$173,'PSI Plan'!$B$6:$B$173,B480,'PSI Plan'!$C$6:$C$173,I480))</f>
        <v>0</v>
      </c>
      <c r="O480" s="11">
        <f t="shared" si="14"/>
        <v>0</v>
      </c>
      <c r="P480" s="11">
        <f t="shared" si="15"/>
        <v>0</v>
      </c>
      <c r="Q480" s="6"/>
      <c r="R480" s="6"/>
      <c r="S480" s="6"/>
      <c r="T480" s="6"/>
    </row>
    <row r="481" spans="1:20">
      <c r="A481" s="6" t="s">
        <v>622</v>
      </c>
      <c r="B481" s="6" t="s">
        <v>76</v>
      </c>
      <c r="C481" s="6" t="s">
        <v>90</v>
      </c>
      <c r="D481" s="6" t="s">
        <v>119</v>
      </c>
      <c r="E481" s="6" t="s">
        <v>120</v>
      </c>
      <c r="F481" s="7">
        <v>8</v>
      </c>
      <c r="G481" s="7">
        <v>1000</v>
      </c>
      <c r="H481" s="16">
        <v>45257</v>
      </c>
      <c r="I481" s="6">
        <v>48</v>
      </c>
      <c r="J481" s="6" t="s">
        <v>121</v>
      </c>
      <c r="K481" s="6" t="s">
        <v>139</v>
      </c>
      <c r="L481" s="11">
        <f>F481*Controls!$B$6</f>
        <v>8</v>
      </c>
      <c r="M481" s="11">
        <f>G481*Controls!$B$6</f>
        <v>1000</v>
      </c>
      <c r="N481" s="12">
        <f>IF(L481=0,0,SUMIFS('PSI Plan'!$N$6:$N$173,'PSI Plan'!$B$6:$B$173,B481,'PSI Plan'!$C$6:$C$173,I481))</f>
        <v>0</v>
      </c>
      <c r="O481" s="11">
        <f t="shared" si="14"/>
        <v>0</v>
      </c>
      <c r="P481" s="11">
        <f t="shared" si="15"/>
        <v>0</v>
      </c>
      <c r="Q481" s="6"/>
      <c r="R481" s="6"/>
      <c r="S481" s="6"/>
      <c r="T481" s="6"/>
    </row>
    <row r="482" spans="1:20">
      <c r="A482" s="6" t="s">
        <v>623</v>
      </c>
      <c r="B482" s="6" t="s">
        <v>69</v>
      </c>
      <c r="C482" s="6" t="s">
        <v>90</v>
      </c>
      <c r="D482" s="6" t="s">
        <v>119</v>
      </c>
      <c r="E482" s="6" t="s">
        <v>120</v>
      </c>
      <c r="F482" s="7">
        <v>7</v>
      </c>
      <c r="G482" s="7">
        <v>875</v>
      </c>
      <c r="H482" s="16">
        <v>45248</v>
      </c>
      <c r="I482" s="6">
        <v>46</v>
      </c>
      <c r="J482" s="6" t="s">
        <v>121</v>
      </c>
      <c r="K482" s="6" t="s">
        <v>139</v>
      </c>
      <c r="L482" s="11">
        <f>F482*Controls!$B$6</f>
        <v>7</v>
      </c>
      <c r="M482" s="11">
        <f>G482*Controls!$B$6</f>
        <v>875</v>
      </c>
      <c r="N482" s="12">
        <f>IF(L482=0,0,SUMIFS('PSI Plan'!$N$6:$N$173,'PSI Plan'!$B$6:$B$173,B482,'PSI Plan'!$C$6:$C$173,I482))</f>
        <v>0</v>
      </c>
      <c r="O482" s="11">
        <f t="shared" si="14"/>
        <v>0</v>
      </c>
      <c r="P482" s="11">
        <f t="shared" si="15"/>
        <v>0</v>
      </c>
      <c r="Q482" s="6"/>
      <c r="R482" s="6"/>
      <c r="S482" s="6"/>
      <c r="T482" s="6"/>
    </row>
    <row r="483" spans="1:20">
      <c r="A483" s="6" t="s">
        <v>624</v>
      </c>
      <c r="B483" s="6" t="s">
        <v>66</v>
      </c>
      <c r="C483" s="6" t="s">
        <v>99</v>
      </c>
      <c r="D483" s="6" t="s">
        <v>319</v>
      </c>
      <c r="E483" s="6" t="s">
        <v>120</v>
      </c>
      <c r="F483" s="7">
        <v>52</v>
      </c>
      <c r="G483" s="7">
        <v>6500</v>
      </c>
      <c r="H483" s="16">
        <v>45249</v>
      </c>
      <c r="I483" s="6">
        <v>47</v>
      </c>
      <c r="J483" s="6" t="s">
        <v>121</v>
      </c>
      <c r="K483" s="6" t="s">
        <v>344</v>
      </c>
      <c r="L483" s="11">
        <f>F483*Controls!$B$6</f>
        <v>52</v>
      </c>
      <c r="M483" s="11">
        <f>G483*Controls!$B$6</f>
        <v>6500</v>
      </c>
      <c r="N483" s="12">
        <f>IF(L483=0,0,SUMIFS('PSI Plan'!$N$6:$N$173,'PSI Plan'!$B$6:$B$173,B483,'PSI Plan'!$C$6:$C$173,I483))</f>
        <v>0</v>
      </c>
      <c r="O483" s="11">
        <f t="shared" si="14"/>
        <v>0</v>
      </c>
      <c r="P483" s="11">
        <f t="shared" si="15"/>
        <v>0</v>
      </c>
      <c r="Q483" s="6"/>
      <c r="R483" s="6"/>
      <c r="S483" s="6"/>
      <c r="T483" s="6"/>
    </row>
    <row r="484" spans="1:20">
      <c r="A484" s="6" t="s">
        <v>625</v>
      </c>
      <c r="B484" s="6" t="s">
        <v>69</v>
      </c>
      <c r="C484" s="6" t="s">
        <v>99</v>
      </c>
      <c r="D484" s="6" t="s">
        <v>319</v>
      </c>
      <c r="E484" s="6" t="s">
        <v>120</v>
      </c>
      <c r="F484" s="7">
        <v>52</v>
      </c>
      <c r="G484" s="7">
        <v>6500</v>
      </c>
      <c r="H484" s="16">
        <v>45253</v>
      </c>
      <c r="I484" s="6">
        <v>47</v>
      </c>
      <c r="J484" s="6" t="s">
        <v>121</v>
      </c>
      <c r="K484" s="6" t="s">
        <v>344</v>
      </c>
      <c r="L484" s="11">
        <f>F484*Controls!$B$6</f>
        <v>52</v>
      </c>
      <c r="M484" s="11">
        <f>G484*Controls!$B$6</f>
        <v>6500</v>
      </c>
      <c r="N484" s="12">
        <f>IF(L484=0,0,SUMIFS('PSI Plan'!$N$6:$N$173,'PSI Plan'!$B$6:$B$173,B484,'PSI Plan'!$C$6:$C$173,I484))</f>
        <v>0</v>
      </c>
      <c r="O484" s="11">
        <f t="shared" si="14"/>
        <v>0</v>
      </c>
      <c r="P484" s="11">
        <f t="shared" si="15"/>
        <v>0</v>
      </c>
      <c r="Q484" s="6"/>
      <c r="R484" s="6"/>
      <c r="S484" s="6"/>
      <c r="T484" s="6"/>
    </row>
    <row r="485" spans="1:20">
      <c r="A485" s="6" t="s">
        <v>626</v>
      </c>
      <c r="B485" s="6" t="s">
        <v>66</v>
      </c>
      <c r="C485" s="6" t="s">
        <v>99</v>
      </c>
      <c r="D485" s="6" t="s">
        <v>319</v>
      </c>
      <c r="E485" s="6" t="s">
        <v>120</v>
      </c>
      <c r="F485" s="7">
        <v>39</v>
      </c>
      <c r="G485" s="7">
        <v>4875</v>
      </c>
      <c r="H485" s="16">
        <v>45262</v>
      </c>
      <c r="I485" s="6">
        <v>48</v>
      </c>
      <c r="J485" s="6" t="s">
        <v>121</v>
      </c>
      <c r="K485" s="6" t="s">
        <v>459</v>
      </c>
      <c r="L485" s="11">
        <f>F485*Controls!$B$6</f>
        <v>39</v>
      </c>
      <c r="M485" s="11">
        <f>G485*Controls!$B$6</f>
        <v>4875</v>
      </c>
      <c r="N485" s="12">
        <f>IF(L485=0,0,SUMIFS('PSI Plan'!$N$6:$N$173,'PSI Plan'!$B$6:$B$173,B485,'PSI Plan'!$C$6:$C$173,I485))</f>
        <v>0</v>
      </c>
      <c r="O485" s="11">
        <f t="shared" si="14"/>
        <v>0</v>
      </c>
      <c r="P485" s="11">
        <f t="shared" si="15"/>
        <v>0</v>
      </c>
      <c r="Q485" s="6"/>
      <c r="R485" s="6"/>
      <c r="S485" s="6"/>
      <c r="T485" s="6"/>
    </row>
    <row r="486" spans="1:20">
      <c r="A486" s="6" t="s">
        <v>627</v>
      </c>
      <c r="B486" s="6" t="s">
        <v>77</v>
      </c>
      <c r="C486" s="6" t="s">
        <v>99</v>
      </c>
      <c r="D486" s="6" t="s">
        <v>319</v>
      </c>
      <c r="E486" s="6" t="s">
        <v>120</v>
      </c>
      <c r="F486" s="7">
        <v>52</v>
      </c>
      <c r="G486" s="7">
        <v>6500</v>
      </c>
      <c r="H486" s="16">
        <v>45274</v>
      </c>
      <c r="I486" s="6">
        <v>50</v>
      </c>
      <c r="J486" s="6" t="s">
        <v>121</v>
      </c>
      <c r="K486" s="6" t="s">
        <v>459</v>
      </c>
      <c r="L486" s="11">
        <f>F486*Controls!$B$6</f>
        <v>52</v>
      </c>
      <c r="M486" s="11">
        <f>G486*Controls!$B$6</f>
        <v>6500</v>
      </c>
      <c r="N486" s="12">
        <f>IF(L486=0,0,SUMIFS('PSI Plan'!$N$6:$N$173,'PSI Plan'!$B$6:$B$173,B486,'PSI Plan'!$C$6:$C$173,I486))</f>
        <v>0</v>
      </c>
      <c r="O486" s="11">
        <f t="shared" si="14"/>
        <v>0</v>
      </c>
      <c r="P486" s="11">
        <f t="shared" si="15"/>
        <v>0</v>
      </c>
      <c r="Q486" s="6"/>
      <c r="R486" s="6"/>
      <c r="S486" s="6"/>
      <c r="T486" s="6"/>
    </row>
    <row r="487" spans="1:20">
      <c r="A487" s="6" t="s">
        <v>628</v>
      </c>
      <c r="B487" s="6" t="s">
        <v>69</v>
      </c>
      <c r="C487" s="6" t="s">
        <v>99</v>
      </c>
      <c r="D487" s="6" t="s">
        <v>319</v>
      </c>
      <c r="E487" s="6" t="s">
        <v>120</v>
      </c>
      <c r="F487" s="7">
        <v>52</v>
      </c>
      <c r="G487" s="7">
        <v>6500</v>
      </c>
      <c r="H487" s="16">
        <v>45258</v>
      </c>
      <c r="I487" s="6">
        <v>48</v>
      </c>
      <c r="J487" s="6" t="s">
        <v>121</v>
      </c>
      <c r="K487" s="6" t="s">
        <v>459</v>
      </c>
      <c r="L487" s="11">
        <f>F487*Controls!$B$6</f>
        <v>52</v>
      </c>
      <c r="M487" s="11">
        <f>G487*Controls!$B$6</f>
        <v>6500</v>
      </c>
      <c r="N487" s="12">
        <f>IF(L487=0,0,SUMIFS('PSI Plan'!$N$6:$N$173,'PSI Plan'!$B$6:$B$173,B487,'PSI Plan'!$C$6:$C$173,I487))</f>
        <v>0</v>
      </c>
      <c r="O487" s="11">
        <f t="shared" si="14"/>
        <v>0</v>
      </c>
      <c r="P487" s="11">
        <f t="shared" si="15"/>
        <v>0</v>
      </c>
      <c r="Q487" s="6"/>
      <c r="R487" s="6"/>
      <c r="S487" s="6"/>
      <c r="T487" s="6"/>
    </row>
    <row r="488" spans="1:20">
      <c r="A488" s="6" t="s">
        <v>629</v>
      </c>
      <c r="B488" s="6" t="s">
        <v>66</v>
      </c>
      <c r="C488" s="6" t="s">
        <v>99</v>
      </c>
      <c r="D488" s="6" t="s">
        <v>319</v>
      </c>
      <c r="E488" s="6" t="s">
        <v>120</v>
      </c>
      <c r="F488" s="7">
        <v>208</v>
      </c>
      <c r="G488" s="7">
        <v>26000</v>
      </c>
      <c r="H488" s="16">
        <v>45231</v>
      </c>
      <c r="I488" s="6">
        <v>44</v>
      </c>
      <c r="J488" s="6" t="s">
        <v>121</v>
      </c>
      <c r="K488" s="6" t="s">
        <v>347</v>
      </c>
      <c r="L488" s="11">
        <f>F488*Controls!$B$6</f>
        <v>208</v>
      </c>
      <c r="M488" s="11">
        <f>G488*Controls!$B$6</f>
        <v>26000</v>
      </c>
      <c r="N488" s="12">
        <f>IF(L488=0,0,SUMIFS('PSI Plan'!$N$6:$N$173,'PSI Plan'!$B$6:$B$173,B488,'PSI Plan'!$C$6:$C$173,I488))</f>
        <v>0</v>
      </c>
      <c r="O488" s="11">
        <f t="shared" si="14"/>
        <v>0</v>
      </c>
      <c r="P488" s="11">
        <f t="shared" si="15"/>
        <v>0</v>
      </c>
      <c r="Q488" s="6"/>
      <c r="R488" s="6"/>
      <c r="S488" s="6"/>
      <c r="T488" s="6"/>
    </row>
    <row r="489" spans="1:20">
      <c r="A489" s="6" t="s">
        <v>630</v>
      </c>
      <c r="B489" s="6" t="s">
        <v>77</v>
      </c>
      <c r="C489" s="6" t="s">
        <v>99</v>
      </c>
      <c r="D489" s="6" t="s">
        <v>319</v>
      </c>
      <c r="E489" s="6" t="s">
        <v>120</v>
      </c>
      <c r="F489" s="7">
        <v>260</v>
      </c>
      <c r="G489" s="7">
        <v>32500</v>
      </c>
      <c r="H489" s="16">
        <v>45286</v>
      </c>
      <c r="I489" s="6">
        <v>52</v>
      </c>
      <c r="J489" s="6" t="s">
        <v>121</v>
      </c>
      <c r="K489" s="6" t="s">
        <v>347</v>
      </c>
      <c r="L489" s="11">
        <f>F489*Controls!$B$6</f>
        <v>260</v>
      </c>
      <c r="M489" s="11">
        <f>G489*Controls!$B$6</f>
        <v>32500</v>
      </c>
      <c r="N489" s="12">
        <f>IF(L489=0,0,SUMIFS('PSI Plan'!$N$6:$N$173,'PSI Plan'!$B$6:$B$173,B489,'PSI Plan'!$C$6:$C$173,I489))</f>
        <v>0</v>
      </c>
      <c r="O489" s="11">
        <f t="shared" si="14"/>
        <v>0</v>
      </c>
      <c r="P489" s="11">
        <f t="shared" si="15"/>
        <v>0</v>
      </c>
      <c r="Q489" s="6"/>
      <c r="R489" s="6"/>
      <c r="S489" s="6"/>
      <c r="T489" s="6"/>
    </row>
    <row r="490" spans="1:20">
      <c r="A490" s="6" t="s">
        <v>631</v>
      </c>
      <c r="B490" s="6" t="s">
        <v>69</v>
      </c>
      <c r="C490" s="6" t="s">
        <v>99</v>
      </c>
      <c r="D490" s="6" t="s">
        <v>319</v>
      </c>
      <c r="E490" s="6" t="s">
        <v>120</v>
      </c>
      <c r="F490" s="7">
        <v>208</v>
      </c>
      <c r="G490" s="7">
        <v>26000</v>
      </c>
      <c r="H490" s="16">
        <v>45254</v>
      </c>
      <c r="I490" s="6">
        <v>47</v>
      </c>
      <c r="J490" s="6" t="s">
        <v>121</v>
      </c>
      <c r="K490" s="6" t="s">
        <v>347</v>
      </c>
      <c r="L490" s="11">
        <f>F490*Controls!$B$6</f>
        <v>208</v>
      </c>
      <c r="M490" s="11">
        <f>G490*Controls!$B$6</f>
        <v>26000</v>
      </c>
      <c r="N490" s="12">
        <f>IF(L490=0,0,SUMIFS('PSI Plan'!$N$6:$N$173,'PSI Plan'!$B$6:$B$173,B490,'PSI Plan'!$C$6:$C$173,I490))</f>
        <v>0</v>
      </c>
      <c r="O490" s="11">
        <f t="shared" si="14"/>
        <v>0</v>
      </c>
      <c r="P490" s="11">
        <f t="shared" si="15"/>
        <v>0</v>
      </c>
      <c r="Q490" s="6"/>
      <c r="R490" s="6"/>
      <c r="S490" s="6"/>
      <c r="T490" s="6"/>
    </row>
    <row r="491" spans="1:20">
      <c r="A491" s="6" t="s">
        <v>632</v>
      </c>
      <c r="B491" s="6" t="s">
        <v>77</v>
      </c>
      <c r="C491" s="6" t="s">
        <v>90</v>
      </c>
      <c r="D491" s="6" t="s">
        <v>119</v>
      </c>
      <c r="E491" s="6" t="s">
        <v>120</v>
      </c>
      <c r="F491" s="7">
        <v>52</v>
      </c>
      <c r="G491" s="7">
        <v>6500</v>
      </c>
      <c r="H491" s="16">
        <v>45200</v>
      </c>
      <c r="I491" s="6">
        <v>40</v>
      </c>
      <c r="J491" s="6" t="s">
        <v>121</v>
      </c>
      <c r="K491" s="6" t="s">
        <v>122</v>
      </c>
      <c r="L491" s="11">
        <f>F491*Controls!$B$6</f>
        <v>52</v>
      </c>
      <c r="M491" s="11">
        <f>G491*Controls!$B$6</f>
        <v>6500</v>
      </c>
      <c r="N491" s="12">
        <f>IF(L491=0,0,SUMIFS('PSI Plan'!$N$6:$N$173,'PSI Plan'!$B$6:$B$173,B491,'PSI Plan'!$C$6:$C$173,I491))</f>
        <v>0</v>
      </c>
      <c r="O491" s="11">
        <f t="shared" si="14"/>
        <v>0</v>
      </c>
      <c r="P491" s="11">
        <f t="shared" si="15"/>
        <v>0</v>
      </c>
      <c r="Q491" s="6"/>
      <c r="R491" s="6"/>
      <c r="S491" s="6"/>
      <c r="T491" s="6"/>
    </row>
    <row r="492" spans="1:20">
      <c r="A492" s="6" t="s">
        <v>633</v>
      </c>
      <c r="B492" s="6" t="s">
        <v>67</v>
      </c>
      <c r="C492" s="6" t="s">
        <v>90</v>
      </c>
      <c r="D492" s="6" t="s">
        <v>119</v>
      </c>
      <c r="E492" s="6" t="s">
        <v>120</v>
      </c>
      <c r="F492" s="7">
        <v>52</v>
      </c>
      <c r="G492" s="7">
        <v>6500</v>
      </c>
      <c r="H492" s="16">
        <v>45212</v>
      </c>
      <c r="I492" s="6">
        <v>41</v>
      </c>
      <c r="J492" s="6" t="s">
        <v>121</v>
      </c>
      <c r="K492" s="6" t="s">
        <v>122</v>
      </c>
      <c r="L492" s="11">
        <f>F492*Controls!$B$6</f>
        <v>52</v>
      </c>
      <c r="M492" s="11">
        <f>G492*Controls!$B$6</f>
        <v>6500</v>
      </c>
      <c r="N492" s="12">
        <f>IF(L492=0,0,SUMIFS('PSI Plan'!$N$6:$N$173,'PSI Plan'!$B$6:$B$173,B492,'PSI Plan'!$C$6:$C$173,I492))</f>
        <v>0</v>
      </c>
      <c r="O492" s="11">
        <f t="shared" si="14"/>
        <v>0</v>
      </c>
      <c r="P492" s="11">
        <f t="shared" si="15"/>
        <v>0</v>
      </c>
      <c r="Q492" s="6"/>
      <c r="R492" s="6"/>
      <c r="S492" s="6"/>
      <c r="T492" s="6"/>
    </row>
    <row r="493" spans="1:20">
      <c r="A493" s="6" t="s">
        <v>634</v>
      </c>
      <c r="B493" s="6" t="s">
        <v>69</v>
      </c>
      <c r="C493" s="6" t="s">
        <v>90</v>
      </c>
      <c r="D493" s="6" t="s">
        <v>119</v>
      </c>
      <c r="E493" s="6" t="s">
        <v>120</v>
      </c>
      <c r="F493" s="7">
        <v>52</v>
      </c>
      <c r="G493" s="7">
        <v>6500</v>
      </c>
      <c r="H493" s="16">
        <v>45264</v>
      </c>
      <c r="I493" s="6">
        <v>49</v>
      </c>
      <c r="J493" s="6" t="s">
        <v>121</v>
      </c>
      <c r="K493" s="6" t="s">
        <v>122</v>
      </c>
      <c r="L493" s="11">
        <f>F493*Controls!$B$6</f>
        <v>52</v>
      </c>
      <c r="M493" s="11">
        <f>G493*Controls!$B$6</f>
        <v>6500</v>
      </c>
      <c r="N493" s="12">
        <f>IF(L493=0,0,SUMIFS('PSI Plan'!$N$6:$N$173,'PSI Plan'!$B$6:$B$173,B493,'PSI Plan'!$C$6:$C$173,I493))</f>
        <v>0</v>
      </c>
      <c r="O493" s="11">
        <f t="shared" si="14"/>
        <v>0</v>
      </c>
      <c r="P493" s="11">
        <f t="shared" si="15"/>
        <v>0</v>
      </c>
      <c r="Q493" s="6"/>
      <c r="R493" s="6"/>
      <c r="S493" s="6"/>
      <c r="T493" s="6"/>
    </row>
    <row r="494" spans="1:20">
      <c r="A494" s="6" t="s">
        <v>635</v>
      </c>
      <c r="B494" s="6" t="s">
        <v>66</v>
      </c>
      <c r="C494" s="6" t="s">
        <v>100</v>
      </c>
      <c r="D494" s="6" t="s">
        <v>567</v>
      </c>
      <c r="E494" s="6" t="s">
        <v>120</v>
      </c>
      <c r="F494" s="7">
        <v>6</v>
      </c>
      <c r="G494" s="7">
        <v>750</v>
      </c>
      <c r="H494" s="16">
        <v>45202</v>
      </c>
      <c r="I494" s="6">
        <v>40</v>
      </c>
      <c r="J494" s="6" t="s">
        <v>121</v>
      </c>
      <c r="K494" s="6" t="s">
        <v>636</v>
      </c>
      <c r="L494" s="11">
        <f>F494*Controls!$B$6</f>
        <v>6</v>
      </c>
      <c r="M494" s="11">
        <f>G494*Controls!$B$6</f>
        <v>750</v>
      </c>
      <c r="N494" s="12">
        <f>IF(L494=0,0,SUMIFS('PSI Plan'!$N$6:$N$173,'PSI Plan'!$B$6:$B$173,B494,'PSI Plan'!$C$6:$C$173,I494))</f>
        <v>0</v>
      </c>
      <c r="O494" s="11">
        <f t="shared" si="14"/>
        <v>0</v>
      </c>
      <c r="P494" s="11">
        <f t="shared" si="15"/>
        <v>0</v>
      </c>
      <c r="Q494" s="6"/>
      <c r="R494" s="6"/>
      <c r="S494" s="6"/>
      <c r="T494" s="6"/>
    </row>
    <row r="495" spans="1:20">
      <c r="A495" s="6" t="s">
        <v>637</v>
      </c>
      <c r="B495" s="6" t="s">
        <v>77</v>
      </c>
      <c r="C495" s="6" t="s">
        <v>100</v>
      </c>
      <c r="D495" s="6" t="s">
        <v>567</v>
      </c>
      <c r="E495" s="6" t="s">
        <v>120</v>
      </c>
      <c r="F495" s="7">
        <v>6</v>
      </c>
      <c r="G495" s="7">
        <v>750</v>
      </c>
      <c r="H495" s="16">
        <v>45266</v>
      </c>
      <c r="I495" s="6">
        <v>49</v>
      </c>
      <c r="J495" s="6" t="s">
        <v>121</v>
      </c>
      <c r="K495" s="6" t="s">
        <v>636</v>
      </c>
      <c r="L495" s="11">
        <f>F495*Controls!$B$6</f>
        <v>6</v>
      </c>
      <c r="M495" s="11">
        <f>G495*Controls!$B$6</f>
        <v>750</v>
      </c>
      <c r="N495" s="12">
        <f>IF(L495=0,0,SUMIFS('PSI Plan'!$N$6:$N$173,'PSI Plan'!$B$6:$B$173,B495,'PSI Plan'!$C$6:$C$173,I495))</f>
        <v>0</v>
      </c>
      <c r="O495" s="11">
        <f t="shared" si="14"/>
        <v>0</v>
      </c>
      <c r="P495" s="11">
        <f t="shared" si="15"/>
        <v>0</v>
      </c>
      <c r="Q495" s="6"/>
      <c r="R495" s="6"/>
      <c r="S495" s="6"/>
      <c r="T495" s="6"/>
    </row>
    <row r="496" spans="1:20">
      <c r="A496" s="6" t="s">
        <v>638</v>
      </c>
      <c r="B496" s="6" t="s">
        <v>69</v>
      </c>
      <c r="C496" s="6" t="s">
        <v>100</v>
      </c>
      <c r="D496" s="6" t="s">
        <v>567</v>
      </c>
      <c r="E496" s="6" t="s">
        <v>120</v>
      </c>
      <c r="F496" s="7">
        <v>6</v>
      </c>
      <c r="G496" s="7">
        <v>750</v>
      </c>
      <c r="H496" s="16">
        <v>45222</v>
      </c>
      <c r="I496" s="6">
        <v>43</v>
      </c>
      <c r="J496" s="6" t="s">
        <v>121</v>
      </c>
      <c r="K496" s="6" t="s">
        <v>636</v>
      </c>
      <c r="L496" s="11">
        <f>F496*Controls!$B$6</f>
        <v>6</v>
      </c>
      <c r="M496" s="11">
        <f>G496*Controls!$B$6</f>
        <v>750</v>
      </c>
      <c r="N496" s="12">
        <f>IF(L496=0,0,SUMIFS('PSI Plan'!$N$6:$N$173,'PSI Plan'!$B$6:$B$173,B496,'PSI Plan'!$C$6:$C$173,I496))</f>
        <v>0</v>
      </c>
      <c r="O496" s="11">
        <f t="shared" si="14"/>
        <v>0</v>
      </c>
      <c r="P496" s="11">
        <f t="shared" si="15"/>
        <v>0</v>
      </c>
      <c r="Q496" s="6"/>
      <c r="R496" s="6"/>
      <c r="S496" s="6"/>
      <c r="T496" s="6"/>
    </row>
    <row r="497" spans="1:20">
      <c r="A497" s="6" t="s">
        <v>639</v>
      </c>
      <c r="B497" s="6" t="s">
        <v>77</v>
      </c>
      <c r="C497" s="6" t="s">
        <v>90</v>
      </c>
      <c r="D497" s="6" t="s">
        <v>119</v>
      </c>
      <c r="E497" s="6" t="s">
        <v>120</v>
      </c>
      <c r="F497" s="7">
        <v>5</v>
      </c>
      <c r="G497" s="7">
        <v>625</v>
      </c>
      <c r="H497" s="16">
        <v>45209</v>
      </c>
      <c r="I497" s="6">
        <v>41</v>
      </c>
      <c r="J497" s="6" t="s">
        <v>121</v>
      </c>
      <c r="K497" s="6" t="s">
        <v>171</v>
      </c>
      <c r="L497" s="11">
        <f>F497*Controls!$B$6</f>
        <v>5</v>
      </c>
      <c r="M497" s="11">
        <f>G497*Controls!$B$6</f>
        <v>625</v>
      </c>
      <c r="N497" s="12">
        <f>IF(L497=0,0,SUMIFS('PSI Plan'!$N$6:$N$173,'PSI Plan'!$B$6:$B$173,B497,'PSI Plan'!$C$6:$C$173,I497))</f>
        <v>0</v>
      </c>
      <c r="O497" s="11">
        <f t="shared" si="14"/>
        <v>0</v>
      </c>
      <c r="P497" s="11">
        <f t="shared" si="15"/>
        <v>0</v>
      </c>
      <c r="Q497" s="6"/>
      <c r="R497" s="6"/>
      <c r="S497" s="6"/>
      <c r="T497" s="6"/>
    </row>
    <row r="498" spans="1:20">
      <c r="A498" s="6" t="s">
        <v>640</v>
      </c>
      <c r="B498" s="6" t="s">
        <v>67</v>
      </c>
      <c r="C498" s="6" t="s">
        <v>90</v>
      </c>
      <c r="D498" s="6" t="s">
        <v>119</v>
      </c>
      <c r="E498" s="6" t="s">
        <v>120</v>
      </c>
      <c r="F498" s="7">
        <v>14</v>
      </c>
      <c r="G498" s="7">
        <v>1750</v>
      </c>
      <c r="H498" s="16">
        <v>45276</v>
      </c>
      <c r="I498" s="6">
        <v>50</v>
      </c>
      <c r="J498" s="6" t="s">
        <v>121</v>
      </c>
      <c r="K498" s="6" t="s">
        <v>171</v>
      </c>
      <c r="L498" s="11">
        <f>F498*Controls!$B$6</f>
        <v>14</v>
      </c>
      <c r="M498" s="11">
        <f>G498*Controls!$B$6</f>
        <v>1750</v>
      </c>
      <c r="N498" s="12">
        <f>IF(L498=0,0,SUMIFS('PSI Plan'!$N$6:$N$173,'PSI Plan'!$B$6:$B$173,B498,'PSI Plan'!$C$6:$C$173,I498))</f>
        <v>0</v>
      </c>
      <c r="O498" s="11">
        <f t="shared" si="14"/>
        <v>0</v>
      </c>
      <c r="P498" s="11">
        <f t="shared" si="15"/>
        <v>0</v>
      </c>
      <c r="Q498" s="6"/>
      <c r="R498" s="6"/>
      <c r="S498" s="6"/>
      <c r="T498" s="6"/>
    </row>
    <row r="499" spans="1:20">
      <c r="A499" s="6" t="s">
        <v>641</v>
      </c>
      <c r="B499" s="6" t="s">
        <v>69</v>
      </c>
      <c r="C499" s="6" t="s">
        <v>90</v>
      </c>
      <c r="D499" s="6" t="s">
        <v>119</v>
      </c>
      <c r="E499" s="6" t="s">
        <v>120</v>
      </c>
      <c r="F499" s="7">
        <v>26</v>
      </c>
      <c r="G499" s="7">
        <v>3250</v>
      </c>
      <c r="H499" s="16">
        <v>45259</v>
      </c>
      <c r="I499" s="6">
        <v>48</v>
      </c>
      <c r="J499" s="6" t="s">
        <v>121</v>
      </c>
      <c r="K499" s="6" t="s">
        <v>171</v>
      </c>
      <c r="L499" s="11">
        <f>F499*Controls!$B$6</f>
        <v>26</v>
      </c>
      <c r="M499" s="11">
        <f>G499*Controls!$B$6</f>
        <v>3250</v>
      </c>
      <c r="N499" s="12">
        <f>IF(L499=0,0,SUMIFS('PSI Plan'!$N$6:$N$173,'PSI Plan'!$B$6:$B$173,B499,'PSI Plan'!$C$6:$C$173,I499))</f>
        <v>0</v>
      </c>
      <c r="O499" s="11">
        <f t="shared" si="14"/>
        <v>0</v>
      </c>
      <c r="P499" s="11">
        <f t="shared" si="15"/>
        <v>0</v>
      </c>
      <c r="Q499" s="6"/>
      <c r="R499" s="6"/>
      <c r="S499" s="6"/>
      <c r="T499" s="6"/>
    </row>
    <row r="500" spans="1:20">
      <c r="A500" s="6" t="s">
        <v>642</v>
      </c>
      <c r="B500" s="6" t="s">
        <v>66</v>
      </c>
      <c r="C500" s="6" t="s">
        <v>90</v>
      </c>
      <c r="D500" s="6" t="s">
        <v>119</v>
      </c>
      <c r="E500" s="6" t="s">
        <v>120</v>
      </c>
      <c r="F500" s="7">
        <v>7</v>
      </c>
      <c r="G500" s="7">
        <v>875</v>
      </c>
      <c r="H500" s="16">
        <v>45268</v>
      </c>
      <c r="I500" s="6">
        <v>49</v>
      </c>
      <c r="J500" s="6" t="s">
        <v>121</v>
      </c>
      <c r="K500" s="6" t="s">
        <v>139</v>
      </c>
      <c r="L500" s="11">
        <f>F500*Controls!$B$6</f>
        <v>7</v>
      </c>
      <c r="M500" s="11">
        <f>G500*Controls!$B$6</f>
        <v>875</v>
      </c>
      <c r="N500" s="12">
        <f>IF(L500=0,0,SUMIFS('PSI Plan'!$N$6:$N$173,'PSI Plan'!$B$6:$B$173,B500,'PSI Plan'!$C$6:$C$173,I500))</f>
        <v>0</v>
      </c>
      <c r="O500" s="11">
        <f t="shared" si="14"/>
        <v>0</v>
      </c>
      <c r="P500" s="11">
        <f t="shared" si="15"/>
        <v>0</v>
      </c>
      <c r="Q500" s="6"/>
      <c r="R500" s="6"/>
      <c r="S500" s="6"/>
      <c r="T500" s="6"/>
    </row>
    <row r="501" spans="1:20">
      <c r="A501" s="6" t="s">
        <v>643</v>
      </c>
      <c r="B501" s="6" t="s">
        <v>76</v>
      </c>
      <c r="C501" s="6" t="s">
        <v>90</v>
      </c>
      <c r="D501" s="6" t="s">
        <v>119</v>
      </c>
      <c r="E501" s="6" t="s">
        <v>120</v>
      </c>
      <c r="F501" s="7">
        <v>3</v>
      </c>
      <c r="G501" s="7">
        <v>375</v>
      </c>
      <c r="H501" s="16">
        <v>45242</v>
      </c>
      <c r="I501" s="6">
        <v>46</v>
      </c>
      <c r="J501" s="6" t="s">
        <v>121</v>
      </c>
      <c r="K501" s="6" t="s">
        <v>139</v>
      </c>
      <c r="L501" s="11">
        <f>F501*Controls!$B$6</f>
        <v>3</v>
      </c>
      <c r="M501" s="11">
        <f>G501*Controls!$B$6</f>
        <v>375</v>
      </c>
      <c r="N501" s="12">
        <f>IF(L501=0,0,SUMIFS('PSI Plan'!$N$6:$N$173,'PSI Plan'!$B$6:$B$173,B501,'PSI Plan'!$C$6:$C$173,I501))</f>
        <v>0</v>
      </c>
      <c r="O501" s="11">
        <f t="shared" si="14"/>
        <v>0</v>
      </c>
      <c r="P501" s="11">
        <f t="shared" si="15"/>
        <v>0</v>
      </c>
      <c r="Q501" s="6"/>
      <c r="R501" s="6"/>
      <c r="S501" s="6"/>
      <c r="T501" s="6"/>
    </row>
    <row r="502" spans="1:20">
      <c r="A502" s="6" t="s">
        <v>644</v>
      </c>
      <c r="B502" s="6" t="s">
        <v>69</v>
      </c>
      <c r="C502" s="6" t="s">
        <v>90</v>
      </c>
      <c r="D502" s="6" t="s">
        <v>119</v>
      </c>
      <c r="E502" s="6" t="s">
        <v>120</v>
      </c>
      <c r="F502" s="7">
        <v>2</v>
      </c>
      <c r="G502" s="7">
        <v>250</v>
      </c>
      <c r="H502" s="16">
        <v>45213</v>
      </c>
      <c r="I502" s="6">
        <v>41</v>
      </c>
      <c r="J502" s="6" t="s">
        <v>121</v>
      </c>
      <c r="K502" s="6" t="s">
        <v>139</v>
      </c>
      <c r="L502" s="11">
        <f>F502*Controls!$B$6</f>
        <v>2</v>
      </c>
      <c r="M502" s="11">
        <f>G502*Controls!$B$6</f>
        <v>250</v>
      </c>
      <c r="N502" s="12">
        <f>IF(L502=0,0,SUMIFS('PSI Plan'!$N$6:$N$173,'PSI Plan'!$B$6:$B$173,B502,'PSI Plan'!$C$6:$C$173,I502))</f>
        <v>0</v>
      </c>
      <c r="O502" s="11">
        <f t="shared" si="14"/>
        <v>0</v>
      </c>
      <c r="P502" s="11">
        <f t="shared" si="15"/>
        <v>0</v>
      </c>
      <c r="Q502" s="6"/>
      <c r="R502" s="6"/>
      <c r="S502" s="6"/>
      <c r="T502" s="6"/>
    </row>
    <row r="503" spans="1:20">
      <c r="A503" s="6" t="s">
        <v>645</v>
      </c>
      <c r="B503" s="6" t="s">
        <v>69</v>
      </c>
      <c r="C503" s="6" t="s">
        <v>90</v>
      </c>
      <c r="D503" s="6" t="s">
        <v>119</v>
      </c>
      <c r="E503" s="6" t="s">
        <v>120</v>
      </c>
      <c r="F503" s="7">
        <v>3</v>
      </c>
      <c r="G503" s="7">
        <v>375</v>
      </c>
      <c r="H503" s="16">
        <v>45288</v>
      </c>
      <c r="I503" s="6">
        <v>52</v>
      </c>
      <c r="J503" s="6" t="s">
        <v>121</v>
      </c>
      <c r="K503" s="6" t="s">
        <v>298</v>
      </c>
      <c r="L503" s="11">
        <f>F503*Controls!$B$6</f>
        <v>3</v>
      </c>
      <c r="M503" s="11">
        <f>G503*Controls!$B$6</f>
        <v>375</v>
      </c>
      <c r="N503" s="12">
        <f>IF(L503=0,0,SUMIFS('PSI Plan'!$N$6:$N$173,'PSI Plan'!$B$6:$B$173,B503,'PSI Plan'!$C$6:$C$173,I503))</f>
        <v>0</v>
      </c>
      <c r="O503" s="11">
        <f t="shared" si="14"/>
        <v>0</v>
      </c>
      <c r="P503" s="11">
        <f t="shared" si="15"/>
        <v>0</v>
      </c>
      <c r="Q503" s="6"/>
      <c r="R503" s="6"/>
      <c r="S503" s="6"/>
      <c r="T503" s="6"/>
    </row>
    <row r="504" spans="1:20">
      <c r="A504" s="6" t="s">
        <v>646</v>
      </c>
      <c r="B504" s="6" t="s">
        <v>66</v>
      </c>
      <c r="C504" s="6" t="s">
        <v>90</v>
      </c>
      <c r="D504" s="6" t="s">
        <v>119</v>
      </c>
      <c r="E504" s="6" t="s">
        <v>120</v>
      </c>
      <c r="F504" s="7">
        <v>52</v>
      </c>
      <c r="G504" s="7">
        <v>6500</v>
      </c>
      <c r="H504" s="16">
        <v>45237</v>
      </c>
      <c r="I504" s="6">
        <v>45</v>
      </c>
      <c r="J504" s="6" t="s">
        <v>121</v>
      </c>
      <c r="K504" s="6" t="s">
        <v>122</v>
      </c>
      <c r="L504" s="11">
        <f>F504*Controls!$B$6</f>
        <v>52</v>
      </c>
      <c r="M504" s="11">
        <f>G504*Controls!$B$6</f>
        <v>6500</v>
      </c>
      <c r="N504" s="12">
        <f>IF(L504=0,0,SUMIFS('PSI Plan'!$N$6:$N$173,'PSI Plan'!$B$6:$B$173,B504,'PSI Plan'!$C$6:$C$173,I504))</f>
        <v>0</v>
      </c>
      <c r="O504" s="11">
        <f t="shared" si="14"/>
        <v>0</v>
      </c>
      <c r="P504" s="11">
        <f t="shared" si="15"/>
        <v>0</v>
      </c>
      <c r="Q504" s="6"/>
      <c r="R504" s="6"/>
      <c r="S504" s="6"/>
      <c r="T504" s="6"/>
    </row>
    <row r="505" spans="1:20">
      <c r="A505" s="6" t="s">
        <v>647</v>
      </c>
      <c r="B505" s="6" t="s">
        <v>76</v>
      </c>
      <c r="C505" s="6" t="s">
        <v>90</v>
      </c>
      <c r="D505" s="6" t="s">
        <v>119</v>
      </c>
      <c r="E505" s="6" t="s">
        <v>120</v>
      </c>
      <c r="F505" s="7">
        <v>26</v>
      </c>
      <c r="G505" s="7">
        <v>3250</v>
      </c>
      <c r="H505" s="16">
        <v>45280</v>
      </c>
      <c r="I505" s="6">
        <v>51</v>
      </c>
      <c r="J505" s="6" t="s">
        <v>121</v>
      </c>
      <c r="K505" s="6" t="s">
        <v>122</v>
      </c>
      <c r="L505" s="11">
        <f>F505*Controls!$B$6</f>
        <v>26</v>
      </c>
      <c r="M505" s="11">
        <f>G505*Controls!$B$6</f>
        <v>3250</v>
      </c>
      <c r="N505" s="12">
        <f>IF(L505=0,0,SUMIFS('PSI Plan'!$N$6:$N$173,'PSI Plan'!$B$6:$B$173,B505,'PSI Plan'!$C$6:$C$173,I505))</f>
        <v>0</v>
      </c>
      <c r="O505" s="11">
        <f t="shared" si="14"/>
        <v>0</v>
      </c>
      <c r="P505" s="11">
        <f t="shared" si="15"/>
        <v>0</v>
      </c>
      <c r="Q505" s="6"/>
      <c r="R505" s="6"/>
      <c r="S505" s="6"/>
      <c r="T505" s="6"/>
    </row>
    <row r="506" spans="1:20">
      <c r="A506" s="6" t="s">
        <v>648</v>
      </c>
      <c r="B506" s="6" t="s">
        <v>66</v>
      </c>
      <c r="C506" s="6" t="s">
        <v>99</v>
      </c>
      <c r="D506" s="6" t="s">
        <v>319</v>
      </c>
      <c r="E506" s="6" t="s">
        <v>120</v>
      </c>
      <c r="F506" s="7">
        <v>115</v>
      </c>
      <c r="G506" s="7">
        <v>14375</v>
      </c>
      <c r="H506" s="16">
        <v>45249</v>
      </c>
      <c r="I506" s="6">
        <v>47</v>
      </c>
      <c r="J506" s="6" t="s">
        <v>121</v>
      </c>
      <c r="K506" s="6" t="s">
        <v>324</v>
      </c>
      <c r="L506" s="11">
        <f>F506*Controls!$B$6</f>
        <v>115</v>
      </c>
      <c r="M506" s="11">
        <f>G506*Controls!$B$6</f>
        <v>14375</v>
      </c>
      <c r="N506" s="12">
        <f>IF(L506=0,0,SUMIFS('PSI Plan'!$N$6:$N$173,'PSI Plan'!$B$6:$B$173,B506,'PSI Plan'!$C$6:$C$173,I506))</f>
        <v>0</v>
      </c>
      <c r="O506" s="11">
        <f t="shared" si="14"/>
        <v>0</v>
      </c>
      <c r="P506" s="11">
        <f t="shared" si="15"/>
        <v>0</v>
      </c>
      <c r="Q506" s="6"/>
      <c r="R506" s="6"/>
      <c r="S506" s="6"/>
      <c r="T506" s="6"/>
    </row>
    <row r="507" spans="1:20">
      <c r="A507" s="6" t="s">
        <v>649</v>
      </c>
      <c r="B507" s="6" t="s">
        <v>77</v>
      </c>
      <c r="C507" s="6" t="s">
        <v>99</v>
      </c>
      <c r="D507" s="6" t="s">
        <v>319</v>
      </c>
      <c r="E507" s="6" t="s">
        <v>120</v>
      </c>
      <c r="F507" s="7">
        <v>30</v>
      </c>
      <c r="G507" s="7">
        <v>3750</v>
      </c>
      <c r="H507" s="16">
        <v>45280</v>
      </c>
      <c r="I507" s="6">
        <v>51</v>
      </c>
      <c r="J507" s="6" t="s">
        <v>121</v>
      </c>
      <c r="K507" s="6" t="s">
        <v>324</v>
      </c>
      <c r="L507" s="11">
        <f>F507*Controls!$B$6</f>
        <v>30</v>
      </c>
      <c r="M507" s="11">
        <f>G507*Controls!$B$6</f>
        <v>3750</v>
      </c>
      <c r="N507" s="12">
        <f>IF(L507=0,0,SUMIFS('PSI Plan'!$N$6:$N$173,'PSI Plan'!$B$6:$B$173,B507,'PSI Plan'!$C$6:$C$173,I507))</f>
        <v>0</v>
      </c>
      <c r="O507" s="11">
        <f t="shared" si="14"/>
        <v>0</v>
      </c>
      <c r="P507" s="11">
        <f t="shared" si="15"/>
        <v>0</v>
      </c>
      <c r="Q507" s="6"/>
      <c r="R507" s="6"/>
      <c r="S507" s="6"/>
      <c r="T507" s="6"/>
    </row>
    <row r="508" spans="1:20">
      <c r="A508" s="6" t="s">
        <v>650</v>
      </c>
      <c r="B508" s="6" t="s">
        <v>69</v>
      </c>
      <c r="C508" s="6" t="s">
        <v>99</v>
      </c>
      <c r="D508" s="6" t="s">
        <v>319</v>
      </c>
      <c r="E508" s="6" t="s">
        <v>120</v>
      </c>
      <c r="F508" s="7">
        <v>28</v>
      </c>
      <c r="G508" s="7">
        <v>3500</v>
      </c>
      <c r="H508" s="16">
        <v>45288</v>
      </c>
      <c r="I508" s="6">
        <v>52</v>
      </c>
      <c r="J508" s="6" t="s">
        <v>121</v>
      </c>
      <c r="K508" s="6" t="s">
        <v>324</v>
      </c>
      <c r="L508" s="11">
        <f>F508*Controls!$B$6</f>
        <v>28</v>
      </c>
      <c r="M508" s="11">
        <f>G508*Controls!$B$6</f>
        <v>3500</v>
      </c>
      <c r="N508" s="12">
        <f>IF(L508=0,0,SUMIFS('PSI Plan'!$N$6:$N$173,'PSI Plan'!$B$6:$B$173,B508,'PSI Plan'!$C$6:$C$173,I508))</f>
        <v>0</v>
      </c>
      <c r="O508" s="11">
        <f t="shared" si="14"/>
        <v>0</v>
      </c>
      <c r="P508" s="11">
        <f t="shared" si="15"/>
        <v>0</v>
      </c>
      <c r="Q508" s="6"/>
      <c r="R508" s="6"/>
      <c r="S508" s="6"/>
      <c r="T508" s="6"/>
    </row>
    <row r="509" spans="1:20">
      <c r="A509" s="6" t="s">
        <v>651</v>
      </c>
      <c r="B509" s="6" t="s">
        <v>77</v>
      </c>
      <c r="C509" s="6" t="s">
        <v>90</v>
      </c>
      <c r="D509" s="6" t="s">
        <v>119</v>
      </c>
      <c r="E509" s="6" t="s">
        <v>120</v>
      </c>
      <c r="F509" s="7">
        <v>9</v>
      </c>
      <c r="G509" s="7">
        <v>1125</v>
      </c>
      <c r="H509" s="16">
        <v>45279</v>
      </c>
      <c r="I509" s="6">
        <v>51</v>
      </c>
      <c r="J509" s="6" t="s">
        <v>121</v>
      </c>
      <c r="K509" s="6" t="s">
        <v>171</v>
      </c>
      <c r="L509" s="11">
        <f>F509*Controls!$B$6</f>
        <v>9</v>
      </c>
      <c r="M509" s="11">
        <f>G509*Controls!$B$6</f>
        <v>1125</v>
      </c>
      <c r="N509" s="12">
        <f>IF(L509=0,0,SUMIFS('PSI Plan'!$N$6:$N$173,'PSI Plan'!$B$6:$B$173,B509,'PSI Plan'!$C$6:$C$173,I509))</f>
        <v>0</v>
      </c>
      <c r="O509" s="11">
        <f t="shared" si="14"/>
        <v>0</v>
      </c>
      <c r="P509" s="11">
        <f t="shared" si="15"/>
        <v>0</v>
      </c>
      <c r="Q509" s="6"/>
      <c r="R509" s="6"/>
      <c r="S509" s="6"/>
      <c r="T509" s="6"/>
    </row>
    <row r="510" spans="1:20">
      <c r="A510" s="6" t="s">
        <v>652</v>
      </c>
      <c r="B510" s="6" t="s">
        <v>67</v>
      </c>
      <c r="C510" s="6" t="s">
        <v>90</v>
      </c>
      <c r="D510" s="6" t="s">
        <v>119</v>
      </c>
      <c r="E510" s="6" t="s">
        <v>120</v>
      </c>
      <c r="F510" s="7">
        <v>10</v>
      </c>
      <c r="G510" s="7">
        <v>1250</v>
      </c>
      <c r="H510" s="16">
        <v>45233</v>
      </c>
      <c r="I510" s="6">
        <v>44</v>
      </c>
      <c r="J510" s="6" t="s">
        <v>121</v>
      </c>
      <c r="K510" s="6" t="s">
        <v>171</v>
      </c>
      <c r="L510" s="11">
        <f>F510*Controls!$B$6</f>
        <v>10</v>
      </c>
      <c r="M510" s="11">
        <f>G510*Controls!$B$6</f>
        <v>1250</v>
      </c>
      <c r="N510" s="12">
        <f>IF(L510=0,0,SUMIFS('PSI Plan'!$N$6:$N$173,'PSI Plan'!$B$6:$B$173,B510,'PSI Plan'!$C$6:$C$173,I510))</f>
        <v>0</v>
      </c>
      <c r="O510" s="11">
        <f t="shared" si="14"/>
        <v>0</v>
      </c>
      <c r="P510" s="11">
        <f t="shared" si="15"/>
        <v>0</v>
      </c>
      <c r="Q510" s="6"/>
      <c r="R510" s="6"/>
      <c r="S510" s="6"/>
      <c r="T510" s="6"/>
    </row>
    <row r="511" spans="1:20">
      <c r="A511" s="6" t="s">
        <v>653</v>
      </c>
      <c r="B511" s="6" t="s">
        <v>69</v>
      </c>
      <c r="C511" s="6" t="s">
        <v>90</v>
      </c>
      <c r="D511" s="6" t="s">
        <v>119</v>
      </c>
      <c r="E511" s="6" t="s">
        <v>120</v>
      </c>
      <c r="F511" s="7">
        <v>26</v>
      </c>
      <c r="G511" s="7">
        <v>3250</v>
      </c>
      <c r="H511" s="16">
        <v>45287</v>
      </c>
      <c r="I511" s="6">
        <v>52</v>
      </c>
      <c r="J511" s="6" t="s">
        <v>121</v>
      </c>
      <c r="K511" s="6" t="s">
        <v>171</v>
      </c>
      <c r="L511" s="11">
        <f>F511*Controls!$B$6</f>
        <v>26</v>
      </c>
      <c r="M511" s="11">
        <f>G511*Controls!$B$6</f>
        <v>3250</v>
      </c>
      <c r="N511" s="12">
        <f>IF(L511=0,0,SUMIFS('PSI Plan'!$N$6:$N$173,'PSI Plan'!$B$6:$B$173,B511,'PSI Plan'!$C$6:$C$173,I511))</f>
        <v>0</v>
      </c>
      <c r="O511" s="11">
        <f t="shared" si="14"/>
        <v>0</v>
      </c>
      <c r="P511" s="11">
        <f t="shared" si="15"/>
        <v>0</v>
      </c>
      <c r="Q511" s="6"/>
      <c r="R511" s="6"/>
      <c r="S511" s="6"/>
      <c r="T511" s="6"/>
    </row>
    <row r="512" spans="1:20">
      <c r="A512" s="6" t="s">
        <v>654</v>
      </c>
      <c r="B512" s="6" t="s">
        <v>69</v>
      </c>
      <c r="C512" s="6" t="s">
        <v>90</v>
      </c>
      <c r="D512" s="6" t="s">
        <v>119</v>
      </c>
      <c r="E512" s="6" t="s">
        <v>120</v>
      </c>
      <c r="F512" s="7">
        <v>4</v>
      </c>
      <c r="G512" s="7">
        <v>500</v>
      </c>
      <c r="H512" s="16">
        <v>45284</v>
      </c>
      <c r="I512" s="6">
        <v>52</v>
      </c>
      <c r="J512" s="6" t="s">
        <v>121</v>
      </c>
      <c r="K512" s="6" t="s">
        <v>298</v>
      </c>
      <c r="L512" s="11">
        <f>F512*Controls!$B$6</f>
        <v>4</v>
      </c>
      <c r="M512" s="11">
        <f>G512*Controls!$B$6</f>
        <v>500</v>
      </c>
      <c r="N512" s="12">
        <f>IF(L512=0,0,SUMIFS('PSI Plan'!$N$6:$N$173,'PSI Plan'!$B$6:$B$173,B512,'PSI Plan'!$C$6:$C$173,I512))</f>
        <v>0</v>
      </c>
      <c r="O512" s="11">
        <f t="shared" si="14"/>
        <v>0</v>
      </c>
      <c r="P512" s="11">
        <f t="shared" si="15"/>
        <v>0</v>
      </c>
      <c r="Q512" s="6"/>
      <c r="R512" s="6"/>
      <c r="S512" s="6"/>
      <c r="T512" s="6"/>
    </row>
    <row r="513" spans="1:20">
      <c r="A513" s="6" t="s">
        <v>655</v>
      </c>
      <c r="B513" s="6" t="s">
        <v>66</v>
      </c>
      <c r="C513" s="6" t="s">
        <v>90</v>
      </c>
      <c r="D513" s="6" t="s">
        <v>119</v>
      </c>
      <c r="E513" s="6" t="s">
        <v>120</v>
      </c>
      <c r="F513" s="7">
        <v>5</v>
      </c>
      <c r="G513" s="7">
        <v>625</v>
      </c>
      <c r="H513" s="16">
        <v>45227</v>
      </c>
      <c r="I513" s="6">
        <v>43</v>
      </c>
      <c r="J513" s="6" t="s">
        <v>121</v>
      </c>
      <c r="K513" s="6" t="s">
        <v>135</v>
      </c>
      <c r="L513" s="11">
        <f>F513*Controls!$B$6</f>
        <v>5</v>
      </c>
      <c r="M513" s="11">
        <f>G513*Controls!$B$6</f>
        <v>625</v>
      </c>
      <c r="N513" s="12">
        <f>IF(L513=0,0,SUMIFS('PSI Plan'!$N$6:$N$173,'PSI Plan'!$B$6:$B$173,B513,'PSI Plan'!$C$6:$C$173,I513))</f>
        <v>0</v>
      </c>
      <c r="O513" s="11">
        <f t="shared" si="14"/>
        <v>0</v>
      </c>
      <c r="P513" s="11">
        <f t="shared" si="15"/>
        <v>0</v>
      </c>
      <c r="Q513" s="6"/>
      <c r="R513" s="6"/>
      <c r="S513" s="6"/>
      <c r="T513" s="6"/>
    </row>
    <row r="514" spans="1:20">
      <c r="A514" s="6" t="s">
        <v>656</v>
      </c>
      <c r="B514" s="6" t="s">
        <v>77</v>
      </c>
      <c r="C514" s="6" t="s">
        <v>90</v>
      </c>
      <c r="D514" s="6" t="s">
        <v>119</v>
      </c>
      <c r="E514" s="6" t="s">
        <v>120</v>
      </c>
      <c r="F514" s="7">
        <v>5</v>
      </c>
      <c r="G514" s="7">
        <v>625</v>
      </c>
      <c r="H514" s="16">
        <v>45263</v>
      </c>
      <c r="I514" s="6">
        <v>49</v>
      </c>
      <c r="J514" s="6" t="s">
        <v>121</v>
      </c>
      <c r="K514" s="6" t="s">
        <v>135</v>
      </c>
      <c r="L514" s="11">
        <f>F514*Controls!$B$6</f>
        <v>5</v>
      </c>
      <c r="M514" s="11">
        <f>G514*Controls!$B$6</f>
        <v>625</v>
      </c>
      <c r="N514" s="12">
        <f>IF(L514=0,0,SUMIFS('PSI Plan'!$N$6:$N$173,'PSI Plan'!$B$6:$B$173,B514,'PSI Plan'!$C$6:$C$173,I514))</f>
        <v>0</v>
      </c>
      <c r="O514" s="11">
        <f t="shared" ref="O514:O577" si="16">L514*N514</f>
        <v>0</v>
      </c>
      <c r="P514" s="11">
        <f t="shared" ref="P514:P577" si="17">M514*N514</f>
        <v>0</v>
      </c>
      <c r="Q514" s="6"/>
      <c r="R514" s="6"/>
      <c r="S514" s="6"/>
      <c r="T514" s="6"/>
    </row>
    <row r="515" spans="1:20">
      <c r="A515" s="6" t="s">
        <v>657</v>
      </c>
      <c r="B515" s="6" t="s">
        <v>69</v>
      </c>
      <c r="C515" s="6" t="s">
        <v>90</v>
      </c>
      <c r="D515" s="6" t="s">
        <v>119</v>
      </c>
      <c r="E515" s="6" t="s">
        <v>120</v>
      </c>
      <c r="F515" s="7">
        <v>2</v>
      </c>
      <c r="G515" s="7">
        <v>250</v>
      </c>
      <c r="H515" s="16">
        <v>45263</v>
      </c>
      <c r="I515" s="6">
        <v>49</v>
      </c>
      <c r="J515" s="6" t="s">
        <v>121</v>
      </c>
      <c r="K515" s="6" t="s">
        <v>135</v>
      </c>
      <c r="L515" s="11">
        <f>F515*Controls!$B$6</f>
        <v>2</v>
      </c>
      <c r="M515" s="11">
        <f>G515*Controls!$B$6</f>
        <v>250</v>
      </c>
      <c r="N515" s="12">
        <f>IF(L515=0,0,SUMIFS('PSI Plan'!$N$6:$N$173,'PSI Plan'!$B$6:$B$173,B515,'PSI Plan'!$C$6:$C$173,I515))</f>
        <v>0</v>
      </c>
      <c r="O515" s="11">
        <f t="shared" si="16"/>
        <v>0</v>
      </c>
      <c r="P515" s="11">
        <f t="shared" si="17"/>
        <v>0</v>
      </c>
      <c r="Q515" s="6"/>
      <c r="R515" s="6"/>
      <c r="S515" s="6"/>
      <c r="T515" s="6"/>
    </row>
    <row r="516" spans="1:20">
      <c r="A516" s="6" t="s">
        <v>658</v>
      </c>
      <c r="B516" s="6" t="s">
        <v>66</v>
      </c>
      <c r="C516" s="6" t="s">
        <v>90</v>
      </c>
      <c r="D516" s="6" t="s">
        <v>119</v>
      </c>
      <c r="E516" s="6" t="s">
        <v>120</v>
      </c>
      <c r="F516" s="7">
        <v>10</v>
      </c>
      <c r="G516" s="7">
        <v>1250</v>
      </c>
      <c r="H516" s="16">
        <v>45247</v>
      </c>
      <c r="I516" s="6">
        <v>46</v>
      </c>
      <c r="J516" s="6" t="s">
        <v>121</v>
      </c>
      <c r="K516" s="6" t="s">
        <v>139</v>
      </c>
      <c r="L516" s="11">
        <f>F516*Controls!$B$6</f>
        <v>10</v>
      </c>
      <c r="M516" s="11">
        <f>G516*Controls!$B$6</f>
        <v>1250</v>
      </c>
      <c r="N516" s="12">
        <f>IF(L516=0,0,SUMIFS('PSI Plan'!$N$6:$N$173,'PSI Plan'!$B$6:$B$173,B516,'PSI Plan'!$C$6:$C$173,I516))</f>
        <v>0</v>
      </c>
      <c r="O516" s="11">
        <f t="shared" si="16"/>
        <v>0</v>
      </c>
      <c r="P516" s="11">
        <f t="shared" si="17"/>
        <v>0</v>
      </c>
      <c r="Q516" s="6"/>
      <c r="R516" s="6"/>
      <c r="S516" s="6"/>
      <c r="T516" s="6"/>
    </row>
    <row r="517" spans="1:20">
      <c r="A517" s="6" t="s">
        <v>659</v>
      </c>
      <c r="B517" s="6" t="s">
        <v>77</v>
      </c>
      <c r="C517" s="6" t="s">
        <v>90</v>
      </c>
      <c r="D517" s="6" t="s">
        <v>119</v>
      </c>
      <c r="E517" s="6" t="s">
        <v>120</v>
      </c>
      <c r="F517" s="7">
        <v>7</v>
      </c>
      <c r="G517" s="7">
        <v>875</v>
      </c>
      <c r="H517" s="16">
        <v>45226</v>
      </c>
      <c r="I517" s="6">
        <v>43</v>
      </c>
      <c r="J517" s="6" t="s">
        <v>121</v>
      </c>
      <c r="K517" s="6" t="s">
        <v>139</v>
      </c>
      <c r="L517" s="11">
        <f>F517*Controls!$B$6</f>
        <v>7</v>
      </c>
      <c r="M517" s="11">
        <f>G517*Controls!$B$6</f>
        <v>875</v>
      </c>
      <c r="N517" s="12">
        <f>IF(L517=0,0,SUMIFS('PSI Plan'!$N$6:$N$173,'PSI Plan'!$B$6:$B$173,B517,'PSI Plan'!$C$6:$C$173,I517))</f>
        <v>0</v>
      </c>
      <c r="O517" s="11">
        <f t="shared" si="16"/>
        <v>0</v>
      </c>
      <c r="P517" s="11">
        <f t="shared" si="17"/>
        <v>0</v>
      </c>
      <c r="Q517" s="6"/>
      <c r="R517" s="6"/>
      <c r="S517" s="6"/>
      <c r="T517" s="6"/>
    </row>
    <row r="518" spans="1:20">
      <c r="A518" s="6" t="s">
        <v>660</v>
      </c>
      <c r="B518" s="6" t="s">
        <v>76</v>
      </c>
      <c r="C518" s="6" t="s">
        <v>90</v>
      </c>
      <c r="D518" s="6" t="s">
        <v>119</v>
      </c>
      <c r="E518" s="6" t="s">
        <v>120</v>
      </c>
      <c r="F518" s="7">
        <v>7</v>
      </c>
      <c r="G518" s="7">
        <v>875</v>
      </c>
      <c r="H518" s="16">
        <v>45212</v>
      </c>
      <c r="I518" s="6">
        <v>41</v>
      </c>
      <c r="J518" s="6" t="s">
        <v>121</v>
      </c>
      <c r="K518" s="6" t="s">
        <v>139</v>
      </c>
      <c r="L518" s="11">
        <f>F518*Controls!$B$6</f>
        <v>7</v>
      </c>
      <c r="M518" s="11">
        <f>G518*Controls!$B$6</f>
        <v>875</v>
      </c>
      <c r="N518" s="12">
        <f>IF(L518=0,0,SUMIFS('PSI Plan'!$N$6:$N$173,'PSI Plan'!$B$6:$B$173,B518,'PSI Plan'!$C$6:$C$173,I518))</f>
        <v>0</v>
      </c>
      <c r="O518" s="11">
        <f t="shared" si="16"/>
        <v>0</v>
      </c>
      <c r="P518" s="11">
        <f t="shared" si="17"/>
        <v>0</v>
      </c>
      <c r="Q518" s="6"/>
      <c r="R518" s="6"/>
      <c r="S518" s="6"/>
      <c r="T518" s="6"/>
    </row>
    <row r="519" spans="1:20">
      <c r="A519" s="6" t="s">
        <v>661</v>
      </c>
      <c r="B519" s="6" t="s">
        <v>69</v>
      </c>
      <c r="C519" s="6" t="s">
        <v>90</v>
      </c>
      <c r="D519" s="6" t="s">
        <v>119</v>
      </c>
      <c r="E519" s="6" t="s">
        <v>120</v>
      </c>
      <c r="F519" s="7">
        <v>10</v>
      </c>
      <c r="G519" s="7">
        <v>1250</v>
      </c>
      <c r="H519" s="16">
        <v>45222</v>
      </c>
      <c r="I519" s="6">
        <v>43</v>
      </c>
      <c r="J519" s="6" t="s">
        <v>121</v>
      </c>
      <c r="K519" s="6" t="s">
        <v>139</v>
      </c>
      <c r="L519" s="11">
        <f>F519*Controls!$B$6</f>
        <v>10</v>
      </c>
      <c r="M519" s="11">
        <f>G519*Controls!$B$6</f>
        <v>1250</v>
      </c>
      <c r="N519" s="12">
        <f>IF(L519=0,0,SUMIFS('PSI Plan'!$N$6:$N$173,'PSI Plan'!$B$6:$B$173,B519,'PSI Plan'!$C$6:$C$173,I519))</f>
        <v>0</v>
      </c>
      <c r="O519" s="11">
        <f t="shared" si="16"/>
        <v>0</v>
      </c>
      <c r="P519" s="11">
        <f t="shared" si="17"/>
        <v>0</v>
      </c>
      <c r="Q519" s="6"/>
      <c r="R519" s="6"/>
      <c r="S519" s="6"/>
      <c r="T519" s="6"/>
    </row>
    <row r="520" spans="1:20">
      <c r="A520" s="6" t="s">
        <v>662</v>
      </c>
      <c r="B520" s="6" t="s">
        <v>76</v>
      </c>
      <c r="C520" s="6" t="s">
        <v>90</v>
      </c>
      <c r="D520" s="6" t="s">
        <v>119</v>
      </c>
      <c r="E520" s="6" t="s">
        <v>120</v>
      </c>
      <c r="F520" s="7">
        <v>26</v>
      </c>
      <c r="G520" s="7">
        <v>3250</v>
      </c>
      <c r="H520" s="16">
        <v>45217</v>
      </c>
      <c r="I520" s="6">
        <v>42</v>
      </c>
      <c r="J520" s="6" t="s">
        <v>121</v>
      </c>
      <c r="K520" s="6" t="s">
        <v>122</v>
      </c>
      <c r="L520" s="11">
        <f>F520*Controls!$B$6</f>
        <v>26</v>
      </c>
      <c r="M520" s="11">
        <f>G520*Controls!$B$6</f>
        <v>3250</v>
      </c>
      <c r="N520" s="12">
        <f>IF(L520=0,0,SUMIFS('PSI Plan'!$N$6:$N$173,'PSI Plan'!$B$6:$B$173,B520,'PSI Plan'!$C$6:$C$173,I520))</f>
        <v>0</v>
      </c>
      <c r="O520" s="11">
        <f t="shared" si="16"/>
        <v>0</v>
      </c>
      <c r="P520" s="11">
        <f t="shared" si="17"/>
        <v>0</v>
      </c>
      <c r="Q520" s="6"/>
      <c r="R520" s="6"/>
      <c r="S520" s="6"/>
      <c r="T520" s="6"/>
    </row>
    <row r="521" spans="1:20">
      <c r="A521" s="6" t="s">
        <v>663</v>
      </c>
      <c r="B521" s="6" t="s">
        <v>69</v>
      </c>
      <c r="C521" s="6" t="s">
        <v>90</v>
      </c>
      <c r="D521" s="6" t="s">
        <v>119</v>
      </c>
      <c r="E521" s="6" t="s">
        <v>120</v>
      </c>
      <c r="F521" s="7">
        <v>52</v>
      </c>
      <c r="G521" s="7">
        <v>6500</v>
      </c>
      <c r="H521" s="16">
        <v>45260</v>
      </c>
      <c r="I521" s="6">
        <v>48</v>
      </c>
      <c r="J521" s="6" t="s">
        <v>121</v>
      </c>
      <c r="K521" s="6" t="s">
        <v>122</v>
      </c>
      <c r="L521" s="11">
        <f>F521*Controls!$B$6</f>
        <v>52</v>
      </c>
      <c r="M521" s="11">
        <f>G521*Controls!$B$6</f>
        <v>6500</v>
      </c>
      <c r="N521" s="12">
        <f>IF(L521=0,0,SUMIFS('PSI Plan'!$N$6:$N$173,'PSI Plan'!$B$6:$B$173,B521,'PSI Plan'!$C$6:$C$173,I521))</f>
        <v>0</v>
      </c>
      <c r="O521" s="11">
        <f t="shared" si="16"/>
        <v>0</v>
      </c>
      <c r="P521" s="11">
        <f t="shared" si="17"/>
        <v>0</v>
      </c>
      <c r="Q521" s="6"/>
      <c r="R521" s="6"/>
      <c r="S521" s="6"/>
      <c r="T521" s="6"/>
    </row>
    <row r="522" spans="1:20">
      <c r="A522" s="6" t="s">
        <v>664</v>
      </c>
      <c r="B522" s="6" t="s">
        <v>76</v>
      </c>
      <c r="C522" s="6" t="s">
        <v>90</v>
      </c>
      <c r="D522" s="6" t="s">
        <v>119</v>
      </c>
      <c r="E522" s="6" t="s">
        <v>120</v>
      </c>
      <c r="F522" s="7">
        <v>78</v>
      </c>
      <c r="G522" s="7">
        <v>9750</v>
      </c>
      <c r="H522" s="16">
        <v>45212</v>
      </c>
      <c r="I522" s="6">
        <v>41</v>
      </c>
      <c r="J522" s="6" t="s">
        <v>121</v>
      </c>
      <c r="K522" s="6" t="s">
        <v>122</v>
      </c>
      <c r="L522" s="11">
        <f>F522*Controls!$B$6</f>
        <v>78</v>
      </c>
      <c r="M522" s="11">
        <f>G522*Controls!$B$6</f>
        <v>9750</v>
      </c>
      <c r="N522" s="12">
        <f>IF(L522=0,0,SUMIFS('PSI Plan'!$N$6:$N$173,'PSI Plan'!$B$6:$B$173,B522,'PSI Plan'!$C$6:$C$173,I522))</f>
        <v>0</v>
      </c>
      <c r="O522" s="11">
        <f t="shared" si="16"/>
        <v>0</v>
      </c>
      <c r="P522" s="11">
        <f t="shared" si="17"/>
        <v>0</v>
      </c>
      <c r="Q522" s="6"/>
      <c r="R522" s="6"/>
      <c r="S522" s="6"/>
      <c r="T522" s="6"/>
    </row>
    <row r="523" spans="1:20">
      <c r="A523" s="6" t="s">
        <v>665</v>
      </c>
      <c r="B523" s="6" t="s">
        <v>66</v>
      </c>
      <c r="C523" s="6" t="s">
        <v>99</v>
      </c>
      <c r="D523" s="6" t="s">
        <v>319</v>
      </c>
      <c r="E523" s="6" t="s">
        <v>120</v>
      </c>
      <c r="F523" s="7">
        <v>104</v>
      </c>
      <c r="G523" s="7">
        <v>13000</v>
      </c>
      <c r="H523" s="16">
        <v>45246</v>
      </c>
      <c r="I523" s="6">
        <v>46</v>
      </c>
      <c r="J523" s="6" t="s">
        <v>121</v>
      </c>
      <c r="K523" s="6" t="s">
        <v>344</v>
      </c>
      <c r="L523" s="11">
        <f>F523*Controls!$B$6</f>
        <v>104</v>
      </c>
      <c r="M523" s="11">
        <f>G523*Controls!$B$6</f>
        <v>13000</v>
      </c>
      <c r="N523" s="12">
        <f>IF(L523=0,0,SUMIFS('PSI Plan'!$N$6:$N$173,'PSI Plan'!$B$6:$B$173,B523,'PSI Plan'!$C$6:$C$173,I523))</f>
        <v>0</v>
      </c>
      <c r="O523" s="11">
        <f t="shared" si="16"/>
        <v>0</v>
      </c>
      <c r="P523" s="11">
        <f t="shared" si="17"/>
        <v>0</v>
      </c>
      <c r="Q523" s="6"/>
      <c r="R523" s="6"/>
      <c r="S523" s="6"/>
      <c r="T523" s="6"/>
    </row>
    <row r="524" spans="1:20">
      <c r="A524" s="6" t="s">
        <v>666</v>
      </c>
      <c r="B524" s="6" t="s">
        <v>77</v>
      </c>
      <c r="C524" s="6" t="s">
        <v>99</v>
      </c>
      <c r="D524" s="6" t="s">
        <v>319</v>
      </c>
      <c r="E524" s="6" t="s">
        <v>120</v>
      </c>
      <c r="F524" s="7">
        <v>104</v>
      </c>
      <c r="G524" s="7">
        <v>13000</v>
      </c>
      <c r="H524" s="16">
        <v>45206</v>
      </c>
      <c r="I524" s="6">
        <v>40</v>
      </c>
      <c r="J524" s="6" t="s">
        <v>121</v>
      </c>
      <c r="K524" s="6" t="s">
        <v>344</v>
      </c>
      <c r="L524" s="11">
        <f>F524*Controls!$B$6</f>
        <v>104</v>
      </c>
      <c r="M524" s="11">
        <f>G524*Controls!$B$6</f>
        <v>13000</v>
      </c>
      <c r="N524" s="12">
        <f>IF(L524=0,0,SUMIFS('PSI Plan'!$N$6:$N$173,'PSI Plan'!$B$6:$B$173,B524,'PSI Plan'!$C$6:$C$173,I524))</f>
        <v>0</v>
      </c>
      <c r="O524" s="11">
        <f t="shared" si="16"/>
        <v>0</v>
      </c>
      <c r="P524" s="11">
        <f t="shared" si="17"/>
        <v>0</v>
      </c>
      <c r="Q524" s="6"/>
      <c r="R524" s="6"/>
      <c r="S524" s="6"/>
      <c r="T524" s="6"/>
    </row>
    <row r="525" spans="1:20">
      <c r="A525" s="6" t="s">
        <v>667</v>
      </c>
      <c r="B525" s="6" t="s">
        <v>69</v>
      </c>
      <c r="C525" s="6" t="s">
        <v>99</v>
      </c>
      <c r="D525" s="6" t="s">
        <v>319</v>
      </c>
      <c r="E525" s="6" t="s">
        <v>120</v>
      </c>
      <c r="F525" s="7">
        <v>104</v>
      </c>
      <c r="G525" s="7">
        <v>13000</v>
      </c>
      <c r="H525" s="16">
        <v>45217</v>
      </c>
      <c r="I525" s="6">
        <v>42</v>
      </c>
      <c r="J525" s="6" t="s">
        <v>121</v>
      </c>
      <c r="K525" s="6" t="s">
        <v>344</v>
      </c>
      <c r="L525" s="11">
        <f>F525*Controls!$B$6</f>
        <v>104</v>
      </c>
      <c r="M525" s="11">
        <f>G525*Controls!$B$6</f>
        <v>13000</v>
      </c>
      <c r="N525" s="12">
        <f>IF(L525=0,0,SUMIFS('PSI Plan'!$N$6:$N$173,'PSI Plan'!$B$6:$B$173,B525,'PSI Plan'!$C$6:$C$173,I525))</f>
        <v>0</v>
      </c>
      <c r="O525" s="11">
        <f t="shared" si="16"/>
        <v>0</v>
      </c>
      <c r="P525" s="11">
        <f t="shared" si="17"/>
        <v>0</v>
      </c>
      <c r="Q525" s="6"/>
      <c r="R525" s="6"/>
      <c r="S525" s="6"/>
      <c r="T525" s="6"/>
    </row>
    <row r="526" spans="1:20">
      <c r="A526" s="6" t="s">
        <v>668</v>
      </c>
      <c r="B526" s="6" t="s">
        <v>66</v>
      </c>
      <c r="C526" s="6" t="s">
        <v>90</v>
      </c>
      <c r="D526" s="6" t="s">
        <v>119</v>
      </c>
      <c r="E526" s="6" t="s">
        <v>120</v>
      </c>
      <c r="F526" s="7">
        <v>35</v>
      </c>
      <c r="G526" s="7">
        <v>4375</v>
      </c>
      <c r="H526" s="16">
        <v>45224</v>
      </c>
      <c r="I526" s="6">
        <v>43</v>
      </c>
      <c r="J526" s="6" t="s">
        <v>121</v>
      </c>
      <c r="K526" s="6" t="s">
        <v>135</v>
      </c>
      <c r="L526" s="11">
        <f>F526*Controls!$B$6</f>
        <v>35</v>
      </c>
      <c r="M526" s="11">
        <f>G526*Controls!$B$6</f>
        <v>4375</v>
      </c>
      <c r="N526" s="12">
        <f>IF(L526=0,0,SUMIFS('PSI Plan'!$N$6:$N$173,'PSI Plan'!$B$6:$B$173,B526,'PSI Plan'!$C$6:$C$173,I526))</f>
        <v>0</v>
      </c>
      <c r="O526" s="11">
        <f t="shared" si="16"/>
        <v>0</v>
      </c>
      <c r="P526" s="11">
        <f t="shared" si="17"/>
        <v>0</v>
      </c>
      <c r="Q526" s="6"/>
      <c r="R526" s="6"/>
      <c r="S526" s="6"/>
      <c r="T526" s="6"/>
    </row>
    <row r="527" spans="1:20">
      <c r="A527" s="6" t="s">
        <v>669</v>
      </c>
      <c r="B527" s="6" t="s">
        <v>77</v>
      </c>
      <c r="C527" s="6" t="s">
        <v>90</v>
      </c>
      <c r="D527" s="6" t="s">
        <v>119</v>
      </c>
      <c r="E527" s="6" t="s">
        <v>120</v>
      </c>
      <c r="F527" s="7">
        <v>29</v>
      </c>
      <c r="G527" s="7">
        <v>3625</v>
      </c>
      <c r="H527" s="16">
        <v>45254</v>
      </c>
      <c r="I527" s="6">
        <v>47</v>
      </c>
      <c r="J527" s="6" t="s">
        <v>121</v>
      </c>
      <c r="K527" s="6" t="s">
        <v>135</v>
      </c>
      <c r="L527" s="11">
        <f>F527*Controls!$B$6</f>
        <v>29</v>
      </c>
      <c r="M527" s="11">
        <f>G527*Controls!$B$6</f>
        <v>3625</v>
      </c>
      <c r="N527" s="12">
        <f>IF(L527=0,0,SUMIFS('PSI Plan'!$N$6:$N$173,'PSI Plan'!$B$6:$B$173,B527,'PSI Plan'!$C$6:$C$173,I527))</f>
        <v>0</v>
      </c>
      <c r="O527" s="11">
        <f t="shared" si="16"/>
        <v>0</v>
      </c>
      <c r="P527" s="11">
        <f t="shared" si="17"/>
        <v>0</v>
      </c>
      <c r="Q527" s="6"/>
      <c r="R527" s="6"/>
      <c r="S527" s="6"/>
      <c r="T527" s="6"/>
    </row>
    <row r="528" spans="1:20">
      <c r="A528" s="6" t="s">
        <v>670</v>
      </c>
      <c r="B528" s="6" t="s">
        <v>69</v>
      </c>
      <c r="C528" s="6" t="s">
        <v>90</v>
      </c>
      <c r="D528" s="6" t="s">
        <v>119</v>
      </c>
      <c r="E528" s="6" t="s">
        <v>120</v>
      </c>
      <c r="F528" s="7">
        <v>52</v>
      </c>
      <c r="G528" s="7">
        <v>6500</v>
      </c>
      <c r="H528" s="16">
        <v>45264</v>
      </c>
      <c r="I528" s="6">
        <v>49</v>
      </c>
      <c r="J528" s="6" t="s">
        <v>121</v>
      </c>
      <c r="K528" s="6" t="s">
        <v>135</v>
      </c>
      <c r="L528" s="11">
        <f>F528*Controls!$B$6</f>
        <v>52</v>
      </c>
      <c r="M528" s="11">
        <f>G528*Controls!$B$6</f>
        <v>6500</v>
      </c>
      <c r="N528" s="12">
        <f>IF(L528=0,0,SUMIFS('PSI Plan'!$N$6:$N$173,'PSI Plan'!$B$6:$B$173,B528,'PSI Plan'!$C$6:$C$173,I528))</f>
        <v>0</v>
      </c>
      <c r="O528" s="11">
        <f t="shared" si="16"/>
        <v>0</v>
      </c>
      <c r="P528" s="11">
        <f t="shared" si="17"/>
        <v>0</v>
      </c>
      <c r="Q528" s="6"/>
      <c r="R528" s="6"/>
      <c r="S528" s="6"/>
      <c r="T528" s="6"/>
    </row>
    <row r="529" spans="1:20">
      <c r="A529" s="6" t="s">
        <v>671</v>
      </c>
      <c r="B529" s="6" t="s">
        <v>66</v>
      </c>
      <c r="C529" s="6" t="s">
        <v>99</v>
      </c>
      <c r="D529" s="6" t="s">
        <v>319</v>
      </c>
      <c r="E529" s="6" t="s">
        <v>120</v>
      </c>
      <c r="F529" s="7">
        <v>193</v>
      </c>
      <c r="G529" s="7">
        <v>24125</v>
      </c>
      <c r="H529" s="16">
        <v>45208</v>
      </c>
      <c r="I529" s="6">
        <v>41</v>
      </c>
      <c r="J529" s="6" t="s">
        <v>121</v>
      </c>
      <c r="K529" s="6" t="s">
        <v>320</v>
      </c>
      <c r="L529" s="11">
        <f>F529*Controls!$B$6</f>
        <v>193</v>
      </c>
      <c r="M529" s="11">
        <f>G529*Controls!$B$6</f>
        <v>24125</v>
      </c>
      <c r="N529" s="12">
        <f>IF(L529=0,0,SUMIFS('PSI Plan'!$N$6:$N$173,'PSI Plan'!$B$6:$B$173,B529,'PSI Plan'!$C$6:$C$173,I529))</f>
        <v>0.22897465437788017</v>
      </c>
      <c r="O529" s="11">
        <f t="shared" si="16"/>
        <v>44.192108294930875</v>
      </c>
      <c r="P529" s="11">
        <f t="shared" si="17"/>
        <v>5524.0135368663596</v>
      </c>
      <c r="Q529" s="6"/>
      <c r="R529" s="6"/>
      <c r="S529" s="6"/>
      <c r="T529" s="6"/>
    </row>
    <row r="530" spans="1:20">
      <c r="A530" s="6" t="s">
        <v>672</v>
      </c>
      <c r="B530" s="6" t="s">
        <v>77</v>
      </c>
      <c r="C530" s="6" t="s">
        <v>99</v>
      </c>
      <c r="D530" s="6" t="s">
        <v>319</v>
      </c>
      <c r="E530" s="6" t="s">
        <v>120</v>
      </c>
      <c r="F530" s="7">
        <v>70</v>
      </c>
      <c r="G530" s="7">
        <v>8750</v>
      </c>
      <c r="H530" s="16">
        <v>45211</v>
      </c>
      <c r="I530" s="6">
        <v>41</v>
      </c>
      <c r="J530" s="6" t="s">
        <v>121</v>
      </c>
      <c r="K530" s="6" t="s">
        <v>320</v>
      </c>
      <c r="L530" s="11">
        <f>F530*Controls!$B$6</f>
        <v>70</v>
      </c>
      <c r="M530" s="11">
        <f>G530*Controls!$B$6</f>
        <v>8750</v>
      </c>
      <c r="N530" s="12">
        <f>IF(L530=0,0,SUMIFS('PSI Plan'!$N$6:$N$173,'PSI Plan'!$B$6:$B$173,B530,'PSI Plan'!$C$6:$C$173,I530))</f>
        <v>0</v>
      </c>
      <c r="O530" s="11">
        <f t="shared" si="16"/>
        <v>0</v>
      </c>
      <c r="P530" s="11">
        <f t="shared" si="17"/>
        <v>0</v>
      </c>
      <c r="Q530" s="6"/>
      <c r="R530" s="6"/>
      <c r="S530" s="6"/>
      <c r="T530" s="6"/>
    </row>
    <row r="531" spans="1:20">
      <c r="A531" s="6" t="s">
        <v>673</v>
      </c>
      <c r="B531" s="6" t="s">
        <v>69</v>
      </c>
      <c r="C531" s="6" t="s">
        <v>99</v>
      </c>
      <c r="D531" s="6" t="s">
        <v>319</v>
      </c>
      <c r="E531" s="6" t="s">
        <v>120</v>
      </c>
      <c r="F531" s="7">
        <v>104</v>
      </c>
      <c r="G531" s="7">
        <v>13000</v>
      </c>
      <c r="H531" s="16">
        <v>45248</v>
      </c>
      <c r="I531" s="6">
        <v>46</v>
      </c>
      <c r="J531" s="6" t="s">
        <v>121</v>
      </c>
      <c r="K531" s="6" t="s">
        <v>320</v>
      </c>
      <c r="L531" s="11">
        <f>F531*Controls!$B$6</f>
        <v>104</v>
      </c>
      <c r="M531" s="11">
        <f>G531*Controls!$B$6</f>
        <v>13000</v>
      </c>
      <c r="N531" s="12">
        <f>IF(L531=0,0,SUMIFS('PSI Plan'!$N$6:$N$173,'PSI Plan'!$B$6:$B$173,B531,'PSI Plan'!$C$6:$C$173,I531))</f>
        <v>0</v>
      </c>
      <c r="O531" s="11">
        <f t="shared" si="16"/>
        <v>0</v>
      </c>
      <c r="P531" s="11">
        <f t="shared" si="17"/>
        <v>0</v>
      </c>
      <c r="Q531" s="6"/>
      <c r="R531" s="6"/>
      <c r="S531" s="6"/>
      <c r="T531" s="6"/>
    </row>
    <row r="532" spans="1:20">
      <c r="A532" s="6" t="s">
        <v>674</v>
      </c>
      <c r="B532" s="6" t="s">
        <v>77</v>
      </c>
      <c r="C532" s="6" t="s">
        <v>99</v>
      </c>
      <c r="D532" s="6" t="s">
        <v>319</v>
      </c>
      <c r="E532" s="6" t="s">
        <v>120</v>
      </c>
      <c r="F532" s="7">
        <v>60</v>
      </c>
      <c r="G532" s="7">
        <v>7500</v>
      </c>
      <c r="H532" s="16">
        <v>45256</v>
      </c>
      <c r="I532" s="6">
        <v>48</v>
      </c>
      <c r="J532" s="6" t="s">
        <v>121</v>
      </c>
      <c r="K532" s="6" t="s">
        <v>324</v>
      </c>
      <c r="L532" s="11">
        <f>F532*Controls!$B$6</f>
        <v>60</v>
      </c>
      <c r="M532" s="11">
        <f>G532*Controls!$B$6</f>
        <v>7500</v>
      </c>
      <c r="N532" s="12">
        <f>IF(L532=0,0,SUMIFS('PSI Plan'!$N$6:$N$173,'PSI Plan'!$B$6:$B$173,B532,'PSI Plan'!$C$6:$C$173,I532))</f>
        <v>0</v>
      </c>
      <c r="O532" s="11">
        <f t="shared" si="16"/>
        <v>0</v>
      </c>
      <c r="P532" s="11">
        <f t="shared" si="17"/>
        <v>0</v>
      </c>
      <c r="Q532" s="6"/>
      <c r="R532" s="6"/>
      <c r="S532" s="6"/>
      <c r="T532" s="6"/>
    </row>
    <row r="533" spans="1:20">
      <c r="A533" s="6" t="s">
        <v>675</v>
      </c>
      <c r="B533" s="6" t="s">
        <v>66</v>
      </c>
      <c r="C533" s="6" t="s">
        <v>99</v>
      </c>
      <c r="D533" s="6" t="s">
        <v>319</v>
      </c>
      <c r="E533" s="6" t="s">
        <v>120</v>
      </c>
      <c r="F533" s="7">
        <v>37</v>
      </c>
      <c r="G533" s="7">
        <v>4625</v>
      </c>
      <c r="H533" s="16">
        <v>45240</v>
      </c>
      <c r="I533" s="6">
        <v>45</v>
      </c>
      <c r="J533" s="6" t="s">
        <v>121</v>
      </c>
      <c r="K533" s="6" t="s">
        <v>361</v>
      </c>
      <c r="L533" s="11">
        <f>F533*Controls!$B$6</f>
        <v>37</v>
      </c>
      <c r="M533" s="11">
        <f>G533*Controls!$B$6</f>
        <v>4625</v>
      </c>
      <c r="N533" s="12">
        <f>IF(L533=0,0,SUMIFS('PSI Plan'!$N$6:$N$173,'PSI Plan'!$B$6:$B$173,B533,'PSI Plan'!$C$6:$C$173,I533))</f>
        <v>0</v>
      </c>
      <c r="O533" s="11">
        <f t="shared" si="16"/>
        <v>0</v>
      </c>
      <c r="P533" s="11">
        <f t="shared" si="17"/>
        <v>0</v>
      </c>
      <c r="Q533" s="6"/>
      <c r="R533" s="6"/>
      <c r="S533" s="6"/>
      <c r="T533" s="6"/>
    </row>
    <row r="534" spans="1:20">
      <c r="A534" s="6" t="s">
        <v>676</v>
      </c>
      <c r="B534" s="6" t="s">
        <v>77</v>
      </c>
      <c r="C534" s="6" t="s">
        <v>99</v>
      </c>
      <c r="D534" s="6" t="s">
        <v>319</v>
      </c>
      <c r="E534" s="6" t="s">
        <v>120</v>
      </c>
      <c r="F534" s="7">
        <v>22</v>
      </c>
      <c r="G534" s="7">
        <v>2750</v>
      </c>
      <c r="H534" s="16">
        <v>45202</v>
      </c>
      <c r="I534" s="6">
        <v>40</v>
      </c>
      <c r="J534" s="6" t="s">
        <v>121</v>
      </c>
      <c r="K534" s="6" t="s">
        <v>361</v>
      </c>
      <c r="L534" s="11">
        <f>F534*Controls!$B$6</f>
        <v>22</v>
      </c>
      <c r="M534" s="11">
        <f>G534*Controls!$B$6</f>
        <v>2750</v>
      </c>
      <c r="N534" s="12">
        <f>IF(L534=0,0,SUMIFS('PSI Plan'!$N$6:$N$173,'PSI Plan'!$B$6:$B$173,B534,'PSI Plan'!$C$6:$C$173,I534))</f>
        <v>0</v>
      </c>
      <c r="O534" s="11">
        <f t="shared" si="16"/>
        <v>0</v>
      </c>
      <c r="P534" s="11">
        <f t="shared" si="17"/>
        <v>0</v>
      </c>
      <c r="Q534" s="6"/>
      <c r="R534" s="6"/>
      <c r="S534" s="6"/>
      <c r="T534" s="6"/>
    </row>
    <row r="535" spans="1:20">
      <c r="A535" s="6" t="s">
        <v>677</v>
      </c>
      <c r="B535" s="6" t="s">
        <v>69</v>
      </c>
      <c r="C535" s="6" t="s">
        <v>99</v>
      </c>
      <c r="D535" s="6" t="s">
        <v>319</v>
      </c>
      <c r="E535" s="6" t="s">
        <v>120</v>
      </c>
      <c r="F535" s="7">
        <v>55</v>
      </c>
      <c r="G535" s="7">
        <v>6875</v>
      </c>
      <c r="H535" s="16">
        <v>45210</v>
      </c>
      <c r="I535" s="6">
        <v>41</v>
      </c>
      <c r="J535" s="6" t="s">
        <v>121</v>
      </c>
      <c r="K535" s="6" t="s">
        <v>361</v>
      </c>
      <c r="L535" s="11">
        <f>F535*Controls!$B$6</f>
        <v>55</v>
      </c>
      <c r="M535" s="11">
        <f>G535*Controls!$B$6</f>
        <v>6875</v>
      </c>
      <c r="N535" s="12">
        <f>IF(L535=0,0,SUMIFS('PSI Plan'!$N$6:$N$173,'PSI Plan'!$B$6:$B$173,B535,'PSI Plan'!$C$6:$C$173,I535))</f>
        <v>0</v>
      </c>
      <c r="O535" s="11">
        <f t="shared" si="16"/>
        <v>0</v>
      </c>
      <c r="P535" s="11">
        <f t="shared" si="17"/>
        <v>0</v>
      </c>
      <c r="Q535" s="6"/>
      <c r="R535" s="6"/>
      <c r="S535" s="6"/>
      <c r="T535" s="6"/>
    </row>
    <row r="536" spans="1:20">
      <c r="A536" s="6" t="s">
        <v>678</v>
      </c>
      <c r="B536" s="6" t="s">
        <v>77</v>
      </c>
      <c r="C536" s="6" t="s">
        <v>90</v>
      </c>
      <c r="D536" s="6" t="s">
        <v>119</v>
      </c>
      <c r="E536" s="6" t="s">
        <v>120</v>
      </c>
      <c r="F536" s="7">
        <v>11</v>
      </c>
      <c r="G536" s="7">
        <v>1375</v>
      </c>
      <c r="H536" s="16">
        <v>45262</v>
      </c>
      <c r="I536" s="6">
        <v>48</v>
      </c>
      <c r="J536" s="6" t="s">
        <v>121</v>
      </c>
      <c r="K536" s="6" t="s">
        <v>132</v>
      </c>
      <c r="L536" s="11">
        <f>F536*Controls!$B$6</f>
        <v>11</v>
      </c>
      <c r="M536" s="11">
        <f>G536*Controls!$B$6</f>
        <v>1375</v>
      </c>
      <c r="N536" s="12">
        <f>IF(L536=0,0,SUMIFS('PSI Plan'!$N$6:$N$173,'PSI Plan'!$B$6:$B$173,B536,'PSI Plan'!$C$6:$C$173,I536))</f>
        <v>0</v>
      </c>
      <c r="O536" s="11">
        <f t="shared" si="16"/>
        <v>0</v>
      </c>
      <c r="P536" s="11">
        <f t="shared" si="17"/>
        <v>0</v>
      </c>
      <c r="Q536" s="6"/>
      <c r="R536" s="6"/>
      <c r="S536" s="6"/>
      <c r="T536" s="6"/>
    </row>
    <row r="537" spans="1:20">
      <c r="A537" s="6" t="s">
        <v>679</v>
      </c>
      <c r="B537" s="6" t="s">
        <v>69</v>
      </c>
      <c r="C537" s="6" t="s">
        <v>90</v>
      </c>
      <c r="D537" s="6" t="s">
        <v>119</v>
      </c>
      <c r="E537" s="6" t="s">
        <v>120</v>
      </c>
      <c r="F537" s="7">
        <v>9</v>
      </c>
      <c r="G537" s="7">
        <v>1125</v>
      </c>
      <c r="H537" s="16">
        <v>45239</v>
      </c>
      <c r="I537" s="6">
        <v>45</v>
      </c>
      <c r="J537" s="6" t="s">
        <v>121</v>
      </c>
      <c r="K537" s="6" t="s">
        <v>132</v>
      </c>
      <c r="L537" s="11">
        <f>F537*Controls!$B$6</f>
        <v>9</v>
      </c>
      <c r="M537" s="11">
        <f>G537*Controls!$B$6</f>
        <v>1125</v>
      </c>
      <c r="N537" s="12">
        <f>IF(L537=0,0,SUMIFS('PSI Plan'!$N$6:$N$173,'PSI Plan'!$B$6:$B$173,B537,'PSI Plan'!$C$6:$C$173,I537))</f>
        <v>0</v>
      </c>
      <c r="O537" s="11">
        <f t="shared" si="16"/>
        <v>0</v>
      </c>
      <c r="P537" s="11">
        <f t="shared" si="17"/>
        <v>0</v>
      </c>
      <c r="Q537" s="6"/>
      <c r="R537" s="6"/>
      <c r="S537" s="6"/>
      <c r="T537" s="6"/>
    </row>
    <row r="538" spans="1:20">
      <c r="A538" s="6" t="s">
        <v>680</v>
      </c>
      <c r="B538" s="6" t="s">
        <v>69</v>
      </c>
      <c r="C538" s="6" t="s">
        <v>90</v>
      </c>
      <c r="D538" s="6" t="s">
        <v>119</v>
      </c>
      <c r="E538" s="6" t="s">
        <v>120</v>
      </c>
      <c r="F538" s="7">
        <v>18</v>
      </c>
      <c r="G538" s="7">
        <v>2250</v>
      </c>
      <c r="H538" s="16">
        <v>45245</v>
      </c>
      <c r="I538" s="6">
        <v>46</v>
      </c>
      <c r="J538" s="6" t="s">
        <v>121</v>
      </c>
      <c r="K538" s="6" t="s">
        <v>298</v>
      </c>
      <c r="L538" s="11">
        <f>F538*Controls!$B$6</f>
        <v>18</v>
      </c>
      <c r="M538" s="11">
        <f>G538*Controls!$B$6</f>
        <v>2250</v>
      </c>
      <c r="N538" s="12">
        <f>IF(L538=0,0,SUMIFS('PSI Plan'!$N$6:$N$173,'PSI Plan'!$B$6:$B$173,B538,'PSI Plan'!$C$6:$C$173,I538))</f>
        <v>0</v>
      </c>
      <c r="O538" s="11">
        <f t="shared" si="16"/>
        <v>0</v>
      </c>
      <c r="P538" s="11">
        <f t="shared" si="17"/>
        <v>0</v>
      </c>
      <c r="Q538" s="6"/>
      <c r="R538" s="6"/>
      <c r="S538" s="6"/>
      <c r="T538" s="6"/>
    </row>
    <row r="539" spans="1:20">
      <c r="A539" s="6" t="s">
        <v>681</v>
      </c>
      <c r="B539" s="6" t="s">
        <v>66</v>
      </c>
      <c r="C539" s="6" t="s">
        <v>90</v>
      </c>
      <c r="D539" s="6" t="s">
        <v>119</v>
      </c>
      <c r="E539" s="6" t="s">
        <v>120</v>
      </c>
      <c r="F539" s="7">
        <v>52</v>
      </c>
      <c r="G539" s="7">
        <v>6500</v>
      </c>
      <c r="H539" s="16">
        <v>45242</v>
      </c>
      <c r="I539" s="6">
        <v>46</v>
      </c>
      <c r="J539" s="6" t="s">
        <v>121</v>
      </c>
      <c r="K539" s="6" t="s">
        <v>122</v>
      </c>
      <c r="L539" s="11">
        <f>F539*Controls!$B$6</f>
        <v>52</v>
      </c>
      <c r="M539" s="11">
        <f>G539*Controls!$B$6</f>
        <v>6500</v>
      </c>
      <c r="N539" s="12">
        <f>IF(L539=0,0,SUMIFS('PSI Plan'!$N$6:$N$173,'PSI Plan'!$B$6:$B$173,B539,'PSI Plan'!$C$6:$C$173,I539))</f>
        <v>0</v>
      </c>
      <c r="O539" s="11">
        <f t="shared" si="16"/>
        <v>0</v>
      </c>
      <c r="P539" s="11">
        <f t="shared" si="17"/>
        <v>0</v>
      </c>
      <c r="Q539" s="6"/>
      <c r="R539" s="6"/>
      <c r="S539" s="6"/>
      <c r="T539" s="6"/>
    </row>
    <row r="540" spans="1:20">
      <c r="A540" s="6" t="s">
        <v>682</v>
      </c>
      <c r="B540" s="6" t="s">
        <v>77</v>
      </c>
      <c r="C540" s="6" t="s">
        <v>90</v>
      </c>
      <c r="D540" s="6" t="s">
        <v>119</v>
      </c>
      <c r="E540" s="6" t="s">
        <v>120</v>
      </c>
      <c r="F540" s="7">
        <v>52</v>
      </c>
      <c r="G540" s="7">
        <v>6500</v>
      </c>
      <c r="H540" s="16">
        <v>45245</v>
      </c>
      <c r="I540" s="6">
        <v>46</v>
      </c>
      <c r="J540" s="6" t="s">
        <v>121</v>
      </c>
      <c r="K540" s="6" t="s">
        <v>122</v>
      </c>
      <c r="L540" s="11">
        <f>F540*Controls!$B$6</f>
        <v>52</v>
      </c>
      <c r="M540" s="11">
        <f>G540*Controls!$B$6</f>
        <v>6500</v>
      </c>
      <c r="N540" s="12">
        <f>IF(L540=0,0,SUMIFS('PSI Plan'!$N$6:$N$173,'PSI Plan'!$B$6:$B$173,B540,'PSI Plan'!$C$6:$C$173,I540))</f>
        <v>0</v>
      </c>
      <c r="O540" s="11">
        <f t="shared" si="16"/>
        <v>0</v>
      </c>
      <c r="P540" s="11">
        <f t="shared" si="17"/>
        <v>0</v>
      </c>
      <c r="Q540" s="6"/>
      <c r="R540" s="6"/>
      <c r="S540" s="6"/>
      <c r="T540" s="6"/>
    </row>
    <row r="541" spans="1:20">
      <c r="A541" s="6" t="s">
        <v>683</v>
      </c>
      <c r="B541" s="6" t="s">
        <v>77</v>
      </c>
      <c r="C541" s="6" t="s">
        <v>90</v>
      </c>
      <c r="D541" s="6" t="s">
        <v>119</v>
      </c>
      <c r="E541" s="6" t="s">
        <v>120</v>
      </c>
      <c r="F541" s="7">
        <v>7</v>
      </c>
      <c r="G541" s="7">
        <v>875</v>
      </c>
      <c r="H541" s="16">
        <v>45261</v>
      </c>
      <c r="I541" s="6">
        <v>48</v>
      </c>
      <c r="J541" s="6" t="s">
        <v>121</v>
      </c>
      <c r="K541" s="6" t="s">
        <v>139</v>
      </c>
      <c r="L541" s="11">
        <f>F541*Controls!$B$6</f>
        <v>7</v>
      </c>
      <c r="M541" s="11">
        <f>G541*Controls!$B$6</f>
        <v>875</v>
      </c>
      <c r="N541" s="12">
        <f>IF(L541=0,0,SUMIFS('PSI Plan'!$N$6:$N$173,'PSI Plan'!$B$6:$B$173,B541,'PSI Plan'!$C$6:$C$173,I541))</f>
        <v>0</v>
      </c>
      <c r="O541" s="11">
        <f t="shared" si="16"/>
        <v>0</v>
      </c>
      <c r="P541" s="11">
        <f t="shared" si="17"/>
        <v>0</v>
      </c>
      <c r="Q541" s="6"/>
      <c r="R541" s="6"/>
      <c r="S541" s="6"/>
      <c r="T541" s="6"/>
    </row>
    <row r="542" spans="1:20">
      <c r="A542" s="6" t="s">
        <v>684</v>
      </c>
      <c r="B542" s="6" t="s">
        <v>76</v>
      </c>
      <c r="C542" s="6" t="s">
        <v>90</v>
      </c>
      <c r="D542" s="6" t="s">
        <v>119</v>
      </c>
      <c r="E542" s="6" t="s">
        <v>120</v>
      </c>
      <c r="F542" s="7">
        <v>5</v>
      </c>
      <c r="G542" s="7">
        <v>625</v>
      </c>
      <c r="H542" s="16">
        <v>45247</v>
      </c>
      <c r="I542" s="6">
        <v>46</v>
      </c>
      <c r="J542" s="6" t="s">
        <v>121</v>
      </c>
      <c r="K542" s="6" t="s">
        <v>139</v>
      </c>
      <c r="L542" s="11">
        <f>F542*Controls!$B$6</f>
        <v>5</v>
      </c>
      <c r="M542" s="11">
        <f>G542*Controls!$B$6</f>
        <v>625</v>
      </c>
      <c r="N542" s="12">
        <f>IF(L542=0,0,SUMIFS('PSI Plan'!$N$6:$N$173,'PSI Plan'!$B$6:$B$173,B542,'PSI Plan'!$C$6:$C$173,I542))</f>
        <v>0</v>
      </c>
      <c r="O542" s="11">
        <f t="shared" si="16"/>
        <v>0</v>
      </c>
      <c r="P542" s="11">
        <f t="shared" si="17"/>
        <v>0</v>
      </c>
      <c r="Q542" s="6"/>
      <c r="R542" s="6"/>
      <c r="S542" s="6"/>
      <c r="T542" s="6"/>
    </row>
    <row r="543" spans="1:20">
      <c r="A543" s="6" t="s">
        <v>685</v>
      </c>
      <c r="B543" s="6" t="s">
        <v>69</v>
      </c>
      <c r="C543" s="6" t="s">
        <v>90</v>
      </c>
      <c r="D543" s="6" t="s">
        <v>119</v>
      </c>
      <c r="E543" s="6" t="s">
        <v>120</v>
      </c>
      <c r="F543" s="7">
        <v>26</v>
      </c>
      <c r="G543" s="7">
        <v>3250</v>
      </c>
      <c r="H543" s="16">
        <v>45202</v>
      </c>
      <c r="I543" s="6">
        <v>40</v>
      </c>
      <c r="J543" s="6" t="s">
        <v>121</v>
      </c>
      <c r="K543" s="6" t="s">
        <v>171</v>
      </c>
      <c r="L543" s="11">
        <f>F543*Controls!$B$6</f>
        <v>26</v>
      </c>
      <c r="M543" s="11">
        <f>G543*Controls!$B$6</f>
        <v>3250</v>
      </c>
      <c r="N543" s="12">
        <f>IF(L543=0,0,SUMIFS('PSI Plan'!$N$6:$N$173,'PSI Plan'!$B$6:$B$173,B543,'PSI Plan'!$C$6:$C$173,I543))</f>
        <v>0</v>
      </c>
      <c r="O543" s="11">
        <f t="shared" si="16"/>
        <v>0</v>
      </c>
      <c r="P543" s="11">
        <f t="shared" si="17"/>
        <v>0</v>
      </c>
      <c r="Q543" s="6"/>
      <c r="R543" s="6"/>
      <c r="S543" s="6"/>
      <c r="T543" s="6"/>
    </row>
    <row r="544" spans="1:20">
      <c r="A544" s="6" t="s">
        <v>686</v>
      </c>
      <c r="B544" s="6" t="s">
        <v>66</v>
      </c>
      <c r="C544" s="6" t="s">
        <v>99</v>
      </c>
      <c r="D544" s="6" t="s">
        <v>319</v>
      </c>
      <c r="E544" s="6" t="s">
        <v>120</v>
      </c>
      <c r="F544" s="7">
        <v>104</v>
      </c>
      <c r="G544" s="7">
        <v>13000</v>
      </c>
      <c r="H544" s="16">
        <v>45268</v>
      </c>
      <c r="I544" s="6">
        <v>49</v>
      </c>
      <c r="J544" s="6" t="s">
        <v>121</v>
      </c>
      <c r="K544" s="6" t="s">
        <v>459</v>
      </c>
      <c r="L544" s="11">
        <f>F544*Controls!$B$6</f>
        <v>104</v>
      </c>
      <c r="M544" s="11">
        <f>G544*Controls!$B$6</f>
        <v>13000</v>
      </c>
      <c r="N544" s="12">
        <f>IF(L544=0,0,SUMIFS('PSI Plan'!$N$6:$N$173,'PSI Plan'!$B$6:$B$173,B544,'PSI Plan'!$C$6:$C$173,I544))</f>
        <v>0</v>
      </c>
      <c r="O544" s="11">
        <f t="shared" si="16"/>
        <v>0</v>
      </c>
      <c r="P544" s="11">
        <f t="shared" si="17"/>
        <v>0</v>
      </c>
      <c r="Q544" s="6"/>
      <c r="R544" s="6"/>
      <c r="S544" s="6"/>
      <c r="T544" s="6"/>
    </row>
    <row r="545" spans="1:20">
      <c r="A545" s="6" t="s">
        <v>687</v>
      </c>
      <c r="B545" s="6" t="s">
        <v>77</v>
      </c>
      <c r="C545" s="6" t="s">
        <v>99</v>
      </c>
      <c r="D545" s="6" t="s">
        <v>319</v>
      </c>
      <c r="E545" s="6" t="s">
        <v>120</v>
      </c>
      <c r="F545" s="7">
        <v>38</v>
      </c>
      <c r="G545" s="7">
        <v>4750</v>
      </c>
      <c r="H545" s="16">
        <v>45233</v>
      </c>
      <c r="I545" s="6">
        <v>44</v>
      </c>
      <c r="J545" s="6" t="s">
        <v>121</v>
      </c>
      <c r="K545" s="6" t="s">
        <v>459</v>
      </c>
      <c r="L545" s="11">
        <f>F545*Controls!$B$6</f>
        <v>38</v>
      </c>
      <c r="M545" s="11">
        <f>G545*Controls!$B$6</f>
        <v>4750</v>
      </c>
      <c r="N545" s="12">
        <f>IF(L545=0,0,SUMIFS('PSI Plan'!$N$6:$N$173,'PSI Plan'!$B$6:$B$173,B545,'PSI Plan'!$C$6:$C$173,I545))</f>
        <v>0</v>
      </c>
      <c r="O545" s="11">
        <f t="shared" si="16"/>
        <v>0</v>
      </c>
      <c r="P545" s="11">
        <f t="shared" si="17"/>
        <v>0</v>
      </c>
      <c r="Q545" s="6"/>
      <c r="R545" s="6"/>
      <c r="S545" s="6"/>
      <c r="T545" s="6"/>
    </row>
    <row r="546" spans="1:20">
      <c r="A546" s="6" t="s">
        <v>688</v>
      </c>
      <c r="B546" s="6" t="s">
        <v>69</v>
      </c>
      <c r="C546" s="6" t="s">
        <v>99</v>
      </c>
      <c r="D546" s="6" t="s">
        <v>319</v>
      </c>
      <c r="E546" s="6" t="s">
        <v>120</v>
      </c>
      <c r="F546" s="7">
        <v>52</v>
      </c>
      <c r="G546" s="7">
        <v>6500</v>
      </c>
      <c r="H546" s="16">
        <v>45275</v>
      </c>
      <c r="I546" s="6">
        <v>50</v>
      </c>
      <c r="J546" s="6" t="s">
        <v>121</v>
      </c>
      <c r="K546" s="6" t="s">
        <v>459</v>
      </c>
      <c r="L546" s="11">
        <f>F546*Controls!$B$6</f>
        <v>52</v>
      </c>
      <c r="M546" s="11">
        <f>G546*Controls!$B$6</f>
        <v>6500</v>
      </c>
      <c r="N546" s="12">
        <f>IF(L546=0,0,SUMIFS('PSI Plan'!$N$6:$N$173,'PSI Plan'!$B$6:$B$173,B546,'PSI Plan'!$C$6:$C$173,I546))</f>
        <v>0</v>
      </c>
      <c r="O546" s="11">
        <f t="shared" si="16"/>
        <v>0</v>
      </c>
      <c r="P546" s="11">
        <f t="shared" si="17"/>
        <v>0</v>
      </c>
      <c r="Q546" s="6"/>
      <c r="R546" s="6"/>
      <c r="S546" s="6"/>
      <c r="T546" s="6"/>
    </row>
    <row r="547" spans="1:20">
      <c r="A547" s="6" t="s">
        <v>689</v>
      </c>
      <c r="B547" s="6" t="s">
        <v>66</v>
      </c>
      <c r="C547" s="6" t="s">
        <v>90</v>
      </c>
      <c r="D547" s="6" t="s">
        <v>119</v>
      </c>
      <c r="E547" s="6" t="s">
        <v>120</v>
      </c>
      <c r="F547" s="7">
        <v>89</v>
      </c>
      <c r="G547" s="7">
        <v>11125</v>
      </c>
      <c r="H547" s="16">
        <v>45254</v>
      </c>
      <c r="I547" s="6">
        <v>47</v>
      </c>
      <c r="J547" s="6" t="s">
        <v>121</v>
      </c>
      <c r="K547" s="6" t="s">
        <v>135</v>
      </c>
      <c r="L547" s="11">
        <f>F547*Controls!$B$6</f>
        <v>89</v>
      </c>
      <c r="M547" s="11">
        <f>G547*Controls!$B$6</f>
        <v>11125</v>
      </c>
      <c r="N547" s="12">
        <f>IF(L547=0,0,SUMIFS('PSI Plan'!$N$6:$N$173,'PSI Plan'!$B$6:$B$173,B547,'PSI Plan'!$C$6:$C$173,I547))</f>
        <v>0</v>
      </c>
      <c r="O547" s="11">
        <f t="shared" si="16"/>
        <v>0</v>
      </c>
      <c r="P547" s="11">
        <f t="shared" si="17"/>
        <v>0</v>
      </c>
      <c r="Q547" s="6"/>
      <c r="R547" s="6"/>
      <c r="S547" s="6"/>
      <c r="T547" s="6"/>
    </row>
    <row r="548" spans="1:20">
      <c r="A548" s="6" t="s">
        <v>690</v>
      </c>
      <c r="B548" s="6" t="s">
        <v>77</v>
      </c>
      <c r="C548" s="6" t="s">
        <v>90</v>
      </c>
      <c r="D548" s="6" t="s">
        <v>119</v>
      </c>
      <c r="E548" s="6" t="s">
        <v>120</v>
      </c>
      <c r="F548" s="7">
        <v>67</v>
      </c>
      <c r="G548" s="7">
        <v>8375</v>
      </c>
      <c r="H548" s="16">
        <v>45212</v>
      </c>
      <c r="I548" s="6">
        <v>41</v>
      </c>
      <c r="J548" s="6" t="s">
        <v>121</v>
      </c>
      <c r="K548" s="6" t="s">
        <v>135</v>
      </c>
      <c r="L548" s="11">
        <f>F548*Controls!$B$6</f>
        <v>67</v>
      </c>
      <c r="M548" s="11">
        <f>G548*Controls!$B$6</f>
        <v>8375</v>
      </c>
      <c r="N548" s="12">
        <f>IF(L548=0,0,SUMIFS('PSI Plan'!$N$6:$N$173,'PSI Plan'!$B$6:$B$173,B548,'PSI Plan'!$C$6:$C$173,I548))</f>
        <v>0</v>
      </c>
      <c r="O548" s="11">
        <f t="shared" si="16"/>
        <v>0</v>
      </c>
      <c r="P548" s="11">
        <f t="shared" si="17"/>
        <v>0</v>
      </c>
      <c r="Q548" s="6"/>
      <c r="R548" s="6"/>
      <c r="S548" s="6"/>
      <c r="T548" s="6"/>
    </row>
    <row r="549" spans="1:20">
      <c r="A549" s="6" t="s">
        <v>691</v>
      </c>
      <c r="B549" s="6" t="s">
        <v>69</v>
      </c>
      <c r="C549" s="6" t="s">
        <v>90</v>
      </c>
      <c r="D549" s="6" t="s">
        <v>119</v>
      </c>
      <c r="E549" s="6" t="s">
        <v>120</v>
      </c>
      <c r="F549" s="7">
        <v>98</v>
      </c>
      <c r="G549" s="7">
        <v>12250</v>
      </c>
      <c r="H549" s="16">
        <v>45262</v>
      </c>
      <c r="I549" s="6">
        <v>48</v>
      </c>
      <c r="J549" s="6" t="s">
        <v>121</v>
      </c>
      <c r="K549" s="6" t="s">
        <v>135</v>
      </c>
      <c r="L549" s="11">
        <f>F549*Controls!$B$6</f>
        <v>98</v>
      </c>
      <c r="M549" s="11">
        <f>G549*Controls!$B$6</f>
        <v>12250</v>
      </c>
      <c r="N549" s="12">
        <f>IF(L549=0,0,SUMIFS('PSI Plan'!$N$6:$N$173,'PSI Plan'!$B$6:$B$173,B549,'PSI Plan'!$C$6:$C$173,I549))</f>
        <v>0</v>
      </c>
      <c r="O549" s="11">
        <f t="shared" si="16"/>
        <v>0</v>
      </c>
      <c r="P549" s="11">
        <f t="shared" si="17"/>
        <v>0</v>
      </c>
      <c r="Q549" s="6"/>
      <c r="R549" s="6"/>
      <c r="S549" s="6"/>
      <c r="T549" s="6"/>
    </row>
    <row r="550" spans="1:20">
      <c r="A550" s="6" t="s">
        <v>692</v>
      </c>
      <c r="B550" s="6" t="s">
        <v>66</v>
      </c>
      <c r="C550" s="6" t="s">
        <v>90</v>
      </c>
      <c r="D550" s="6" t="s">
        <v>119</v>
      </c>
      <c r="E550" s="6" t="s">
        <v>120</v>
      </c>
      <c r="F550" s="7">
        <v>52</v>
      </c>
      <c r="G550" s="7">
        <v>6500</v>
      </c>
      <c r="H550" s="16">
        <v>45285</v>
      </c>
      <c r="I550" s="6">
        <v>52</v>
      </c>
      <c r="J550" s="6" t="s">
        <v>121</v>
      </c>
      <c r="K550" s="6" t="s">
        <v>122</v>
      </c>
      <c r="L550" s="11">
        <f>F550*Controls!$B$6</f>
        <v>52</v>
      </c>
      <c r="M550" s="11">
        <f>G550*Controls!$B$6</f>
        <v>6500</v>
      </c>
      <c r="N550" s="12">
        <f>IF(L550=0,0,SUMIFS('PSI Plan'!$N$6:$N$173,'PSI Plan'!$B$6:$B$173,B550,'PSI Plan'!$C$6:$C$173,I550))</f>
        <v>0</v>
      </c>
      <c r="O550" s="11">
        <f t="shared" si="16"/>
        <v>0</v>
      </c>
      <c r="P550" s="11">
        <f t="shared" si="17"/>
        <v>0</v>
      </c>
      <c r="Q550" s="6"/>
      <c r="R550" s="6"/>
      <c r="S550" s="6"/>
      <c r="T550" s="6"/>
    </row>
    <row r="551" spans="1:20">
      <c r="A551" s="6" t="s">
        <v>693</v>
      </c>
      <c r="B551" s="6" t="s">
        <v>67</v>
      </c>
      <c r="C551" s="6" t="s">
        <v>90</v>
      </c>
      <c r="D551" s="6" t="s">
        <v>119</v>
      </c>
      <c r="E551" s="6" t="s">
        <v>120</v>
      </c>
      <c r="F551" s="7">
        <v>52</v>
      </c>
      <c r="G551" s="7">
        <v>6500</v>
      </c>
      <c r="H551" s="16">
        <v>45214</v>
      </c>
      <c r="I551" s="6">
        <v>42</v>
      </c>
      <c r="J551" s="6" t="s">
        <v>121</v>
      </c>
      <c r="K551" s="6" t="s">
        <v>122</v>
      </c>
      <c r="L551" s="11">
        <f>F551*Controls!$B$6</f>
        <v>52</v>
      </c>
      <c r="M551" s="11">
        <f>G551*Controls!$B$6</f>
        <v>6500</v>
      </c>
      <c r="N551" s="12">
        <f>IF(L551=0,0,SUMIFS('PSI Plan'!$N$6:$N$173,'PSI Plan'!$B$6:$B$173,B551,'PSI Plan'!$C$6:$C$173,I551))</f>
        <v>0</v>
      </c>
      <c r="O551" s="11">
        <f t="shared" si="16"/>
        <v>0</v>
      </c>
      <c r="P551" s="11">
        <f t="shared" si="17"/>
        <v>0</v>
      </c>
      <c r="Q551" s="6"/>
      <c r="R551" s="6"/>
      <c r="S551" s="6"/>
      <c r="T551" s="6"/>
    </row>
    <row r="552" spans="1:20">
      <c r="A552" s="6" t="s">
        <v>694</v>
      </c>
      <c r="B552" s="6" t="s">
        <v>69</v>
      </c>
      <c r="C552" s="6" t="s">
        <v>90</v>
      </c>
      <c r="D552" s="6" t="s">
        <v>119</v>
      </c>
      <c r="E552" s="6" t="s">
        <v>120</v>
      </c>
      <c r="F552" s="7">
        <v>52</v>
      </c>
      <c r="G552" s="7">
        <v>6500</v>
      </c>
      <c r="H552" s="16">
        <v>45249</v>
      </c>
      <c r="I552" s="6">
        <v>47</v>
      </c>
      <c r="J552" s="6" t="s">
        <v>121</v>
      </c>
      <c r="K552" s="6" t="s">
        <v>122</v>
      </c>
      <c r="L552" s="11">
        <f>F552*Controls!$B$6</f>
        <v>52</v>
      </c>
      <c r="M552" s="11">
        <f>G552*Controls!$B$6</f>
        <v>6500</v>
      </c>
      <c r="N552" s="12">
        <f>IF(L552=0,0,SUMIFS('PSI Plan'!$N$6:$N$173,'PSI Plan'!$B$6:$B$173,B552,'PSI Plan'!$C$6:$C$173,I552))</f>
        <v>0</v>
      </c>
      <c r="O552" s="11">
        <f t="shared" si="16"/>
        <v>0</v>
      </c>
      <c r="P552" s="11">
        <f t="shared" si="17"/>
        <v>0</v>
      </c>
      <c r="Q552" s="6"/>
      <c r="R552" s="6"/>
      <c r="S552" s="6"/>
      <c r="T552" s="6"/>
    </row>
    <row r="553" spans="1:20">
      <c r="A553" s="6" t="s">
        <v>695</v>
      </c>
      <c r="B553" s="6" t="s">
        <v>76</v>
      </c>
      <c r="C553" s="6" t="s">
        <v>100</v>
      </c>
      <c r="D553" s="6" t="s">
        <v>567</v>
      </c>
      <c r="E553" s="6" t="s">
        <v>120</v>
      </c>
      <c r="F553" s="7">
        <v>5</v>
      </c>
      <c r="G553" s="7">
        <v>625</v>
      </c>
      <c r="H553" s="16">
        <v>45266</v>
      </c>
      <c r="I553" s="6">
        <v>49</v>
      </c>
      <c r="J553" s="6" t="s">
        <v>121</v>
      </c>
      <c r="K553" s="6" t="s">
        <v>568</v>
      </c>
      <c r="L553" s="11">
        <f>F553*Controls!$B$6</f>
        <v>5</v>
      </c>
      <c r="M553" s="11">
        <f>G553*Controls!$B$6</f>
        <v>625</v>
      </c>
      <c r="N553" s="12">
        <f>IF(L553=0,0,SUMIFS('PSI Plan'!$N$6:$N$173,'PSI Plan'!$B$6:$B$173,B553,'PSI Plan'!$C$6:$C$173,I553))</f>
        <v>0</v>
      </c>
      <c r="O553" s="11">
        <f t="shared" si="16"/>
        <v>0</v>
      </c>
      <c r="P553" s="11">
        <f t="shared" si="17"/>
        <v>0</v>
      </c>
      <c r="Q553" s="6"/>
      <c r="R553" s="6"/>
      <c r="S553" s="6"/>
      <c r="T553" s="6"/>
    </row>
    <row r="554" spans="1:20">
      <c r="A554" s="6" t="s">
        <v>696</v>
      </c>
      <c r="B554" s="6" t="s">
        <v>67</v>
      </c>
      <c r="C554" s="6" t="s">
        <v>100</v>
      </c>
      <c r="D554" s="6" t="s">
        <v>567</v>
      </c>
      <c r="E554" s="6" t="s">
        <v>120</v>
      </c>
      <c r="F554" s="7">
        <v>5</v>
      </c>
      <c r="G554" s="7">
        <v>625</v>
      </c>
      <c r="H554" s="16">
        <v>45280</v>
      </c>
      <c r="I554" s="6">
        <v>51</v>
      </c>
      <c r="J554" s="6" t="s">
        <v>121</v>
      </c>
      <c r="K554" s="6" t="s">
        <v>568</v>
      </c>
      <c r="L554" s="11">
        <f>F554*Controls!$B$6</f>
        <v>5</v>
      </c>
      <c r="M554" s="11">
        <f>G554*Controls!$B$6</f>
        <v>625</v>
      </c>
      <c r="N554" s="12">
        <f>IF(L554=0,0,SUMIFS('PSI Plan'!$N$6:$N$173,'PSI Plan'!$B$6:$B$173,B554,'PSI Plan'!$C$6:$C$173,I554))</f>
        <v>0</v>
      </c>
      <c r="O554" s="11">
        <f t="shared" si="16"/>
        <v>0</v>
      </c>
      <c r="P554" s="11">
        <f t="shared" si="17"/>
        <v>0</v>
      </c>
      <c r="Q554" s="6"/>
      <c r="R554" s="6"/>
      <c r="S554" s="6"/>
      <c r="T554" s="6"/>
    </row>
    <row r="555" spans="1:20">
      <c r="A555" s="6" t="s">
        <v>697</v>
      </c>
      <c r="B555" s="6" t="s">
        <v>66</v>
      </c>
      <c r="C555" s="6" t="s">
        <v>90</v>
      </c>
      <c r="D555" s="6" t="s">
        <v>119</v>
      </c>
      <c r="E555" s="6" t="s">
        <v>120</v>
      </c>
      <c r="F555" s="7">
        <v>52</v>
      </c>
      <c r="G555" s="7">
        <v>6500</v>
      </c>
      <c r="H555" s="16">
        <v>45271</v>
      </c>
      <c r="I555" s="6">
        <v>50</v>
      </c>
      <c r="J555" s="6" t="s">
        <v>121</v>
      </c>
      <c r="K555" s="6" t="s">
        <v>135</v>
      </c>
      <c r="L555" s="11">
        <f>F555*Controls!$B$6</f>
        <v>52</v>
      </c>
      <c r="M555" s="11">
        <f>G555*Controls!$B$6</f>
        <v>6500</v>
      </c>
      <c r="N555" s="12">
        <f>IF(L555=0,0,SUMIFS('PSI Plan'!$N$6:$N$173,'PSI Plan'!$B$6:$B$173,B555,'PSI Plan'!$C$6:$C$173,I555))</f>
        <v>0</v>
      </c>
      <c r="O555" s="11">
        <f t="shared" si="16"/>
        <v>0</v>
      </c>
      <c r="P555" s="11">
        <f t="shared" si="17"/>
        <v>0</v>
      </c>
      <c r="Q555" s="6"/>
      <c r="R555" s="6"/>
      <c r="S555" s="6"/>
      <c r="T555" s="6"/>
    </row>
    <row r="556" spans="1:20">
      <c r="A556" s="6" t="s">
        <v>698</v>
      </c>
      <c r="B556" s="6" t="s">
        <v>77</v>
      </c>
      <c r="C556" s="6" t="s">
        <v>90</v>
      </c>
      <c r="D556" s="6" t="s">
        <v>119</v>
      </c>
      <c r="E556" s="6" t="s">
        <v>120</v>
      </c>
      <c r="F556" s="7">
        <v>52</v>
      </c>
      <c r="G556" s="7">
        <v>6500</v>
      </c>
      <c r="H556" s="16">
        <v>45208</v>
      </c>
      <c r="I556" s="6">
        <v>41</v>
      </c>
      <c r="J556" s="6" t="s">
        <v>121</v>
      </c>
      <c r="K556" s="6" t="s">
        <v>135</v>
      </c>
      <c r="L556" s="11">
        <f>F556*Controls!$B$6</f>
        <v>52</v>
      </c>
      <c r="M556" s="11">
        <f>G556*Controls!$B$6</f>
        <v>6500</v>
      </c>
      <c r="N556" s="12">
        <f>IF(L556=0,0,SUMIFS('PSI Plan'!$N$6:$N$173,'PSI Plan'!$B$6:$B$173,B556,'PSI Plan'!$C$6:$C$173,I556))</f>
        <v>0</v>
      </c>
      <c r="O556" s="11">
        <f t="shared" si="16"/>
        <v>0</v>
      </c>
      <c r="P556" s="11">
        <f t="shared" si="17"/>
        <v>0</v>
      </c>
      <c r="Q556" s="6"/>
      <c r="R556" s="6"/>
      <c r="S556" s="6"/>
      <c r="T556" s="6"/>
    </row>
    <row r="557" spans="1:20">
      <c r="A557" s="6" t="s">
        <v>699</v>
      </c>
      <c r="B557" s="6" t="s">
        <v>69</v>
      </c>
      <c r="C557" s="6" t="s">
        <v>90</v>
      </c>
      <c r="D557" s="6" t="s">
        <v>119</v>
      </c>
      <c r="E557" s="6" t="s">
        <v>120</v>
      </c>
      <c r="F557" s="7">
        <v>52</v>
      </c>
      <c r="G557" s="7">
        <v>6500</v>
      </c>
      <c r="H557" s="16">
        <v>45253</v>
      </c>
      <c r="I557" s="6">
        <v>47</v>
      </c>
      <c r="J557" s="6" t="s">
        <v>121</v>
      </c>
      <c r="K557" s="6" t="s">
        <v>135</v>
      </c>
      <c r="L557" s="11">
        <f>F557*Controls!$B$6</f>
        <v>52</v>
      </c>
      <c r="M557" s="11">
        <f>G557*Controls!$B$6</f>
        <v>6500</v>
      </c>
      <c r="N557" s="12">
        <f>IF(L557=0,0,SUMIFS('PSI Plan'!$N$6:$N$173,'PSI Plan'!$B$6:$B$173,B557,'PSI Plan'!$C$6:$C$173,I557))</f>
        <v>0</v>
      </c>
      <c r="O557" s="11">
        <f t="shared" si="16"/>
        <v>0</v>
      </c>
      <c r="P557" s="11">
        <f t="shared" si="17"/>
        <v>0</v>
      </c>
      <c r="Q557" s="6"/>
      <c r="R557" s="6"/>
      <c r="S557" s="6"/>
      <c r="T557" s="6"/>
    </row>
    <row r="558" spans="1:20">
      <c r="A558" s="6" t="s">
        <v>700</v>
      </c>
      <c r="B558" s="6" t="s">
        <v>66</v>
      </c>
      <c r="C558" s="6" t="s">
        <v>90</v>
      </c>
      <c r="D558" s="6" t="s">
        <v>119</v>
      </c>
      <c r="E558" s="6" t="s">
        <v>120</v>
      </c>
      <c r="F558" s="7">
        <v>5</v>
      </c>
      <c r="G558" s="7">
        <v>625</v>
      </c>
      <c r="H558" s="16">
        <v>45285</v>
      </c>
      <c r="I558" s="6">
        <v>52</v>
      </c>
      <c r="J558" s="6" t="s">
        <v>121</v>
      </c>
      <c r="K558" s="6" t="s">
        <v>139</v>
      </c>
      <c r="L558" s="11">
        <f>F558*Controls!$B$6</f>
        <v>5</v>
      </c>
      <c r="M558" s="11">
        <f>G558*Controls!$B$6</f>
        <v>625</v>
      </c>
      <c r="N558" s="12">
        <f>IF(L558=0,0,SUMIFS('PSI Plan'!$N$6:$N$173,'PSI Plan'!$B$6:$B$173,B558,'PSI Plan'!$C$6:$C$173,I558))</f>
        <v>0</v>
      </c>
      <c r="O558" s="11">
        <f t="shared" si="16"/>
        <v>0</v>
      </c>
      <c r="P558" s="11">
        <f t="shared" si="17"/>
        <v>0</v>
      </c>
      <c r="Q558" s="6"/>
      <c r="R558" s="6"/>
      <c r="S558" s="6"/>
      <c r="T558" s="6"/>
    </row>
    <row r="559" spans="1:20">
      <c r="A559" s="6" t="s">
        <v>701</v>
      </c>
      <c r="B559" s="6" t="s">
        <v>76</v>
      </c>
      <c r="C559" s="6" t="s">
        <v>90</v>
      </c>
      <c r="D559" s="6" t="s">
        <v>119</v>
      </c>
      <c r="E559" s="6" t="s">
        <v>120</v>
      </c>
      <c r="F559" s="7">
        <v>13</v>
      </c>
      <c r="G559" s="7">
        <v>1625</v>
      </c>
      <c r="H559" s="16">
        <v>45206</v>
      </c>
      <c r="I559" s="6">
        <v>40</v>
      </c>
      <c r="J559" s="6" t="s">
        <v>121</v>
      </c>
      <c r="K559" s="6" t="s">
        <v>139</v>
      </c>
      <c r="L559" s="11">
        <f>F559*Controls!$B$6</f>
        <v>13</v>
      </c>
      <c r="M559" s="11">
        <f>G559*Controls!$B$6</f>
        <v>1625</v>
      </c>
      <c r="N559" s="12">
        <f>IF(L559=0,0,SUMIFS('PSI Plan'!$N$6:$N$173,'PSI Plan'!$B$6:$B$173,B559,'PSI Plan'!$C$6:$C$173,I559))</f>
        <v>0</v>
      </c>
      <c r="O559" s="11">
        <f t="shared" si="16"/>
        <v>0</v>
      </c>
      <c r="P559" s="11">
        <f t="shared" si="17"/>
        <v>0</v>
      </c>
      <c r="Q559" s="6"/>
      <c r="R559" s="6"/>
      <c r="S559" s="6"/>
      <c r="T559" s="6"/>
    </row>
    <row r="560" spans="1:20">
      <c r="A560" s="6" t="s">
        <v>702</v>
      </c>
      <c r="B560" s="6" t="s">
        <v>69</v>
      </c>
      <c r="C560" s="6" t="s">
        <v>90</v>
      </c>
      <c r="D560" s="6" t="s">
        <v>119</v>
      </c>
      <c r="E560" s="6" t="s">
        <v>120</v>
      </c>
      <c r="F560" s="7">
        <v>11</v>
      </c>
      <c r="G560" s="7">
        <v>1375</v>
      </c>
      <c r="H560" s="16">
        <v>45218</v>
      </c>
      <c r="I560" s="6">
        <v>42</v>
      </c>
      <c r="J560" s="6" t="s">
        <v>121</v>
      </c>
      <c r="K560" s="6" t="s">
        <v>139</v>
      </c>
      <c r="L560" s="11">
        <f>F560*Controls!$B$6</f>
        <v>11</v>
      </c>
      <c r="M560" s="11">
        <f>G560*Controls!$B$6</f>
        <v>1375</v>
      </c>
      <c r="N560" s="12">
        <f>IF(L560=0,0,SUMIFS('PSI Plan'!$N$6:$N$173,'PSI Plan'!$B$6:$B$173,B560,'PSI Plan'!$C$6:$C$173,I560))</f>
        <v>0</v>
      </c>
      <c r="O560" s="11">
        <f t="shared" si="16"/>
        <v>0</v>
      </c>
      <c r="P560" s="11">
        <f t="shared" si="17"/>
        <v>0</v>
      </c>
      <c r="Q560" s="6"/>
      <c r="R560" s="6"/>
      <c r="S560" s="6"/>
      <c r="T560" s="6"/>
    </row>
    <row r="561" spans="1:20">
      <c r="A561" s="6" t="s">
        <v>703</v>
      </c>
      <c r="B561" s="6" t="s">
        <v>66</v>
      </c>
      <c r="C561" s="6" t="s">
        <v>90</v>
      </c>
      <c r="D561" s="6" t="s">
        <v>119</v>
      </c>
      <c r="E561" s="6" t="s">
        <v>120</v>
      </c>
      <c r="F561" s="7">
        <v>52</v>
      </c>
      <c r="G561" s="7">
        <v>6500</v>
      </c>
      <c r="H561" s="16">
        <v>45259</v>
      </c>
      <c r="I561" s="6">
        <v>48</v>
      </c>
      <c r="J561" s="6" t="s">
        <v>121</v>
      </c>
      <c r="K561" s="6" t="s">
        <v>122</v>
      </c>
      <c r="L561" s="11">
        <f>F561*Controls!$B$6</f>
        <v>52</v>
      </c>
      <c r="M561" s="11">
        <f>G561*Controls!$B$6</f>
        <v>6500</v>
      </c>
      <c r="N561" s="12">
        <f>IF(L561=0,0,SUMIFS('PSI Plan'!$N$6:$N$173,'PSI Plan'!$B$6:$B$173,B561,'PSI Plan'!$C$6:$C$173,I561))</f>
        <v>0</v>
      </c>
      <c r="O561" s="11">
        <f t="shared" si="16"/>
        <v>0</v>
      </c>
      <c r="P561" s="11">
        <f t="shared" si="17"/>
        <v>0</v>
      </c>
      <c r="Q561" s="6"/>
      <c r="R561" s="6"/>
      <c r="S561" s="6"/>
      <c r="T561" s="6"/>
    </row>
    <row r="562" spans="1:20">
      <c r="A562" s="6" t="s">
        <v>704</v>
      </c>
      <c r="B562" s="6" t="s">
        <v>77</v>
      </c>
      <c r="C562" s="6" t="s">
        <v>90</v>
      </c>
      <c r="D562" s="6" t="s">
        <v>119</v>
      </c>
      <c r="E562" s="6" t="s">
        <v>120</v>
      </c>
      <c r="F562" s="7">
        <v>156</v>
      </c>
      <c r="G562" s="7">
        <v>19500</v>
      </c>
      <c r="H562" s="16">
        <v>45289</v>
      </c>
      <c r="I562" s="6">
        <v>52</v>
      </c>
      <c r="J562" s="6" t="s">
        <v>121</v>
      </c>
      <c r="K562" s="6" t="s">
        <v>122</v>
      </c>
      <c r="L562" s="11">
        <f>F562*Controls!$B$6</f>
        <v>156</v>
      </c>
      <c r="M562" s="11">
        <f>G562*Controls!$B$6</f>
        <v>19500</v>
      </c>
      <c r="N562" s="12">
        <f>IF(L562=0,0,SUMIFS('PSI Plan'!$N$6:$N$173,'PSI Plan'!$B$6:$B$173,B562,'PSI Plan'!$C$6:$C$173,I562))</f>
        <v>0</v>
      </c>
      <c r="O562" s="11">
        <f t="shared" si="16"/>
        <v>0</v>
      </c>
      <c r="P562" s="11">
        <f t="shared" si="17"/>
        <v>0</v>
      </c>
      <c r="Q562" s="6"/>
      <c r="R562" s="6"/>
      <c r="S562" s="6"/>
      <c r="T562" s="6"/>
    </row>
    <row r="563" spans="1:20">
      <c r="A563" s="6" t="s">
        <v>705</v>
      </c>
      <c r="B563" s="6" t="s">
        <v>76</v>
      </c>
      <c r="C563" s="6" t="s">
        <v>90</v>
      </c>
      <c r="D563" s="6" t="s">
        <v>119</v>
      </c>
      <c r="E563" s="6" t="s">
        <v>120</v>
      </c>
      <c r="F563" s="7">
        <v>156</v>
      </c>
      <c r="G563" s="7">
        <v>19500</v>
      </c>
      <c r="H563" s="16">
        <v>45260</v>
      </c>
      <c r="I563" s="6">
        <v>48</v>
      </c>
      <c r="J563" s="6" t="s">
        <v>121</v>
      </c>
      <c r="K563" s="6" t="s">
        <v>122</v>
      </c>
      <c r="L563" s="11">
        <f>F563*Controls!$B$6</f>
        <v>156</v>
      </c>
      <c r="M563" s="11">
        <f>G563*Controls!$B$6</f>
        <v>19500</v>
      </c>
      <c r="N563" s="12">
        <f>IF(L563=0,0,SUMIFS('PSI Plan'!$N$6:$N$173,'PSI Plan'!$B$6:$B$173,B563,'PSI Plan'!$C$6:$C$173,I563))</f>
        <v>0</v>
      </c>
      <c r="O563" s="11">
        <f t="shared" si="16"/>
        <v>0</v>
      </c>
      <c r="P563" s="11">
        <f t="shared" si="17"/>
        <v>0</v>
      </c>
      <c r="Q563" s="6"/>
      <c r="R563" s="6"/>
      <c r="S563" s="6"/>
      <c r="T563" s="6"/>
    </row>
    <row r="564" spans="1:20">
      <c r="A564" s="6" t="s">
        <v>706</v>
      </c>
      <c r="B564" s="6" t="s">
        <v>67</v>
      </c>
      <c r="C564" s="6" t="s">
        <v>90</v>
      </c>
      <c r="D564" s="6" t="s">
        <v>119</v>
      </c>
      <c r="E564" s="6" t="s">
        <v>120</v>
      </c>
      <c r="F564" s="7">
        <v>52</v>
      </c>
      <c r="G564" s="7">
        <v>6500</v>
      </c>
      <c r="H564" s="16">
        <v>45237</v>
      </c>
      <c r="I564" s="6">
        <v>45</v>
      </c>
      <c r="J564" s="6" t="s">
        <v>121</v>
      </c>
      <c r="K564" s="6" t="s">
        <v>122</v>
      </c>
      <c r="L564" s="11">
        <f>F564*Controls!$B$6</f>
        <v>52</v>
      </c>
      <c r="M564" s="11">
        <f>G564*Controls!$B$6</f>
        <v>6500</v>
      </c>
      <c r="N564" s="12">
        <f>IF(L564=0,0,SUMIFS('PSI Plan'!$N$6:$N$173,'PSI Plan'!$B$6:$B$173,B564,'PSI Plan'!$C$6:$C$173,I564))</f>
        <v>0</v>
      </c>
      <c r="O564" s="11">
        <f t="shared" si="16"/>
        <v>0</v>
      </c>
      <c r="P564" s="11">
        <f t="shared" si="17"/>
        <v>0</v>
      </c>
      <c r="Q564" s="6"/>
      <c r="R564" s="6"/>
      <c r="S564" s="6"/>
      <c r="T564" s="6"/>
    </row>
    <row r="565" spans="1:20">
      <c r="A565" s="6" t="s">
        <v>707</v>
      </c>
      <c r="B565" s="6" t="s">
        <v>69</v>
      </c>
      <c r="C565" s="6" t="s">
        <v>90</v>
      </c>
      <c r="D565" s="6" t="s">
        <v>119</v>
      </c>
      <c r="E565" s="6" t="s">
        <v>120</v>
      </c>
      <c r="F565" s="7">
        <v>156</v>
      </c>
      <c r="G565" s="7">
        <v>19500</v>
      </c>
      <c r="H565" s="16">
        <v>45266</v>
      </c>
      <c r="I565" s="6">
        <v>49</v>
      </c>
      <c r="J565" s="6" t="s">
        <v>121</v>
      </c>
      <c r="K565" s="6" t="s">
        <v>122</v>
      </c>
      <c r="L565" s="11">
        <f>F565*Controls!$B$6</f>
        <v>156</v>
      </c>
      <c r="M565" s="11">
        <f>G565*Controls!$B$6</f>
        <v>19500</v>
      </c>
      <c r="N565" s="12">
        <f>IF(L565=0,0,SUMIFS('PSI Plan'!$N$6:$N$173,'PSI Plan'!$B$6:$B$173,B565,'PSI Plan'!$C$6:$C$173,I565))</f>
        <v>0</v>
      </c>
      <c r="O565" s="11">
        <f t="shared" si="16"/>
        <v>0</v>
      </c>
      <c r="P565" s="11">
        <f t="shared" si="17"/>
        <v>0</v>
      </c>
      <c r="Q565" s="6"/>
      <c r="R565" s="6"/>
      <c r="S565" s="6"/>
      <c r="T565" s="6"/>
    </row>
    <row r="566" spans="1:20">
      <c r="A566" s="6" t="s">
        <v>708</v>
      </c>
      <c r="B566" s="6" t="s">
        <v>77</v>
      </c>
      <c r="C566" s="6" t="s">
        <v>90</v>
      </c>
      <c r="D566" s="6" t="s">
        <v>119</v>
      </c>
      <c r="E566" s="6" t="s">
        <v>120</v>
      </c>
      <c r="F566" s="7">
        <v>22</v>
      </c>
      <c r="G566" s="7">
        <v>2750</v>
      </c>
      <c r="H566" s="16">
        <v>45250</v>
      </c>
      <c r="I566" s="6">
        <v>47</v>
      </c>
      <c r="J566" s="6" t="s">
        <v>121</v>
      </c>
      <c r="K566" s="6" t="s">
        <v>132</v>
      </c>
      <c r="L566" s="11">
        <f>F566*Controls!$B$6</f>
        <v>22</v>
      </c>
      <c r="M566" s="11">
        <f>G566*Controls!$B$6</f>
        <v>2750</v>
      </c>
      <c r="N566" s="12">
        <f>IF(L566=0,0,SUMIFS('PSI Plan'!$N$6:$N$173,'PSI Plan'!$B$6:$B$173,B566,'PSI Plan'!$C$6:$C$173,I566))</f>
        <v>0</v>
      </c>
      <c r="O566" s="11">
        <f t="shared" si="16"/>
        <v>0</v>
      </c>
      <c r="P566" s="11">
        <f t="shared" si="17"/>
        <v>0</v>
      </c>
      <c r="Q566" s="6"/>
      <c r="R566" s="6"/>
      <c r="S566" s="6"/>
      <c r="T566" s="6"/>
    </row>
    <row r="567" spans="1:20">
      <c r="A567" s="6" t="s">
        <v>709</v>
      </c>
      <c r="B567" s="6" t="s">
        <v>69</v>
      </c>
      <c r="C567" s="6" t="s">
        <v>90</v>
      </c>
      <c r="D567" s="6" t="s">
        <v>119</v>
      </c>
      <c r="E567" s="6" t="s">
        <v>120</v>
      </c>
      <c r="F567" s="7">
        <v>23</v>
      </c>
      <c r="G567" s="7">
        <v>2875</v>
      </c>
      <c r="H567" s="16">
        <v>45245</v>
      </c>
      <c r="I567" s="6">
        <v>46</v>
      </c>
      <c r="J567" s="6" t="s">
        <v>121</v>
      </c>
      <c r="K567" s="6" t="s">
        <v>132</v>
      </c>
      <c r="L567" s="11">
        <f>F567*Controls!$B$6</f>
        <v>23</v>
      </c>
      <c r="M567" s="11">
        <f>G567*Controls!$B$6</f>
        <v>2875</v>
      </c>
      <c r="N567" s="12">
        <f>IF(L567=0,0,SUMIFS('PSI Plan'!$N$6:$N$173,'PSI Plan'!$B$6:$B$173,B567,'PSI Plan'!$C$6:$C$173,I567))</f>
        <v>0</v>
      </c>
      <c r="O567" s="11">
        <f t="shared" si="16"/>
        <v>0</v>
      </c>
      <c r="P567" s="11">
        <f t="shared" si="17"/>
        <v>0</v>
      </c>
      <c r="Q567" s="6"/>
      <c r="R567" s="6"/>
      <c r="S567" s="6"/>
      <c r="T567" s="6"/>
    </row>
    <row r="568" spans="1:20">
      <c r="A568" s="6" t="s">
        <v>710</v>
      </c>
      <c r="B568" s="6" t="s">
        <v>77</v>
      </c>
      <c r="C568" s="6" t="s">
        <v>90</v>
      </c>
      <c r="D568" s="6" t="s">
        <v>119</v>
      </c>
      <c r="E568" s="6" t="s">
        <v>120</v>
      </c>
      <c r="F568" s="7">
        <v>51</v>
      </c>
      <c r="G568" s="7">
        <v>6375</v>
      </c>
      <c r="H568" s="16">
        <v>45235</v>
      </c>
      <c r="I568" s="6">
        <v>45</v>
      </c>
      <c r="J568" s="6" t="s">
        <v>121</v>
      </c>
      <c r="K568" s="6" t="s">
        <v>171</v>
      </c>
      <c r="L568" s="11">
        <f>F568*Controls!$B$6</f>
        <v>51</v>
      </c>
      <c r="M568" s="11">
        <f>G568*Controls!$B$6</f>
        <v>6375</v>
      </c>
      <c r="N568" s="12">
        <f>IF(L568=0,0,SUMIFS('PSI Plan'!$N$6:$N$173,'PSI Plan'!$B$6:$B$173,B568,'PSI Plan'!$C$6:$C$173,I568))</f>
        <v>0</v>
      </c>
      <c r="O568" s="11">
        <f t="shared" si="16"/>
        <v>0</v>
      </c>
      <c r="P568" s="11">
        <f t="shared" si="17"/>
        <v>0</v>
      </c>
      <c r="Q568" s="6"/>
      <c r="R568" s="6"/>
      <c r="S568" s="6"/>
      <c r="T568" s="6"/>
    </row>
    <row r="569" spans="1:20">
      <c r="A569" s="6" t="s">
        <v>711</v>
      </c>
      <c r="B569" s="6" t="s">
        <v>67</v>
      </c>
      <c r="C569" s="6" t="s">
        <v>90</v>
      </c>
      <c r="D569" s="6" t="s">
        <v>119</v>
      </c>
      <c r="E569" s="6" t="s">
        <v>120</v>
      </c>
      <c r="F569" s="7">
        <v>54</v>
      </c>
      <c r="G569" s="7">
        <v>6750</v>
      </c>
      <c r="H569" s="16">
        <v>45205</v>
      </c>
      <c r="I569" s="6">
        <v>40</v>
      </c>
      <c r="J569" s="6" t="s">
        <v>121</v>
      </c>
      <c r="K569" s="6" t="s">
        <v>171</v>
      </c>
      <c r="L569" s="11">
        <f>F569*Controls!$B$6</f>
        <v>54</v>
      </c>
      <c r="M569" s="11">
        <f>G569*Controls!$B$6</f>
        <v>6750</v>
      </c>
      <c r="N569" s="12">
        <f>IF(L569=0,0,SUMIFS('PSI Plan'!$N$6:$N$173,'PSI Plan'!$B$6:$B$173,B569,'PSI Plan'!$C$6:$C$173,I569))</f>
        <v>0</v>
      </c>
      <c r="O569" s="11">
        <f t="shared" si="16"/>
        <v>0</v>
      </c>
      <c r="P569" s="11">
        <f t="shared" si="17"/>
        <v>0</v>
      </c>
      <c r="Q569" s="6"/>
      <c r="R569" s="6"/>
      <c r="S569" s="6"/>
      <c r="T569" s="6"/>
    </row>
    <row r="570" spans="1:20">
      <c r="A570" s="6" t="s">
        <v>712</v>
      </c>
      <c r="B570" s="6" t="s">
        <v>69</v>
      </c>
      <c r="C570" s="6" t="s">
        <v>90</v>
      </c>
      <c r="D570" s="6" t="s">
        <v>119</v>
      </c>
      <c r="E570" s="6" t="s">
        <v>120</v>
      </c>
      <c r="F570" s="7">
        <v>52</v>
      </c>
      <c r="G570" s="7">
        <v>6500</v>
      </c>
      <c r="H570" s="16">
        <v>45266</v>
      </c>
      <c r="I570" s="6">
        <v>49</v>
      </c>
      <c r="J570" s="6" t="s">
        <v>121</v>
      </c>
      <c r="K570" s="6" t="s">
        <v>171</v>
      </c>
      <c r="L570" s="11">
        <f>F570*Controls!$B$6</f>
        <v>52</v>
      </c>
      <c r="M570" s="11">
        <f>G570*Controls!$B$6</f>
        <v>6500</v>
      </c>
      <c r="N570" s="12">
        <f>IF(L570=0,0,SUMIFS('PSI Plan'!$N$6:$N$173,'PSI Plan'!$B$6:$B$173,B570,'PSI Plan'!$C$6:$C$173,I570))</f>
        <v>0</v>
      </c>
      <c r="O570" s="11">
        <f t="shared" si="16"/>
        <v>0</v>
      </c>
      <c r="P570" s="11">
        <f t="shared" si="17"/>
        <v>0</v>
      </c>
      <c r="Q570" s="6"/>
      <c r="R570" s="6"/>
      <c r="S570" s="6"/>
      <c r="T570" s="6"/>
    </row>
    <row r="571" spans="1:20">
      <c r="A571" s="6" t="s">
        <v>713</v>
      </c>
      <c r="B571" s="6" t="s">
        <v>76</v>
      </c>
      <c r="C571" s="6" t="s">
        <v>103</v>
      </c>
      <c r="D571" s="6" t="s">
        <v>571</v>
      </c>
      <c r="E571" s="6" t="s">
        <v>120</v>
      </c>
      <c r="F571" s="7">
        <v>215</v>
      </c>
      <c r="G571" s="7">
        <v>26875</v>
      </c>
      <c r="H571" s="16">
        <v>45255</v>
      </c>
      <c r="I571" s="6">
        <v>47</v>
      </c>
      <c r="J571" s="6" t="s">
        <v>121</v>
      </c>
      <c r="K571" s="6" t="s">
        <v>714</v>
      </c>
      <c r="L571" s="11">
        <f>F571*Controls!$B$6</f>
        <v>215</v>
      </c>
      <c r="M571" s="11">
        <f>G571*Controls!$B$6</f>
        <v>26875</v>
      </c>
      <c r="N571" s="12">
        <f>IF(L571=0,0,SUMIFS('PSI Plan'!$N$6:$N$173,'PSI Plan'!$B$6:$B$173,B571,'PSI Plan'!$C$6:$C$173,I571))</f>
        <v>0</v>
      </c>
      <c r="O571" s="11">
        <f t="shared" si="16"/>
        <v>0</v>
      </c>
      <c r="P571" s="11">
        <f t="shared" si="17"/>
        <v>0</v>
      </c>
      <c r="Q571" s="6"/>
      <c r="R571" s="6"/>
      <c r="S571" s="6"/>
      <c r="T571" s="6"/>
    </row>
    <row r="572" spans="1:20">
      <c r="A572" s="6" t="s">
        <v>715</v>
      </c>
      <c r="B572" s="6" t="s">
        <v>67</v>
      </c>
      <c r="C572" s="6" t="s">
        <v>103</v>
      </c>
      <c r="D572" s="6" t="s">
        <v>571</v>
      </c>
      <c r="E572" s="6" t="s">
        <v>120</v>
      </c>
      <c r="F572" s="7">
        <v>242</v>
      </c>
      <c r="G572" s="7">
        <v>30250</v>
      </c>
      <c r="H572" s="16">
        <v>45201</v>
      </c>
      <c r="I572" s="6">
        <v>40</v>
      </c>
      <c r="J572" s="6" t="s">
        <v>121</v>
      </c>
      <c r="K572" s="6" t="s">
        <v>714</v>
      </c>
      <c r="L572" s="11">
        <f>F572*Controls!$B$6</f>
        <v>242</v>
      </c>
      <c r="M572" s="11">
        <f>G572*Controls!$B$6</f>
        <v>30250</v>
      </c>
      <c r="N572" s="12">
        <f>IF(L572=0,0,SUMIFS('PSI Plan'!$N$6:$N$173,'PSI Plan'!$B$6:$B$173,B572,'PSI Plan'!$C$6:$C$173,I572))</f>
        <v>0</v>
      </c>
      <c r="O572" s="11">
        <f t="shared" si="16"/>
        <v>0</v>
      </c>
      <c r="P572" s="11">
        <f t="shared" si="17"/>
        <v>0</v>
      </c>
      <c r="Q572" s="6"/>
      <c r="R572" s="6"/>
      <c r="S572" s="6"/>
      <c r="T572" s="6"/>
    </row>
    <row r="573" spans="1:20">
      <c r="A573" s="6" t="s">
        <v>716</v>
      </c>
      <c r="B573" s="6" t="s">
        <v>76</v>
      </c>
      <c r="C573" s="6" t="s">
        <v>90</v>
      </c>
      <c r="D573" s="6" t="s">
        <v>119</v>
      </c>
      <c r="E573" s="6" t="s">
        <v>120</v>
      </c>
      <c r="F573" s="7">
        <v>52</v>
      </c>
      <c r="G573" s="7">
        <v>6500</v>
      </c>
      <c r="H573" s="16">
        <v>45257</v>
      </c>
      <c r="I573" s="6">
        <v>48</v>
      </c>
      <c r="J573" s="6" t="s">
        <v>121</v>
      </c>
      <c r="K573" s="6" t="s">
        <v>122</v>
      </c>
      <c r="L573" s="11">
        <f>F573*Controls!$B$6</f>
        <v>52</v>
      </c>
      <c r="M573" s="11">
        <f>G573*Controls!$B$6</f>
        <v>6500</v>
      </c>
      <c r="N573" s="12">
        <f>IF(L573=0,0,SUMIFS('PSI Plan'!$N$6:$N$173,'PSI Plan'!$B$6:$B$173,B573,'PSI Plan'!$C$6:$C$173,I573))</f>
        <v>0</v>
      </c>
      <c r="O573" s="11">
        <f t="shared" si="16"/>
        <v>0</v>
      </c>
      <c r="P573" s="11">
        <f t="shared" si="17"/>
        <v>0</v>
      </c>
      <c r="Q573" s="6"/>
      <c r="R573" s="6"/>
      <c r="S573" s="6"/>
      <c r="T573" s="6"/>
    </row>
    <row r="574" spans="1:20">
      <c r="A574" s="6" t="s">
        <v>717</v>
      </c>
      <c r="B574" s="6" t="s">
        <v>67</v>
      </c>
      <c r="C574" s="6" t="s">
        <v>90</v>
      </c>
      <c r="D574" s="6" t="s">
        <v>119</v>
      </c>
      <c r="E574" s="6" t="s">
        <v>120</v>
      </c>
      <c r="F574" s="7">
        <v>52</v>
      </c>
      <c r="G574" s="7">
        <v>6500</v>
      </c>
      <c r="H574" s="16">
        <v>45211</v>
      </c>
      <c r="I574" s="6">
        <v>41</v>
      </c>
      <c r="J574" s="6" t="s">
        <v>121</v>
      </c>
      <c r="K574" s="6" t="s">
        <v>122</v>
      </c>
      <c r="L574" s="11">
        <f>F574*Controls!$B$6</f>
        <v>52</v>
      </c>
      <c r="M574" s="11">
        <f>G574*Controls!$B$6</f>
        <v>6500</v>
      </c>
      <c r="N574" s="12">
        <f>IF(L574=0,0,SUMIFS('PSI Plan'!$N$6:$N$173,'PSI Plan'!$B$6:$B$173,B574,'PSI Plan'!$C$6:$C$173,I574))</f>
        <v>0</v>
      </c>
      <c r="O574" s="11">
        <f t="shared" si="16"/>
        <v>0</v>
      </c>
      <c r="P574" s="11">
        <f t="shared" si="17"/>
        <v>0</v>
      </c>
      <c r="Q574" s="6"/>
      <c r="R574" s="6"/>
      <c r="S574" s="6"/>
      <c r="T574" s="6"/>
    </row>
    <row r="575" spans="1:20">
      <c r="A575" s="6" t="s">
        <v>718</v>
      </c>
      <c r="B575" s="6" t="s">
        <v>69</v>
      </c>
      <c r="C575" s="6" t="s">
        <v>90</v>
      </c>
      <c r="D575" s="6" t="s">
        <v>119</v>
      </c>
      <c r="E575" s="6" t="s">
        <v>120</v>
      </c>
      <c r="F575" s="7">
        <v>52</v>
      </c>
      <c r="G575" s="7">
        <v>6500</v>
      </c>
      <c r="H575" s="16">
        <v>45283</v>
      </c>
      <c r="I575" s="6">
        <v>51</v>
      </c>
      <c r="J575" s="6" t="s">
        <v>121</v>
      </c>
      <c r="K575" s="6" t="s">
        <v>122</v>
      </c>
      <c r="L575" s="11">
        <f>F575*Controls!$B$6</f>
        <v>52</v>
      </c>
      <c r="M575" s="11">
        <f>G575*Controls!$B$6</f>
        <v>6500</v>
      </c>
      <c r="N575" s="12">
        <f>IF(L575=0,0,SUMIFS('PSI Plan'!$N$6:$N$173,'PSI Plan'!$B$6:$B$173,B575,'PSI Plan'!$C$6:$C$173,I575))</f>
        <v>0</v>
      </c>
      <c r="O575" s="11">
        <f t="shared" si="16"/>
        <v>0</v>
      </c>
      <c r="P575" s="11">
        <f t="shared" si="17"/>
        <v>0</v>
      </c>
      <c r="Q575" s="6"/>
      <c r="R575" s="6"/>
      <c r="S575" s="6"/>
      <c r="T575" s="6"/>
    </row>
    <row r="576" spans="1:20">
      <c r="A576" s="6" t="s">
        <v>719</v>
      </c>
      <c r="B576" s="6" t="s">
        <v>66</v>
      </c>
      <c r="C576" s="6" t="s">
        <v>99</v>
      </c>
      <c r="D576" s="6" t="s">
        <v>319</v>
      </c>
      <c r="E576" s="6" t="s">
        <v>120</v>
      </c>
      <c r="F576" s="7">
        <v>52</v>
      </c>
      <c r="G576" s="7">
        <v>6500</v>
      </c>
      <c r="H576" s="16">
        <v>45243</v>
      </c>
      <c r="I576" s="6">
        <v>46</v>
      </c>
      <c r="J576" s="6" t="s">
        <v>121</v>
      </c>
      <c r="K576" s="6" t="s">
        <v>347</v>
      </c>
      <c r="L576" s="11">
        <f>F576*Controls!$B$6</f>
        <v>52</v>
      </c>
      <c r="M576" s="11">
        <f>G576*Controls!$B$6</f>
        <v>6500</v>
      </c>
      <c r="N576" s="12">
        <f>IF(L576=0,0,SUMIFS('PSI Plan'!$N$6:$N$173,'PSI Plan'!$B$6:$B$173,B576,'PSI Plan'!$C$6:$C$173,I576))</f>
        <v>0</v>
      </c>
      <c r="O576" s="11">
        <f t="shared" si="16"/>
        <v>0</v>
      </c>
      <c r="P576" s="11">
        <f t="shared" si="17"/>
        <v>0</v>
      </c>
      <c r="Q576" s="6"/>
      <c r="R576" s="6"/>
      <c r="S576" s="6"/>
      <c r="T576" s="6"/>
    </row>
    <row r="577" spans="1:20">
      <c r="A577" s="6" t="s">
        <v>720</v>
      </c>
      <c r="B577" s="6" t="s">
        <v>77</v>
      </c>
      <c r="C577" s="6" t="s">
        <v>99</v>
      </c>
      <c r="D577" s="6" t="s">
        <v>319</v>
      </c>
      <c r="E577" s="6" t="s">
        <v>120</v>
      </c>
      <c r="F577" s="7">
        <v>104</v>
      </c>
      <c r="G577" s="7">
        <v>13000</v>
      </c>
      <c r="H577" s="16">
        <v>45268</v>
      </c>
      <c r="I577" s="6">
        <v>49</v>
      </c>
      <c r="J577" s="6" t="s">
        <v>121</v>
      </c>
      <c r="K577" s="6" t="s">
        <v>347</v>
      </c>
      <c r="L577" s="11">
        <f>F577*Controls!$B$6</f>
        <v>104</v>
      </c>
      <c r="M577" s="11">
        <f>G577*Controls!$B$6</f>
        <v>13000</v>
      </c>
      <c r="N577" s="12">
        <f>IF(L577=0,0,SUMIFS('PSI Plan'!$N$6:$N$173,'PSI Plan'!$B$6:$B$173,B577,'PSI Plan'!$C$6:$C$173,I577))</f>
        <v>0</v>
      </c>
      <c r="O577" s="11">
        <f t="shared" si="16"/>
        <v>0</v>
      </c>
      <c r="P577" s="11">
        <f t="shared" si="17"/>
        <v>0</v>
      </c>
      <c r="Q577" s="6"/>
      <c r="R577" s="6"/>
      <c r="S577" s="6"/>
      <c r="T577" s="6"/>
    </row>
    <row r="578" spans="1:20">
      <c r="A578" s="6" t="s">
        <v>721</v>
      </c>
      <c r="B578" s="6" t="s">
        <v>76</v>
      </c>
      <c r="C578" s="6" t="s">
        <v>99</v>
      </c>
      <c r="D578" s="6" t="s">
        <v>319</v>
      </c>
      <c r="E578" s="6" t="s">
        <v>120</v>
      </c>
      <c r="F578" s="7">
        <v>17</v>
      </c>
      <c r="G578" s="7">
        <v>2125</v>
      </c>
      <c r="H578" s="16">
        <v>45262</v>
      </c>
      <c r="I578" s="6">
        <v>48</v>
      </c>
      <c r="J578" s="6" t="s">
        <v>121</v>
      </c>
      <c r="K578" s="6" t="s">
        <v>347</v>
      </c>
      <c r="L578" s="11">
        <f>F578*Controls!$B$6</f>
        <v>17</v>
      </c>
      <c r="M578" s="11">
        <f>G578*Controls!$B$6</f>
        <v>2125</v>
      </c>
      <c r="N578" s="12">
        <f>IF(L578=0,0,SUMIFS('PSI Plan'!$N$6:$N$173,'PSI Plan'!$B$6:$B$173,B578,'PSI Plan'!$C$6:$C$173,I578))</f>
        <v>0</v>
      </c>
      <c r="O578" s="11">
        <f t="shared" ref="O578:O641" si="18">L578*N578</f>
        <v>0</v>
      </c>
      <c r="P578" s="11">
        <f t="shared" ref="P578:P641" si="19">M578*N578</f>
        <v>0</v>
      </c>
      <c r="Q578" s="6"/>
      <c r="R578" s="6"/>
      <c r="S578" s="6"/>
      <c r="T578" s="6"/>
    </row>
    <row r="579" spans="1:20">
      <c r="A579" s="6" t="s">
        <v>722</v>
      </c>
      <c r="B579" s="6" t="s">
        <v>69</v>
      </c>
      <c r="C579" s="6" t="s">
        <v>99</v>
      </c>
      <c r="D579" s="6" t="s">
        <v>319</v>
      </c>
      <c r="E579" s="6" t="s">
        <v>120</v>
      </c>
      <c r="F579" s="7">
        <v>156</v>
      </c>
      <c r="G579" s="7">
        <v>19500</v>
      </c>
      <c r="H579" s="16">
        <v>45262</v>
      </c>
      <c r="I579" s="6">
        <v>48</v>
      </c>
      <c r="J579" s="6" t="s">
        <v>121</v>
      </c>
      <c r="K579" s="6" t="s">
        <v>347</v>
      </c>
      <c r="L579" s="11">
        <f>F579*Controls!$B$6</f>
        <v>156</v>
      </c>
      <c r="M579" s="11">
        <f>G579*Controls!$B$6</f>
        <v>19500</v>
      </c>
      <c r="N579" s="12">
        <f>IF(L579=0,0,SUMIFS('PSI Plan'!$N$6:$N$173,'PSI Plan'!$B$6:$B$173,B579,'PSI Plan'!$C$6:$C$173,I579))</f>
        <v>0</v>
      </c>
      <c r="O579" s="11">
        <f t="shared" si="18"/>
        <v>0</v>
      </c>
      <c r="P579" s="11">
        <f t="shared" si="19"/>
        <v>0</v>
      </c>
      <c r="Q579" s="6"/>
      <c r="R579" s="6"/>
      <c r="S579" s="6"/>
      <c r="T579" s="6"/>
    </row>
    <row r="580" spans="1:20">
      <c r="A580" s="6" t="s">
        <v>723</v>
      </c>
      <c r="B580" s="6" t="s">
        <v>69</v>
      </c>
      <c r="C580" s="6" t="s">
        <v>90</v>
      </c>
      <c r="D580" s="6" t="s">
        <v>119</v>
      </c>
      <c r="E580" s="6" t="s">
        <v>120</v>
      </c>
      <c r="F580" s="7">
        <v>26</v>
      </c>
      <c r="G580" s="7">
        <v>3250</v>
      </c>
      <c r="H580" s="16">
        <v>45270</v>
      </c>
      <c r="I580" s="6">
        <v>50</v>
      </c>
      <c r="J580" s="6" t="s">
        <v>121</v>
      </c>
      <c r="K580" s="6" t="s">
        <v>171</v>
      </c>
      <c r="L580" s="11">
        <f>F580*Controls!$B$6</f>
        <v>26</v>
      </c>
      <c r="M580" s="11">
        <f>G580*Controls!$B$6</f>
        <v>3250</v>
      </c>
      <c r="N580" s="12">
        <f>IF(L580=0,0,SUMIFS('PSI Plan'!$N$6:$N$173,'PSI Plan'!$B$6:$B$173,B580,'PSI Plan'!$C$6:$C$173,I580))</f>
        <v>0</v>
      </c>
      <c r="O580" s="11">
        <f t="shared" si="18"/>
        <v>0</v>
      </c>
      <c r="P580" s="11">
        <f t="shared" si="19"/>
        <v>0</v>
      </c>
      <c r="Q580" s="6"/>
      <c r="R580" s="6"/>
      <c r="S580" s="6"/>
      <c r="T580" s="6"/>
    </row>
    <row r="581" spans="1:20">
      <c r="A581" s="6" t="s">
        <v>724</v>
      </c>
      <c r="B581" s="6" t="s">
        <v>77</v>
      </c>
      <c r="C581" s="6" t="s">
        <v>90</v>
      </c>
      <c r="D581" s="6" t="s">
        <v>119</v>
      </c>
      <c r="E581" s="6" t="s">
        <v>120</v>
      </c>
      <c r="F581" s="7">
        <v>9</v>
      </c>
      <c r="G581" s="7">
        <v>1125</v>
      </c>
      <c r="H581" s="16">
        <v>45210</v>
      </c>
      <c r="I581" s="6">
        <v>41</v>
      </c>
      <c r="J581" s="6" t="s">
        <v>121</v>
      </c>
      <c r="K581" s="6" t="s">
        <v>725</v>
      </c>
      <c r="L581" s="11">
        <f>F581*Controls!$B$6</f>
        <v>9</v>
      </c>
      <c r="M581" s="11">
        <f>G581*Controls!$B$6</f>
        <v>1125</v>
      </c>
      <c r="N581" s="12">
        <f>IF(L581=0,0,SUMIFS('PSI Plan'!$N$6:$N$173,'PSI Plan'!$B$6:$B$173,B581,'PSI Plan'!$C$6:$C$173,I581))</f>
        <v>0</v>
      </c>
      <c r="O581" s="11">
        <f t="shared" si="18"/>
        <v>0</v>
      </c>
      <c r="P581" s="11">
        <f t="shared" si="19"/>
        <v>0</v>
      </c>
      <c r="Q581" s="6"/>
      <c r="R581" s="6"/>
      <c r="S581" s="6"/>
      <c r="T581" s="6"/>
    </row>
    <row r="582" spans="1:20">
      <c r="A582" s="6" t="s">
        <v>726</v>
      </c>
      <c r="B582" s="6" t="s">
        <v>77</v>
      </c>
      <c r="C582" s="6" t="s">
        <v>90</v>
      </c>
      <c r="D582" s="6" t="s">
        <v>119</v>
      </c>
      <c r="E582" s="6" t="s">
        <v>120</v>
      </c>
      <c r="F582" s="7">
        <v>14</v>
      </c>
      <c r="G582" s="7">
        <v>1750</v>
      </c>
      <c r="H582" s="16">
        <v>45267</v>
      </c>
      <c r="I582" s="6">
        <v>49</v>
      </c>
      <c r="J582" s="6" t="s">
        <v>121</v>
      </c>
      <c r="K582" s="6" t="s">
        <v>132</v>
      </c>
      <c r="L582" s="11">
        <f>F582*Controls!$B$6</f>
        <v>14</v>
      </c>
      <c r="M582" s="11">
        <f>G582*Controls!$B$6</f>
        <v>1750</v>
      </c>
      <c r="N582" s="12">
        <f>IF(L582=0,0,SUMIFS('PSI Plan'!$N$6:$N$173,'PSI Plan'!$B$6:$B$173,B582,'PSI Plan'!$C$6:$C$173,I582))</f>
        <v>0</v>
      </c>
      <c r="O582" s="11">
        <f t="shared" si="18"/>
        <v>0</v>
      </c>
      <c r="P582" s="11">
        <f t="shared" si="19"/>
        <v>0</v>
      </c>
      <c r="Q582" s="6"/>
      <c r="R582" s="6"/>
      <c r="S582" s="6"/>
      <c r="T582" s="6"/>
    </row>
    <row r="583" spans="1:20">
      <c r="A583" s="6" t="s">
        <v>727</v>
      </c>
      <c r="B583" s="6" t="s">
        <v>69</v>
      </c>
      <c r="C583" s="6" t="s">
        <v>90</v>
      </c>
      <c r="D583" s="6" t="s">
        <v>119</v>
      </c>
      <c r="E583" s="6" t="s">
        <v>120</v>
      </c>
      <c r="F583" s="7">
        <v>10</v>
      </c>
      <c r="G583" s="7">
        <v>1250</v>
      </c>
      <c r="H583" s="16">
        <v>45201</v>
      </c>
      <c r="I583" s="6">
        <v>40</v>
      </c>
      <c r="J583" s="6" t="s">
        <v>121</v>
      </c>
      <c r="K583" s="6" t="s">
        <v>132</v>
      </c>
      <c r="L583" s="11">
        <f>F583*Controls!$B$6</f>
        <v>10</v>
      </c>
      <c r="M583" s="11">
        <f>G583*Controls!$B$6</f>
        <v>1250</v>
      </c>
      <c r="N583" s="12">
        <f>IF(L583=0,0,SUMIFS('PSI Plan'!$N$6:$N$173,'PSI Plan'!$B$6:$B$173,B583,'PSI Plan'!$C$6:$C$173,I583))</f>
        <v>0</v>
      </c>
      <c r="O583" s="11">
        <f t="shared" si="18"/>
        <v>0</v>
      </c>
      <c r="P583" s="11">
        <f t="shared" si="19"/>
        <v>0</v>
      </c>
      <c r="Q583" s="6"/>
      <c r="R583" s="6"/>
      <c r="S583" s="6"/>
      <c r="T583" s="6"/>
    </row>
    <row r="584" spans="1:20">
      <c r="A584" s="6" t="s">
        <v>728</v>
      </c>
      <c r="B584" s="6" t="s">
        <v>69</v>
      </c>
      <c r="C584" s="6" t="s">
        <v>90</v>
      </c>
      <c r="D584" s="6" t="s">
        <v>119</v>
      </c>
      <c r="E584" s="6" t="s">
        <v>120</v>
      </c>
      <c r="F584" s="7">
        <v>52</v>
      </c>
      <c r="G584" s="7">
        <v>6500</v>
      </c>
      <c r="H584" s="16">
        <v>45248</v>
      </c>
      <c r="I584" s="6">
        <v>46</v>
      </c>
      <c r="J584" s="6" t="s">
        <v>121</v>
      </c>
      <c r="K584" s="6" t="s">
        <v>122</v>
      </c>
      <c r="L584" s="11">
        <f>F584*Controls!$B$6</f>
        <v>52</v>
      </c>
      <c r="M584" s="11">
        <f>G584*Controls!$B$6</f>
        <v>6500</v>
      </c>
      <c r="N584" s="12">
        <f>IF(L584=0,0,SUMIFS('PSI Plan'!$N$6:$N$173,'PSI Plan'!$B$6:$B$173,B584,'PSI Plan'!$C$6:$C$173,I584))</f>
        <v>0</v>
      </c>
      <c r="O584" s="11">
        <f t="shared" si="18"/>
        <v>0</v>
      </c>
      <c r="P584" s="11">
        <f t="shared" si="19"/>
        <v>0</v>
      </c>
      <c r="Q584" s="6"/>
      <c r="R584" s="6"/>
      <c r="S584" s="6"/>
      <c r="T584" s="6"/>
    </row>
    <row r="585" spans="1:20">
      <c r="A585" s="6" t="s">
        <v>729</v>
      </c>
      <c r="B585" s="6" t="s">
        <v>66</v>
      </c>
      <c r="C585" s="6" t="s">
        <v>90</v>
      </c>
      <c r="D585" s="6" t="s">
        <v>119</v>
      </c>
      <c r="E585" s="6" t="s">
        <v>120</v>
      </c>
      <c r="F585" s="7">
        <v>3</v>
      </c>
      <c r="G585" s="7">
        <v>375</v>
      </c>
      <c r="H585" s="16">
        <v>45256</v>
      </c>
      <c r="I585" s="6">
        <v>48</v>
      </c>
      <c r="J585" s="6" t="s">
        <v>121</v>
      </c>
      <c r="K585" s="6" t="s">
        <v>135</v>
      </c>
      <c r="L585" s="11">
        <f>F585*Controls!$B$6</f>
        <v>3</v>
      </c>
      <c r="M585" s="11">
        <f>G585*Controls!$B$6</f>
        <v>375</v>
      </c>
      <c r="N585" s="12">
        <f>IF(L585=0,0,SUMIFS('PSI Plan'!$N$6:$N$173,'PSI Plan'!$B$6:$B$173,B585,'PSI Plan'!$C$6:$C$173,I585))</f>
        <v>0</v>
      </c>
      <c r="O585" s="11">
        <f t="shared" si="18"/>
        <v>0</v>
      </c>
      <c r="P585" s="11">
        <f t="shared" si="19"/>
        <v>0</v>
      </c>
      <c r="Q585" s="6"/>
      <c r="R585" s="6"/>
      <c r="S585" s="6"/>
      <c r="T585" s="6"/>
    </row>
    <row r="586" spans="1:20">
      <c r="A586" s="6" t="s">
        <v>730</v>
      </c>
      <c r="B586" s="6" t="s">
        <v>69</v>
      </c>
      <c r="C586" s="6" t="s">
        <v>90</v>
      </c>
      <c r="D586" s="6" t="s">
        <v>119</v>
      </c>
      <c r="E586" s="6" t="s">
        <v>120</v>
      </c>
      <c r="F586" s="7">
        <v>16</v>
      </c>
      <c r="G586" s="7">
        <v>2000</v>
      </c>
      <c r="H586" s="16">
        <v>45249</v>
      </c>
      <c r="I586" s="6">
        <v>47</v>
      </c>
      <c r="J586" s="6" t="s">
        <v>121</v>
      </c>
      <c r="K586" s="6" t="s">
        <v>135</v>
      </c>
      <c r="L586" s="11">
        <f>F586*Controls!$B$6</f>
        <v>16</v>
      </c>
      <c r="M586" s="11">
        <f>G586*Controls!$B$6</f>
        <v>2000</v>
      </c>
      <c r="N586" s="12">
        <f>IF(L586=0,0,SUMIFS('PSI Plan'!$N$6:$N$173,'PSI Plan'!$B$6:$B$173,B586,'PSI Plan'!$C$6:$C$173,I586))</f>
        <v>0</v>
      </c>
      <c r="O586" s="11">
        <f t="shared" si="18"/>
        <v>0</v>
      </c>
      <c r="P586" s="11">
        <f t="shared" si="19"/>
        <v>0</v>
      </c>
      <c r="Q586" s="6"/>
      <c r="R586" s="6"/>
      <c r="S586" s="6"/>
      <c r="T586" s="6"/>
    </row>
    <row r="587" spans="1:20">
      <c r="A587" s="6" t="s">
        <v>731</v>
      </c>
      <c r="B587" s="6" t="s">
        <v>66</v>
      </c>
      <c r="C587" s="6" t="s">
        <v>90</v>
      </c>
      <c r="D587" s="6" t="s">
        <v>119</v>
      </c>
      <c r="E587" s="6" t="s">
        <v>120</v>
      </c>
      <c r="F587" s="7">
        <v>4</v>
      </c>
      <c r="G587" s="7">
        <v>500</v>
      </c>
      <c r="H587" s="16">
        <v>45284</v>
      </c>
      <c r="I587" s="6">
        <v>52</v>
      </c>
      <c r="J587" s="6" t="s">
        <v>121</v>
      </c>
      <c r="K587" s="6" t="s">
        <v>139</v>
      </c>
      <c r="L587" s="11">
        <f>F587*Controls!$B$6</f>
        <v>4</v>
      </c>
      <c r="M587" s="11">
        <f>G587*Controls!$B$6</f>
        <v>500</v>
      </c>
      <c r="N587" s="12">
        <f>IF(L587=0,0,SUMIFS('PSI Plan'!$N$6:$N$173,'PSI Plan'!$B$6:$B$173,B587,'PSI Plan'!$C$6:$C$173,I587))</f>
        <v>0</v>
      </c>
      <c r="O587" s="11">
        <f t="shared" si="18"/>
        <v>0</v>
      </c>
      <c r="P587" s="11">
        <f t="shared" si="19"/>
        <v>0</v>
      </c>
      <c r="Q587" s="6"/>
      <c r="R587" s="6"/>
      <c r="S587" s="6"/>
      <c r="T587" s="6"/>
    </row>
    <row r="588" spans="1:20">
      <c r="A588" s="6" t="s">
        <v>732</v>
      </c>
      <c r="B588" s="6" t="s">
        <v>77</v>
      </c>
      <c r="C588" s="6" t="s">
        <v>90</v>
      </c>
      <c r="D588" s="6" t="s">
        <v>119</v>
      </c>
      <c r="E588" s="6" t="s">
        <v>120</v>
      </c>
      <c r="F588" s="7">
        <v>7</v>
      </c>
      <c r="G588" s="7">
        <v>875</v>
      </c>
      <c r="H588" s="16">
        <v>45262</v>
      </c>
      <c r="I588" s="6">
        <v>48</v>
      </c>
      <c r="J588" s="6" t="s">
        <v>121</v>
      </c>
      <c r="K588" s="6" t="s">
        <v>139</v>
      </c>
      <c r="L588" s="11">
        <f>F588*Controls!$B$6</f>
        <v>7</v>
      </c>
      <c r="M588" s="11">
        <f>G588*Controls!$B$6</f>
        <v>875</v>
      </c>
      <c r="N588" s="12">
        <f>IF(L588=0,0,SUMIFS('PSI Plan'!$N$6:$N$173,'PSI Plan'!$B$6:$B$173,B588,'PSI Plan'!$C$6:$C$173,I588))</f>
        <v>0</v>
      </c>
      <c r="O588" s="11">
        <f t="shared" si="18"/>
        <v>0</v>
      </c>
      <c r="P588" s="11">
        <f t="shared" si="19"/>
        <v>0</v>
      </c>
      <c r="Q588" s="6"/>
      <c r="R588" s="6"/>
      <c r="S588" s="6"/>
      <c r="T588" s="6"/>
    </row>
    <row r="589" spans="1:20">
      <c r="A589" s="6" t="s">
        <v>733</v>
      </c>
      <c r="B589" s="6" t="s">
        <v>76</v>
      </c>
      <c r="C589" s="6" t="s">
        <v>90</v>
      </c>
      <c r="D589" s="6" t="s">
        <v>119</v>
      </c>
      <c r="E589" s="6" t="s">
        <v>120</v>
      </c>
      <c r="F589" s="7">
        <v>2</v>
      </c>
      <c r="G589" s="7">
        <v>250</v>
      </c>
      <c r="H589" s="16">
        <v>45281</v>
      </c>
      <c r="I589" s="6">
        <v>51</v>
      </c>
      <c r="J589" s="6" t="s">
        <v>121</v>
      </c>
      <c r="K589" s="6" t="s">
        <v>139</v>
      </c>
      <c r="L589" s="11">
        <f>F589*Controls!$B$6</f>
        <v>2</v>
      </c>
      <c r="M589" s="11">
        <f>G589*Controls!$B$6</f>
        <v>250</v>
      </c>
      <c r="N589" s="12">
        <f>IF(L589=0,0,SUMIFS('PSI Plan'!$N$6:$N$173,'PSI Plan'!$B$6:$B$173,B589,'PSI Plan'!$C$6:$C$173,I589))</f>
        <v>0</v>
      </c>
      <c r="O589" s="11">
        <f t="shared" si="18"/>
        <v>0</v>
      </c>
      <c r="P589" s="11">
        <f t="shared" si="19"/>
        <v>0</v>
      </c>
      <c r="Q589" s="6"/>
      <c r="R589" s="6"/>
      <c r="S589" s="6"/>
      <c r="T589" s="6"/>
    </row>
    <row r="590" spans="1:20">
      <c r="A590" s="6" t="s">
        <v>734</v>
      </c>
      <c r="B590" s="6" t="s">
        <v>69</v>
      </c>
      <c r="C590" s="6" t="s">
        <v>90</v>
      </c>
      <c r="D590" s="6" t="s">
        <v>119</v>
      </c>
      <c r="E590" s="6" t="s">
        <v>120</v>
      </c>
      <c r="F590" s="7">
        <v>12</v>
      </c>
      <c r="G590" s="7">
        <v>1500</v>
      </c>
      <c r="H590" s="16">
        <v>45278</v>
      </c>
      <c r="I590" s="6">
        <v>51</v>
      </c>
      <c r="J590" s="6" t="s">
        <v>121</v>
      </c>
      <c r="K590" s="6" t="s">
        <v>139</v>
      </c>
      <c r="L590" s="11">
        <f>F590*Controls!$B$6</f>
        <v>12</v>
      </c>
      <c r="M590" s="11">
        <f>G590*Controls!$B$6</f>
        <v>1500</v>
      </c>
      <c r="N590" s="12">
        <f>IF(L590=0,0,SUMIFS('PSI Plan'!$N$6:$N$173,'PSI Plan'!$B$6:$B$173,B590,'PSI Plan'!$C$6:$C$173,I590))</f>
        <v>0</v>
      </c>
      <c r="O590" s="11">
        <f t="shared" si="18"/>
        <v>0</v>
      </c>
      <c r="P590" s="11">
        <f t="shared" si="19"/>
        <v>0</v>
      </c>
      <c r="Q590" s="6"/>
      <c r="R590" s="6"/>
      <c r="S590" s="6"/>
      <c r="T590" s="6"/>
    </row>
    <row r="591" spans="1:20">
      <c r="A591" s="6" t="s">
        <v>735</v>
      </c>
      <c r="B591" s="6" t="s">
        <v>77</v>
      </c>
      <c r="C591" s="6" t="s">
        <v>90</v>
      </c>
      <c r="D591" s="6" t="s">
        <v>119</v>
      </c>
      <c r="E591" s="6" t="s">
        <v>120</v>
      </c>
      <c r="F591" s="7">
        <v>19</v>
      </c>
      <c r="G591" s="7">
        <v>2375</v>
      </c>
      <c r="H591" s="16">
        <v>45244</v>
      </c>
      <c r="I591" s="6">
        <v>46</v>
      </c>
      <c r="J591" s="6" t="s">
        <v>121</v>
      </c>
      <c r="K591" s="6" t="s">
        <v>298</v>
      </c>
      <c r="L591" s="11">
        <f>F591*Controls!$B$6</f>
        <v>19</v>
      </c>
      <c r="M591" s="11">
        <f>G591*Controls!$B$6</f>
        <v>2375</v>
      </c>
      <c r="N591" s="12">
        <f>IF(L591=0,0,SUMIFS('PSI Plan'!$N$6:$N$173,'PSI Plan'!$B$6:$B$173,B591,'PSI Plan'!$C$6:$C$173,I591))</f>
        <v>0</v>
      </c>
      <c r="O591" s="11">
        <f t="shared" si="18"/>
        <v>0</v>
      </c>
      <c r="P591" s="11">
        <f t="shared" si="19"/>
        <v>0</v>
      </c>
      <c r="Q591" s="6"/>
      <c r="R591" s="6"/>
      <c r="S591" s="6"/>
      <c r="T591" s="6"/>
    </row>
    <row r="592" spans="1:20">
      <c r="A592" s="6" t="s">
        <v>736</v>
      </c>
      <c r="B592" s="6" t="s">
        <v>76</v>
      </c>
      <c r="C592" s="6" t="s">
        <v>90</v>
      </c>
      <c r="D592" s="6" t="s">
        <v>119</v>
      </c>
      <c r="E592" s="6" t="s">
        <v>120</v>
      </c>
      <c r="F592" s="7">
        <v>12</v>
      </c>
      <c r="G592" s="7">
        <v>1500</v>
      </c>
      <c r="H592" s="16">
        <v>45233</v>
      </c>
      <c r="I592" s="6">
        <v>44</v>
      </c>
      <c r="J592" s="6" t="s">
        <v>121</v>
      </c>
      <c r="K592" s="6" t="s">
        <v>298</v>
      </c>
      <c r="L592" s="11">
        <f>F592*Controls!$B$6</f>
        <v>12</v>
      </c>
      <c r="M592" s="11">
        <f>G592*Controls!$B$6</f>
        <v>1500</v>
      </c>
      <c r="N592" s="12">
        <f>IF(L592=0,0,SUMIFS('PSI Plan'!$N$6:$N$173,'PSI Plan'!$B$6:$B$173,B592,'PSI Plan'!$C$6:$C$173,I592))</f>
        <v>0</v>
      </c>
      <c r="O592" s="11">
        <f t="shared" si="18"/>
        <v>0</v>
      </c>
      <c r="P592" s="11">
        <f t="shared" si="19"/>
        <v>0</v>
      </c>
      <c r="Q592" s="6"/>
      <c r="R592" s="6"/>
      <c r="S592" s="6"/>
      <c r="T592" s="6"/>
    </row>
    <row r="593" spans="1:20">
      <c r="A593" s="6" t="s">
        <v>737</v>
      </c>
      <c r="B593" s="6" t="s">
        <v>66</v>
      </c>
      <c r="C593" s="6" t="s">
        <v>90</v>
      </c>
      <c r="D593" s="6" t="s">
        <v>119</v>
      </c>
      <c r="E593" s="6" t="s">
        <v>120</v>
      </c>
      <c r="F593" s="7">
        <v>52</v>
      </c>
      <c r="G593" s="7">
        <v>6500</v>
      </c>
      <c r="H593" s="16">
        <v>45247</v>
      </c>
      <c r="I593" s="6">
        <v>46</v>
      </c>
      <c r="J593" s="6" t="s">
        <v>121</v>
      </c>
      <c r="K593" s="6" t="s">
        <v>122</v>
      </c>
      <c r="L593" s="11">
        <f>F593*Controls!$B$6</f>
        <v>52</v>
      </c>
      <c r="M593" s="11">
        <f>G593*Controls!$B$6</f>
        <v>6500</v>
      </c>
      <c r="N593" s="12">
        <f>IF(L593=0,0,SUMIFS('PSI Plan'!$N$6:$N$173,'PSI Plan'!$B$6:$B$173,B593,'PSI Plan'!$C$6:$C$173,I593))</f>
        <v>0</v>
      </c>
      <c r="O593" s="11">
        <f t="shared" si="18"/>
        <v>0</v>
      </c>
      <c r="P593" s="11">
        <f t="shared" si="19"/>
        <v>0</v>
      </c>
      <c r="Q593" s="6"/>
      <c r="R593" s="6"/>
      <c r="S593" s="6"/>
      <c r="T593" s="6"/>
    </row>
    <row r="594" spans="1:20">
      <c r="A594" s="6" t="s">
        <v>738</v>
      </c>
      <c r="B594" s="6" t="s">
        <v>77</v>
      </c>
      <c r="C594" s="6" t="s">
        <v>90</v>
      </c>
      <c r="D594" s="6" t="s">
        <v>119</v>
      </c>
      <c r="E594" s="6" t="s">
        <v>120</v>
      </c>
      <c r="F594" s="7">
        <v>52</v>
      </c>
      <c r="G594" s="7">
        <v>6500</v>
      </c>
      <c r="H594" s="16">
        <v>45253</v>
      </c>
      <c r="I594" s="6">
        <v>47</v>
      </c>
      <c r="J594" s="6" t="s">
        <v>121</v>
      </c>
      <c r="K594" s="6" t="s">
        <v>122</v>
      </c>
      <c r="L594" s="11">
        <f>F594*Controls!$B$6</f>
        <v>52</v>
      </c>
      <c r="M594" s="11">
        <f>G594*Controls!$B$6</f>
        <v>6500</v>
      </c>
      <c r="N594" s="12">
        <f>IF(L594=0,0,SUMIFS('PSI Plan'!$N$6:$N$173,'PSI Plan'!$B$6:$B$173,B594,'PSI Plan'!$C$6:$C$173,I594))</f>
        <v>0</v>
      </c>
      <c r="O594" s="11">
        <f t="shared" si="18"/>
        <v>0</v>
      </c>
      <c r="P594" s="11">
        <f t="shared" si="19"/>
        <v>0</v>
      </c>
      <c r="Q594" s="6"/>
      <c r="R594" s="6"/>
      <c r="S594" s="6"/>
      <c r="T594" s="6"/>
    </row>
    <row r="595" spans="1:20">
      <c r="A595" s="6" t="s">
        <v>739</v>
      </c>
      <c r="B595" s="6" t="s">
        <v>76</v>
      </c>
      <c r="C595" s="6" t="s">
        <v>90</v>
      </c>
      <c r="D595" s="6" t="s">
        <v>119</v>
      </c>
      <c r="E595" s="6" t="s">
        <v>120</v>
      </c>
      <c r="F595" s="7">
        <v>26</v>
      </c>
      <c r="G595" s="7">
        <v>3250</v>
      </c>
      <c r="H595" s="16">
        <v>45208</v>
      </c>
      <c r="I595" s="6">
        <v>41</v>
      </c>
      <c r="J595" s="6" t="s">
        <v>121</v>
      </c>
      <c r="K595" s="6" t="s">
        <v>122</v>
      </c>
      <c r="L595" s="11">
        <f>F595*Controls!$B$6</f>
        <v>26</v>
      </c>
      <c r="M595" s="11">
        <f>G595*Controls!$B$6</f>
        <v>3250</v>
      </c>
      <c r="N595" s="12">
        <f>IF(L595=0,0,SUMIFS('PSI Plan'!$N$6:$N$173,'PSI Plan'!$B$6:$B$173,B595,'PSI Plan'!$C$6:$C$173,I595))</f>
        <v>0</v>
      </c>
      <c r="O595" s="11">
        <f t="shared" si="18"/>
        <v>0</v>
      </c>
      <c r="P595" s="11">
        <f t="shared" si="19"/>
        <v>0</v>
      </c>
      <c r="Q595" s="6"/>
      <c r="R595" s="6"/>
      <c r="S595" s="6"/>
      <c r="T595" s="6"/>
    </row>
    <row r="596" spans="1:20">
      <c r="A596" s="6" t="s">
        <v>740</v>
      </c>
      <c r="B596" s="6" t="s">
        <v>69</v>
      </c>
      <c r="C596" s="6" t="s">
        <v>90</v>
      </c>
      <c r="D596" s="6" t="s">
        <v>119</v>
      </c>
      <c r="E596" s="6" t="s">
        <v>120</v>
      </c>
      <c r="F596" s="7">
        <v>52</v>
      </c>
      <c r="G596" s="7">
        <v>6500</v>
      </c>
      <c r="H596" s="16">
        <v>45251</v>
      </c>
      <c r="I596" s="6">
        <v>47</v>
      </c>
      <c r="J596" s="6" t="s">
        <v>121</v>
      </c>
      <c r="K596" s="6" t="s">
        <v>122</v>
      </c>
      <c r="L596" s="11">
        <f>F596*Controls!$B$6</f>
        <v>52</v>
      </c>
      <c r="M596" s="11">
        <f>G596*Controls!$B$6</f>
        <v>6500</v>
      </c>
      <c r="N596" s="12">
        <f>IF(L596=0,0,SUMIFS('PSI Plan'!$N$6:$N$173,'PSI Plan'!$B$6:$B$173,B596,'PSI Plan'!$C$6:$C$173,I596))</f>
        <v>0</v>
      </c>
      <c r="O596" s="11">
        <f t="shared" si="18"/>
        <v>0</v>
      </c>
      <c r="P596" s="11">
        <f t="shared" si="19"/>
        <v>0</v>
      </c>
      <c r="Q596" s="6"/>
      <c r="R596" s="6"/>
      <c r="S596" s="6"/>
      <c r="T596" s="6"/>
    </row>
    <row r="597" spans="1:20">
      <c r="A597" s="6" t="s">
        <v>741</v>
      </c>
      <c r="B597" s="6" t="s">
        <v>66</v>
      </c>
      <c r="C597" s="6" t="s">
        <v>99</v>
      </c>
      <c r="D597" s="6" t="s">
        <v>319</v>
      </c>
      <c r="E597" s="6" t="s">
        <v>120</v>
      </c>
      <c r="F597" s="7">
        <v>52</v>
      </c>
      <c r="G597" s="7">
        <v>6500</v>
      </c>
      <c r="H597" s="16">
        <v>45205</v>
      </c>
      <c r="I597" s="6">
        <v>40</v>
      </c>
      <c r="J597" s="6" t="s">
        <v>121</v>
      </c>
      <c r="K597" s="6" t="s">
        <v>320</v>
      </c>
      <c r="L597" s="11">
        <f>F597*Controls!$B$6</f>
        <v>52</v>
      </c>
      <c r="M597" s="11">
        <f>G597*Controls!$B$6</f>
        <v>6500</v>
      </c>
      <c r="N597" s="12">
        <f>IF(L597=0,0,SUMIFS('PSI Plan'!$N$6:$N$173,'PSI Plan'!$B$6:$B$173,B597,'PSI Plan'!$C$6:$C$173,I597))</f>
        <v>0</v>
      </c>
      <c r="O597" s="11">
        <f t="shared" si="18"/>
        <v>0</v>
      </c>
      <c r="P597" s="11">
        <f t="shared" si="19"/>
        <v>0</v>
      </c>
      <c r="Q597" s="6"/>
      <c r="R597" s="6"/>
      <c r="S597" s="6"/>
      <c r="T597" s="6"/>
    </row>
    <row r="598" spans="1:20">
      <c r="A598" s="6" t="s">
        <v>742</v>
      </c>
      <c r="B598" s="6" t="s">
        <v>77</v>
      </c>
      <c r="C598" s="6" t="s">
        <v>99</v>
      </c>
      <c r="D598" s="6" t="s">
        <v>319</v>
      </c>
      <c r="E598" s="6" t="s">
        <v>120</v>
      </c>
      <c r="F598" s="7">
        <v>52</v>
      </c>
      <c r="G598" s="7">
        <v>6500</v>
      </c>
      <c r="H598" s="16">
        <v>45203</v>
      </c>
      <c r="I598" s="6">
        <v>40</v>
      </c>
      <c r="J598" s="6" t="s">
        <v>121</v>
      </c>
      <c r="K598" s="6" t="s">
        <v>320</v>
      </c>
      <c r="L598" s="11">
        <f>F598*Controls!$B$6</f>
        <v>52</v>
      </c>
      <c r="M598" s="11">
        <f>G598*Controls!$B$6</f>
        <v>6500</v>
      </c>
      <c r="N598" s="12">
        <f>IF(L598=0,0,SUMIFS('PSI Plan'!$N$6:$N$173,'PSI Plan'!$B$6:$B$173,B598,'PSI Plan'!$C$6:$C$173,I598))</f>
        <v>0</v>
      </c>
      <c r="O598" s="11">
        <f t="shared" si="18"/>
        <v>0</v>
      </c>
      <c r="P598" s="11">
        <f t="shared" si="19"/>
        <v>0</v>
      </c>
      <c r="Q598" s="6"/>
      <c r="R598" s="6"/>
      <c r="S598" s="6"/>
      <c r="T598" s="6"/>
    </row>
    <row r="599" spans="1:20">
      <c r="A599" s="6" t="s">
        <v>743</v>
      </c>
      <c r="B599" s="6" t="s">
        <v>69</v>
      </c>
      <c r="C599" s="6" t="s">
        <v>99</v>
      </c>
      <c r="D599" s="6" t="s">
        <v>319</v>
      </c>
      <c r="E599" s="6" t="s">
        <v>120</v>
      </c>
      <c r="F599" s="7">
        <v>52</v>
      </c>
      <c r="G599" s="7">
        <v>6500</v>
      </c>
      <c r="H599" s="16">
        <v>45223</v>
      </c>
      <c r="I599" s="6">
        <v>43</v>
      </c>
      <c r="J599" s="6" t="s">
        <v>121</v>
      </c>
      <c r="K599" s="6" t="s">
        <v>320</v>
      </c>
      <c r="L599" s="11">
        <f>F599*Controls!$B$6</f>
        <v>52</v>
      </c>
      <c r="M599" s="11">
        <f>G599*Controls!$B$6</f>
        <v>6500</v>
      </c>
      <c r="N599" s="12">
        <f>IF(L599=0,0,SUMIFS('PSI Plan'!$N$6:$N$173,'PSI Plan'!$B$6:$B$173,B599,'PSI Plan'!$C$6:$C$173,I599))</f>
        <v>0</v>
      </c>
      <c r="O599" s="11">
        <f t="shared" si="18"/>
        <v>0</v>
      </c>
      <c r="P599" s="11">
        <f t="shared" si="19"/>
        <v>0</v>
      </c>
      <c r="Q599" s="6"/>
      <c r="R599" s="6"/>
      <c r="S599" s="6"/>
      <c r="T599" s="6"/>
    </row>
    <row r="600" spans="1:20">
      <c r="A600" s="6" t="s">
        <v>744</v>
      </c>
      <c r="B600" s="6" t="s">
        <v>66</v>
      </c>
      <c r="C600" s="6" t="s">
        <v>99</v>
      </c>
      <c r="D600" s="6" t="s">
        <v>319</v>
      </c>
      <c r="E600" s="6" t="s">
        <v>120</v>
      </c>
      <c r="F600" s="7">
        <v>35</v>
      </c>
      <c r="G600" s="7">
        <v>4375</v>
      </c>
      <c r="H600" s="16">
        <v>45272</v>
      </c>
      <c r="I600" s="6">
        <v>50</v>
      </c>
      <c r="J600" s="6" t="s">
        <v>121</v>
      </c>
      <c r="K600" s="6" t="s">
        <v>459</v>
      </c>
      <c r="L600" s="11">
        <f>F600*Controls!$B$6</f>
        <v>35</v>
      </c>
      <c r="M600" s="11">
        <f>G600*Controls!$B$6</f>
        <v>4375</v>
      </c>
      <c r="N600" s="12">
        <f>IF(L600=0,0,SUMIFS('PSI Plan'!$N$6:$N$173,'PSI Plan'!$B$6:$B$173,B600,'PSI Plan'!$C$6:$C$173,I600))</f>
        <v>0</v>
      </c>
      <c r="O600" s="11">
        <f t="shared" si="18"/>
        <v>0</v>
      </c>
      <c r="P600" s="11">
        <f t="shared" si="19"/>
        <v>0</v>
      </c>
      <c r="Q600" s="6"/>
      <c r="R600" s="6"/>
      <c r="S600" s="6"/>
      <c r="T600" s="6"/>
    </row>
    <row r="601" spans="1:20">
      <c r="A601" s="6" t="s">
        <v>745</v>
      </c>
      <c r="B601" s="6" t="s">
        <v>77</v>
      </c>
      <c r="C601" s="6" t="s">
        <v>99</v>
      </c>
      <c r="D601" s="6" t="s">
        <v>319</v>
      </c>
      <c r="E601" s="6" t="s">
        <v>120</v>
      </c>
      <c r="F601" s="7">
        <v>107</v>
      </c>
      <c r="G601" s="7">
        <v>13375</v>
      </c>
      <c r="H601" s="16">
        <v>45263</v>
      </c>
      <c r="I601" s="6">
        <v>49</v>
      </c>
      <c r="J601" s="6" t="s">
        <v>121</v>
      </c>
      <c r="K601" s="6" t="s">
        <v>459</v>
      </c>
      <c r="L601" s="11">
        <f>F601*Controls!$B$6</f>
        <v>107</v>
      </c>
      <c r="M601" s="11">
        <f>G601*Controls!$B$6</f>
        <v>13375</v>
      </c>
      <c r="N601" s="12">
        <f>IF(L601=0,0,SUMIFS('PSI Plan'!$N$6:$N$173,'PSI Plan'!$B$6:$B$173,B601,'PSI Plan'!$C$6:$C$173,I601))</f>
        <v>0</v>
      </c>
      <c r="O601" s="11">
        <f t="shared" si="18"/>
        <v>0</v>
      </c>
      <c r="P601" s="11">
        <f t="shared" si="19"/>
        <v>0</v>
      </c>
      <c r="Q601" s="6"/>
      <c r="R601" s="6"/>
      <c r="S601" s="6"/>
      <c r="T601" s="6"/>
    </row>
    <row r="602" spans="1:20">
      <c r="A602" s="6" t="s">
        <v>746</v>
      </c>
      <c r="B602" s="6" t="s">
        <v>69</v>
      </c>
      <c r="C602" s="6" t="s">
        <v>99</v>
      </c>
      <c r="D602" s="6" t="s">
        <v>319</v>
      </c>
      <c r="E602" s="6" t="s">
        <v>120</v>
      </c>
      <c r="F602" s="7">
        <v>104</v>
      </c>
      <c r="G602" s="7">
        <v>13000</v>
      </c>
      <c r="H602" s="16">
        <v>45242</v>
      </c>
      <c r="I602" s="6">
        <v>46</v>
      </c>
      <c r="J602" s="6" t="s">
        <v>121</v>
      </c>
      <c r="K602" s="6" t="s">
        <v>459</v>
      </c>
      <c r="L602" s="11">
        <f>F602*Controls!$B$6</f>
        <v>104</v>
      </c>
      <c r="M602" s="11">
        <f>G602*Controls!$B$6</f>
        <v>13000</v>
      </c>
      <c r="N602" s="12">
        <f>IF(L602=0,0,SUMIFS('PSI Plan'!$N$6:$N$173,'PSI Plan'!$B$6:$B$173,B602,'PSI Plan'!$C$6:$C$173,I602))</f>
        <v>0</v>
      </c>
      <c r="O602" s="11">
        <f t="shared" si="18"/>
        <v>0</v>
      </c>
      <c r="P602" s="11">
        <f t="shared" si="19"/>
        <v>0</v>
      </c>
      <c r="Q602" s="6"/>
      <c r="R602" s="6"/>
      <c r="S602" s="6"/>
      <c r="T602" s="6"/>
    </row>
    <row r="603" spans="1:20">
      <c r="A603" s="6" t="s">
        <v>747</v>
      </c>
      <c r="B603" s="6" t="s">
        <v>66</v>
      </c>
      <c r="C603" s="6" t="s">
        <v>99</v>
      </c>
      <c r="D603" s="6" t="s">
        <v>319</v>
      </c>
      <c r="E603" s="6" t="s">
        <v>120</v>
      </c>
      <c r="F603" s="7">
        <v>70</v>
      </c>
      <c r="G603" s="7">
        <v>8750</v>
      </c>
      <c r="H603" s="16">
        <v>45237</v>
      </c>
      <c r="I603" s="6">
        <v>45</v>
      </c>
      <c r="J603" s="6" t="s">
        <v>121</v>
      </c>
      <c r="K603" s="6" t="s">
        <v>324</v>
      </c>
      <c r="L603" s="11">
        <f>F603*Controls!$B$6</f>
        <v>70</v>
      </c>
      <c r="M603" s="11">
        <f>G603*Controls!$B$6</f>
        <v>8750</v>
      </c>
      <c r="N603" s="12">
        <f>IF(L603=0,0,SUMIFS('PSI Plan'!$N$6:$N$173,'PSI Plan'!$B$6:$B$173,B603,'PSI Plan'!$C$6:$C$173,I603))</f>
        <v>0</v>
      </c>
      <c r="O603" s="11">
        <f t="shared" si="18"/>
        <v>0</v>
      </c>
      <c r="P603" s="11">
        <f t="shared" si="19"/>
        <v>0</v>
      </c>
      <c r="Q603" s="6"/>
      <c r="R603" s="6"/>
      <c r="S603" s="6"/>
      <c r="T603" s="6"/>
    </row>
    <row r="604" spans="1:20">
      <c r="A604" s="6" t="s">
        <v>748</v>
      </c>
      <c r="B604" s="6" t="s">
        <v>77</v>
      </c>
      <c r="C604" s="6" t="s">
        <v>99</v>
      </c>
      <c r="D604" s="6" t="s">
        <v>319</v>
      </c>
      <c r="E604" s="6" t="s">
        <v>120</v>
      </c>
      <c r="F604" s="7">
        <v>52</v>
      </c>
      <c r="G604" s="7">
        <v>6500</v>
      </c>
      <c r="H604" s="16">
        <v>45289</v>
      </c>
      <c r="I604" s="6">
        <v>52</v>
      </c>
      <c r="J604" s="6" t="s">
        <v>121</v>
      </c>
      <c r="K604" s="6" t="s">
        <v>324</v>
      </c>
      <c r="L604" s="11">
        <f>F604*Controls!$B$6</f>
        <v>52</v>
      </c>
      <c r="M604" s="11">
        <f>G604*Controls!$B$6</f>
        <v>6500</v>
      </c>
      <c r="N604" s="12">
        <f>IF(L604=0,0,SUMIFS('PSI Plan'!$N$6:$N$173,'PSI Plan'!$B$6:$B$173,B604,'PSI Plan'!$C$6:$C$173,I604))</f>
        <v>0</v>
      </c>
      <c r="O604" s="11">
        <f t="shared" si="18"/>
        <v>0</v>
      </c>
      <c r="P604" s="11">
        <f t="shared" si="19"/>
        <v>0</v>
      </c>
      <c r="Q604" s="6"/>
      <c r="R604" s="6"/>
      <c r="S604" s="6"/>
      <c r="T604" s="6"/>
    </row>
    <row r="605" spans="1:20">
      <c r="A605" s="6" t="s">
        <v>749</v>
      </c>
      <c r="B605" s="6" t="s">
        <v>69</v>
      </c>
      <c r="C605" s="6" t="s">
        <v>99</v>
      </c>
      <c r="D605" s="6" t="s">
        <v>319</v>
      </c>
      <c r="E605" s="6" t="s">
        <v>120</v>
      </c>
      <c r="F605" s="7">
        <v>104</v>
      </c>
      <c r="G605" s="7">
        <v>13000</v>
      </c>
      <c r="H605" s="16">
        <v>45216</v>
      </c>
      <c r="I605" s="6">
        <v>42</v>
      </c>
      <c r="J605" s="6" t="s">
        <v>121</v>
      </c>
      <c r="K605" s="6" t="s">
        <v>324</v>
      </c>
      <c r="L605" s="11">
        <f>F605*Controls!$B$6</f>
        <v>104</v>
      </c>
      <c r="M605" s="11">
        <f>G605*Controls!$B$6</f>
        <v>13000</v>
      </c>
      <c r="N605" s="12">
        <f>IF(L605=0,0,SUMIFS('PSI Plan'!$N$6:$N$173,'PSI Plan'!$B$6:$B$173,B605,'PSI Plan'!$C$6:$C$173,I605))</f>
        <v>0</v>
      </c>
      <c r="O605" s="11">
        <f t="shared" si="18"/>
        <v>0</v>
      </c>
      <c r="P605" s="11">
        <f t="shared" si="19"/>
        <v>0</v>
      </c>
      <c r="Q605" s="6"/>
      <c r="R605" s="6"/>
      <c r="S605" s="6"/>
      <c r="T605" s="6"/>
    </row>
    <row r="606" spans="1:20">
      <c r="A606" s="6" t="s">
        <v>750</v>
      </c>
      <c r="B606" s="6" t="s">
        <v>66</v>
      </c>
      <c r="C606" s="6" t="s">
        <v>99</v>
      </c>
      <c r="D606" s="6" t="s">
        <v>319</v>
      </c>
      <c r="E606" s="6" t="s">
        <v>120</v>
      </c>
      <c r="F606" s="7">
        <v>48</v>
      </c>
      <c r="G606" s="7">
        <v>6000</v>
      </c>
      <c r="H606" s="16">
        <v>45265</v>
      </c>
      <c r="I606" s="6">
        <v>49</v>
      </c>
      <c r="J606" s="6" t="s">
        <v>121</v>
      </c>
      <c r="K606" s="6" t="s">
        <v>361</v>
      </c>
      <c r="L606" s="11">
        <f>F606*Controls!$B$6</f>
        <v>48</v>
      </c>
      <c r="M606" s="11">
        <f>G606*Controls!$B$6</f>
        <v>6000</v>
      </c>
      <c r="N606" s="12">
        <f>IF(L606=0,0,SUMIFS('PSI Plan'!$N$6:$N$173,'PSI Plan'!$B$6:$B$173,B606,'PSI Plan'!$C$6:$C$173,I606))</f>
        <v>0</v>
      </c>
      <c r="O606" s="11">
        <f t="shared" si="18"/>
        <v>0</v>
      </c>
      <c r="P606" s="11">
        <f t="shared" si="19"/>
        <v>0</v>
      </c>
      <c r="Q606" s="6"/>
      <c r="R606" s="6"/>
      <c r="S606" s="6"/>
      <c r="T606" s="6"/>
    </row>
    <row r="607" spans="1:20">
      <c r="A607" s="6" t="s">
        <v>751</v>
      </c>
      <c r="B607" s="6" t="s">
        <v>77</v>
      </c>
      <c r="C607" s="6" t="s">
        <v>99</v>
      </c>
      <c r="D607" s="6" t="s">
        <v>319</v>
      </c>
      <c r="E607" s="6" t="s">
        <v>120</v>
      </c>
      <c r="F607" s="7">
        <v>38</v>
      </c>
      <c r="G607" s="7">
        <v>4750</v>
      </c>
      <c r="H607" s="16">
        <v>45208</v>
      </c>
      <c r="I607" s="6">
        <v>41</v>
      </c>
      <c r="J607" s="6" t="s">
        <v>121</v>
      </c>
      <c r="K607" s="6" t="s">
        <v>361</v>
      </c>
      <c r="L607" s="11">
        <f>F607*Controls!$B$6</f>
        <v>38</v>
      </c>
      <c r="M607" s="11">
        <f>G607*Controls!$B$6</f>
        <v>4750</v>
      </c>
      <c r="N607" s="12">
        <f>IF(L607=0,0,SUMIFS('PSI Plan'!$N$6:$N$173,'PSI Plan'!$B$6:$B$173,B607,'PSI Plan'!$C$6:$C$173,I607))</f>
        <v>0</v>
      </c>
      <c r="O607" s="11">
        <f t="shared" si="18"/>
        <v>0</v>
      </c>
      <c r="P607" s="11">
        <f t="shared" si="19"/>
        <v>0</v>
      </c>
      <c r="Q607" s="6"/>
      <c r="R607" s="6"/>
      <c r="S607" s="6"/>
      <c r="T607" s="6"/>
    </row>
    <row r="608" spans="1:20">
      <c r="A608" s="6" t="s">
        <v>752</v>
      </c>
      <c r="B608" s="6" t="s">
        <v>69</v>
      </c>
      <c r="C608" s="6" t="s">
        <v>99</v>
      </c>
      <c r="D608" s="6" t="s">
        <v>319</v>
      </c>
      <c r="E608" s="6" t="s">
        <v>120</v>
      </c>
      <c r="F608" s="7">
        <v>52</v>
      </c>
      <c r="G608" s="7">
        <v>6500</v>
      </c>
      <c r="H608" s="16">
        <v>45242</v>
      </c>
      <c r="I608" s="6">
        <v>46</v>
      </c>
      <c r="J608" s="6" t="s">
        <v>121</v>
      </c>
      <c r="K608" s="6" t="s">
        <v>361</v>
      </c>
      <c r="L608" s="11">
        <f>F608*Controls!$B$6</f>
        <v>52</v>
      </c>
      <c r="M608" s="11">
        <f>G608*Controls!$B$6</f>
        <v>6500</v>
      </c>
      <c r="N608" s="12">
        <f>IF(L608=0,0,SUMIFS('PSI Plan'!$N$6:$N$173,'PSI Plan'!$B$6:$B$173,B608,'PSI Plan'!$C$6:$C$173,I608))</f>
        <v>0</v>
      </c>
      <c r="O608" s="11">
        <f t="shared" si="18"/>
        <v>0</v>
      </c>
      <c r="P608" s="11">
        <f t="shared" si="19"/>
        <v>0</v>
      </c>
      <c r="Q608" s="6"/>
      <c r="R608" s="6"/>
      <c r="S608" s="6"/>
      <c r="T608" s="6"/>
    </row>
    <row r="609" spans="1:20">
      <c r="A609" s="6" t="s">
        <v>753</v>
      </c>
      <c r="B609" s="6" t="s">
        <v>66</v>
      </c>
      <c r="C609" s="6" t="s">
        <v>99</v>
      </c>
      <c r="D609" s="6" t="s">
        <v>319</v>
      </c>
      <c r="E609" s="6" t="s">
        <v>120</v>
      </c>
      <c r="F609" s="7">
        <v>156</v>
      </c>
      <c r="G609" s="7">
        <v>19500</v>
      </c>
      <c r="H609" s="16">
        <v>45251</v>
      </c>
      <c r="I609" s="6">
        <v>47</v>
      </c>
      <c r="J609" s="6" t="s">
        <v>121</v>
      </c>
      <c r="K609" s="6" t="s">
        <v>344</v>
      </c>
      <c r="L609" s="11">
        <f>F609*Controls!$B$6</f>
        <v>156</v>
      </c>
      <c r="M609" s="11">
        <f>G609*Controls!$B$6</f>
        <v>19500</v>
      </c>
      <c r="N609" s="12">
        <f>IF(L609=0,0,SUMIFS('PSI Plan'!$N$6:$N$173,'PSI Plan'!$B$6:$B$173,B609,'PSI Plan'!$C$6:$C$173,I609))</f>
        <v>0</v>
      </c>
      <c r="O609" s="11">
        <f t="shared" si="18"/>
        <v>0</v>
      </c>
      <c r="P609" s="11">
        <f t="shared" si="19"/>
        <v>0</v>
      </c>
      <c r="Q609" s="6"/>
      <c r="R609" s="6"/>
      <c r="S609" s="6"/>
      <c r="T609" s="6"/>
    </row>
    <row r="610" spans="1:20">
      <c r="A610" s="6" t="s">
        <v>754</v>
      </c>
      <c r="B610" s="6" t="s">
        <v>77</v>
      </c>
      <c r="C610" s="6" t="s">
        <v>99</v>
      </c>
      <c r="D610" s="6" t="s">
        <v>319</v>
      </c>
      <c r="E610" s="6" t="s">
        <v>120</v>
      </c>
      <c r="F610" s="7">
        <v>156</v>
      </c>
      <c r="G610" s="7">
        <v>19500</v>
      </c>
      <c r="H610" s="16">
        <v>45218</v>
      </c>
      <c r="I610" s="6">
        <v>42</v>
      </c>
      <c r="J610" s="6" t="s">
        <v>121</v>
      </c>
      <c r="K610" s="6" t="s">
        <v>344</v>
      </c>
      <c r="L610" s="11">
        <f>F610*Controls!$B$6</f>
        <v>156</v>
      </c>
      <c r="M610" s="11">
        <f>G610*Controls!$B$6</f>
        <v>19500</v>
      </c>
      <c r="N610" s="12">
        <f>IF(L610=0,0,SUMIFS('PSI Plan'!$N$6:$N$173,'PSI Plan'!$B$6:$B$173,B610,'PSI Plan'!$C$6:$C$173,I610))</f>
        <v>0</v>
      </c>
      <c r="O610" s="11">
        <f t="shared" si="18"/>
        <v>0</v>
      </c>
      <c r="P610" s="11">
        <f t="shared" si="19"/>
        <v>0</v>
      </c>
      <c r="Q610" s="6"/>
      <c r="R610" s="6"/>
      <c r="S610" s="6"/>
      <c r="T610" s="6"/>
    </row>
    <row r="611" spans="1:20">
      <c r="A611" s="6" t="s">
        <v>755</v>
      </c>
      <c r="B611" s="6" t="s">
        <v>69</v>
      </c>
      <c r="C611" s="6" t="s">
        <v>99</v>
      </c>
      <c r="D611" s="6" t="s">
        <v>319</v>
      </c>
      <c r="E611" s="6" t="s">
        <v>120</v>
      </c>
      <c r="F611" s="7">
        <v>156</v>
      </c>
      <c r="G611" s="7">
        <v>19500</v>
      </c>
      <c r="H611" s="16">
        <v>45209</v>
      </c>
      <c r="I611" s="6">
        <v>41</v>
      </c>
      <c r="J611" s="6" t="s">
        <v>121</v>
      </c>
      <c r="K611" s="6" t="s">
        <v>344</v>
      </c>
      <c r="L611" s="11">
        <f>F611*Controls!$B$6</f>
        <v>156</v>
      </c>
      <c r="M611" s="11">
        <f>G611*Controls!$B$6</f>
        <v>19500</v>
      </c>
      <c r="N611" s="12">
        <f>IF(L611=0,0,SUMIFS('PSI Plan'!$N$6:$N$173,'PSI Plan'!$B$6:$B$173,B611,'PSI Plan'!$C$6:$C$173,I611))</f>
        <v>0</v>
      </c>
      <c r="O611" s="11">
        <f t="shared" si="18"/>
        <v>0</v>
      </c>
      <c r="P611" s="11">
        <f t="shared" si="19"/>
        <v>0</v>
      </c>
      <c r="Q611" s="6"/>
      <c r="R611" s="6"/>
      <c r="S611" s="6"/>
      <c r="T611" s="6"/>
    </row>
    <row r="612" spans="1:20">
      <c r="A612" s="6" t="s">
        <v>756</v>
      </c>
      <c r="B612" s="6" t="s">
        <v>77</v>
      </c>
      <c r="C612" s="6" t="s">
        <v>90</v>
      </c>
      <c r="D612" s="6" t="s">
        <v>119</v>
      </c>
      <c r="E612" s="6" t="s">
        <v>120</v>
      </c>
      <c r="F612" s="7">
        <v>26</v>
      </c>
      <c r="G612" s="7">
        <v>3250</v>
      </c>
      <c r="H612" s="16">
        <v>45245</v>
      </c>
      <c r="I612" s="6">
        <v>46</v>
      </c>
      <c r="J612" s="6" t="s">
        <v>121</v>
      </c>
      <c r="K612" s="6" t="s">
        <v>171</v>
      </c>
      <c r="L612" s="11">
        <f>F612*Controls!$B$6</f>
        <v>26</v>
      </c>
      <c r="M612" s="11">
        <f>G612*Controls!$B$6</f>
        <v>3250</v>
      </c>
      <c r="N612" s="12">
        <f>IF(L612=0,0,SUMIFS('PSI Plan'!$N$6:$N$173,'PSI Plan'!$B$6:$B$173,B612,'PSI Plan'!$C$6:$C$173,I612))</f>
        <v>0</v>
      </c>
      <c r="O612" s="11">
        <f t="shared" si="18"/>
        <v>0</v>
      </c>
      <c r="P612" s="11">
        <f t="shared" si="19"/>
        <v>0</v>
      </c>
      <c r="Q612" s="6"/>
      <c r="R612" s="6"/>
      <c r="S612" s="6"/>
      <c r="T612" s="6"/>
    </row>
    <row r="613" spans="1:20">
      <c r="A613" s="6" t="s">
        <v>757</v>
      </c>
      <c r="B613" s="6" t="s">
        <v>69</v>
      </c>
      <c r="C613" s="6" t="s">
        <v>90</v>
      </c>
      <c r="D613" s="6" t="s">
        <v>119</v>
      </c>
      <c r="E613" s="6" t="s">
        <v>120</v>
      </c>
      <c r="F613" s="7">
        <v>26</v>
      </c>
      <c r="G613" s="7">
        <v>3250</v>
      </c>
      <c r="H613" s="16">
        <v>45252</v>
      </c>
      <c r="I613" s="6">
        <v>47</v>
      </c>
      <c r="J613" s="6" t="s">
        <v>121</v>
      </c>
      <c r="K613" s="6" t="s">
        <v>171</v>
      </c>
      <c r="L613" s="11">
        <f>F613*Controls!$B$6</f>
        <v>26</v>
      </c>
      <c r="M613" s="11">
        <f>G613*Controls!$B$6</f>
        <v>3250</v>
      </c>
      <c r="N613" s="12">
        <f>IF(L613=0,0,SUMIFS('PSI Plan'!$N$6:$N$173,'PSI Plan'!$B$6:$B$173,B613,'PSI Plan'!$C$6:$C$173,I613))</f>
        <v>0</v>
      </c>
      <c r="O613" s="11">
        <f t="shared" si="18"/>
        <v>0</v>
      </c>
      <c r="P613" s="11">
        <f t="shared" si="19"/>
        <v>0</v>
      </c>
      <c r="Q613" s="6"/>
      <c r="R613" s="6"/>
      <c r="S613" s="6"/>
      <c r="T613" s="6"/>
    </row>
    <row r="614" spans="1:20">
      <c r="A614" s="6" t="s">
        <v>758</v>
      </c>
      <c r="B614" s="6" t="s">
        <v>66</v>
      </c>
      <c r="C614" s="6" t="s">
        <v>90</v>
      </c>
      <c r="D614" s="6" t="s">
        <v>119</v>
      </c>
      <c r="E614" s="6" t="s">
        <v>120</v>
      </c>
      <c r="F614" s="7">
        <v>7</v>
      </c>
      <c r="G614" s="7">
        <v>875</v>
      </c>
      <c r="H614" s="16">
        <v>45223</v>
      </c>
      <c r="I614" s="6">
        <v>43</v>
      </c>
      <c r="J614" s="6" t="s">
        <v>121</v>
      </c>
      <c r="K614" s="6" t="s">
        <v>135</v>
      </c>
      <c r="L614" s="11">
        <f>F614*Controls!$B$6</f>
        <v>7</v>
      </c>
      <c r="M614" s="11">
        <f>G614*Controls!$B$6</f>
        <v>875</v>
      </c>
      <c r="N614" s="12">
        <f>IF(L614=0,0,SUMIFS('PSI Plan'!$N$6:$N$173,'PSI Plan'!$B$6:$B$173,B614,'PSI Plan'!$C$6:$C$173,I614))</f>
        <v>0</v>
      </c>
      <c r="O614" s="11">
        <f t="shared" si="18"/>
        <v>0</v>
      </c>
      <c r="P614" s="11">
        <f t="shared" si="19"/>
        <v>0</v>
      </c>
      <c r="Q614" s="6"/>
      <c r="R614" s="6"/>
      <c r="S614" s="6"/>
      <c r="T614" s="6"/>
    </row>
    <row r="615" spans="1:20">
      <c r="A615" s="6" t="s">
        <v>759</v>
      </c>
      <c r="B615" s="6" t="s">
        <v>77</v>
      </c>
      <c r="C615" s="6" t="s">
        <v>90</v>
      </c>
      <c r="D615" s="6" t="s">
        <v>119</v>
      </c>
      <c r="E615" s="6" t="s">
        <v>120</v>
      </c>
      <c r="F615" s="7">
        <v>5</v>
      </c>
      <c r="G615" s="7">
        <v>625</v>
      </c>
      <c r="H615" s="16">
        <v>45233</v>
      </c>
      <c r="I615" s="6">
        <v>44</v>
      </c>
      <c r="J615" s="6" t="s">
        <v>121</v>
      </c>
      <c r="K615" s="6" t="s">
        <v>725</v>
      </c>
      <c r="L615" s="11">
        <f>F615*Controls!$B$6</f>
        <v>5</v>
      </c>
      <c r="M615" s="11">
        <f>G615*Controls!$B$6</f>
        <v>625</v>
      </c>
      <c r="N615" s="12">
        <f>IF(L615=0,0,SUMIFS('PSI Plan'!$N$6:$N$173,'PSI Plan'!$B$6:$B$173,B615,'PSI Plan'!$C$6:$C$173,I615))</f>
        <v>0</v>
      </c>
      <c r="O615" s="11">
        <f t="shared" si="18"/>
        <v>0</v>
      </c>
      <c r="P615" s="11">
        <f t="shared" si="19"/>
        <v>0</v>
      </c>
      <c r="Q615" s="6"/>
      <c r="R615" s="6"/>
      <c r="S615" s="6"/>
      <c r="T615" s="6"/>
    </row>
    <row r="616" spans="1:20">
      <c r="A616" s="6" t="s">
        <v>760</v>
      </c>
      <c r="B616" s="6" t="s">
        <v>77</v>
      </c>
      <c r="C616" s="6" t="s">
        <v>90</v>
      </c>
      <c r="D616" s="6" t="s">
        <v>119</v>
      </c>
      <c r="E616" s="6" t="s">
        <v>120</v>
      </c>
      <c r="F616" s="7">
        <v>4</v>
      </c>
      <c r="G616" s="7">
        <v>500</v>
      </c>
      <c r="H616" s="16">
        <v>45222</v>
      </c>
      <c r="I616" s="6">
        <v>43</v>
      </c>
      <c r="J616" s="6" t="s">
        <v>121</v>
      </c>
      <c r="K616" s="6" t="s">
        <v>132</v>
      </c>
      <c r="L616" s="11">
        <f>F616*Controls!$B$6</f>
        <v>4</v>
      </c>
      <c r="M616" s="11">
        <f>G616*Controls!$B$6</f>
        <v>500</v>
      </c>
      <c r="N616" s="12">
        <f>IF(L616=0,0,SUMIFS('PSI Plan'!$N$6:$N$173,'PSI Plan'!$B$6:$B$173,B616,'PSI Plan'!$C$6:$C$173,I616))</f>
        <v>0</v>
      </c>
      <c r="O616" s="11">
        <f t="shared" si="18"/>
        <v>0</v>
      </c>
      <c r="P616" s="11">
        <f t="shared" si="19"/>
        <v>0</v>
      </c>
      <c r="Q616" s="6"/>
      <c r="R616" s="6"/>
      <c r="S616" s="6"/>
      <c r="T616" s="6"/>
    </row>
    <row r="617" spans="1:20">
      <c r="A617" s="6" t="s">
        <v>761</v>
      </c>
      <c r="B617" s="6" t="s">
        <v>69</v>
      </c>
      <c r="C617" s="6" t="s">
        <v>90</v>
      </c>
      <c r="D617" s="6" t="s">
        <v>119</v>
      </c>
      <c r="E617" s="6" t="s">
        <v>120</v>
      </c>
      <c r="F617" s="7">
        <v>16</v>
      </c>
      <c r="G617" s="7">
        <v>2000</v>
      </c>
      <c r="H617" s="16">
        <v>45205</v>
      </c>
      <c r="I617" s="6">
        <v>40</v>
      </c>
      <c r="J617" s="6" t="s">
        <v>121</v>
      </c>
      <c r="K617" s="6" t="s">
        <v>132</v>
      </c>
      <c r="L617" s="11">
        <f>F617*Controls!$B$6</f>
        <v>16</v>
      </c>
      <c r="M617" s="11">
        <f>G617*Controls!$B$6</f>
        <v>2000</v>
      </c>
      <c r="N617" s="12">
        <f>IF(L617=0,0,SUMIFS('PSI Plan'!$N$6:$N$173,'PSI Plan'!$B$6:$B$173,B617,'PSI Plan'!$C$6:$C$173,I617))</f>
        <v>0</v>
      </c>
      <c r="O617" s="11">
        <f t="shared" si="18"/>
        <v>0</v>
      </c>
      <c r="P617" s="11">
        <f t="shared" si="19"/>
        <v>0</v>
      </c>
      <c r="Q617" s="6"/>
      <c r="R617" s="6"/>
      <c r="S617" s="6"/>
      <c r="T617" s="6"/>
    </row>
    <row r="618" spans="1:20">
      <c r="A618" s="6" t="s">
        <v>762</v>
      </c>
      <c r="B618" s="6" t="s">
        <v>66</v>
      </c>
      <c r="C618" s="6" t="s">
        <v>90</v>
      </c>
      <c r="D618" s="6" t="s">
        <v>119</v>
      </c>
      <c r="E618" s="6" t="s">
        <v>120</v>
      </c>
      <c r="F618" s="7">
        <v>4</v>
      </c>
      <c r="G618" s="7">
        <v>500</v>
      </c>
      <c r="H618" s="16">
        <v>45206</v>
      </c>
      <c r="I618" s="6">
        <v>40</v>
      </c>
      <c r="J618" s="6" t="s">
        <v>121</v>
      </c>
      <c r="K618" s="6" t="s">
        <v>298</v>
      </c>
      <c r="L618" s="11">
        <f>F618*Controls!$B$6</f>
        <v>4</v>
      </c>
      <c r="M618" s="11">
        <f>G618*Controls!$B$6</f>
        <v>500</v>
      </c>
      <c r="N618" s="12">
        <f>IF(L618=0,0,SUMIFS('PSI Plan'!$N$6:$N$173,'PSI Plan'!$B$6:$B$173,B618,'PSI Plan'!$C$6:$C$173,I618))</f>
        <v>0</v>
      </c>
      <c r="O618" s="11">
        <f t="shared" si="18"/>
        <v>0</v>
      </c>
      <c r="P618" s="11">
        <f t="shared" si="19"/>
        <v>0</v>
      </c>
      <c r="Q618" s="6"/>
      <c r="R618" s="6"/>
      <c r="S618" s="6"/>
      <c r="T618" s="6"/>
    </row>
    <row r="619" spans="1:20">
      <c r="A619" s="6" t="s">
        <v>763</v>
      </c>
      <c r="B619" s="6" t="s">
        <v>77</v>
      </c>
      <c r="C619" s="6" t="s">
        <v>90</v>
      </c>
      <c r="D619" s="6" t="s">
        <v>119</v>
      </c>
      <c r="E619" s="6" t="s">
        <v>120</v>
      </c>
      <c r="F619" s="7">
        <v>17</v>
      </c>
      <c r="G619" s="7">
        <v>2125</v>
      </c>
      <c r="H619" s="16">
        <v>45255</v>
      </c>
      <c r="I619" s="6">
        <v>47</v>
      </c>
      <c r="J619" s="6" t="s">
        <v>121</v>
      </c>
      <c r="K619" s="6" t="s">
        <v>298</v>
      </c>
      <c r="L619" s="11">
        <f>F619*Controls!$B$6</f>
        <v>17</v>
      </c>
      <c r="M619" s="11">
        <f>G619*Controls!$B$6</f>
        <v>2125</v>
      </c>
      <c r="N619" s="12">
        <f>IF(L619=0,0,SUMIFS('PSI Plan'!$N$6:$N$173,'PSI Plan'!$B$6:$B$173,B619,'PSI Plan'!$C$6:$C$173,I619))</f>
        <v>0</v>
      </c>
      <c r="O619" s="11">
        <f t="shared" si="18"/>
        <v>0</v>
      </c>
      <c r="P619" s="11">
        <f t="shared" si="19"/>
        <v>0</v>
      </c>
      <c r="Q619" s="6"/>
      <c r="R619" s="6"/>
      <c r="S619" s="6"/>
      <c r="T619" s="6"/>
    </row>
    <row r="620" spans="1:20">
      <c r="A620" s="6" t="s">
        <v>764</v>
      </c>
      <c r="B620" s="6" t="s">
        <v>76</v>
      </c>
      <c r="C620" s="6" t="s">
        <v>90</v>
      </c>
      <c r="D620" s="6" t="s">
        <v>119</v>
      </c>
      <c r="E620" s="6" t="s">
        <v>120</v>
      </c>
      <c r="F620" s="7">
        <v>9</v>
      </c>
      <c r="G620" s="7">
        <v>1125</v>
      </c>
      <c r="H620" s="16">
        <v>45211</v>
      </c>
      <c r="I620" s="6">
        <v>41</v>
      </c>
      <c r="J620" s="6" t="s">
        <v>121</v>
      </c>
      <c r="K620" s="6" t="s">
        <v>298</v>
      </c>
      <c r="L620" s="11">
        <f>F620*Controls!$B$6</f>
        <v>9</v>
      </c>
      <c r="M620" s="11">
        <f>G620*Controls!$B$6</f>
        <v>1125</v>
      </c>
      <c r="N620" s="12">
        <f>IF(L620=0,0,SUMIFS('PSI Plan'!$N$6:$N$173,'PSI Plan'!$B$6:$B$173,B620,'PSI Plan'!$C$6:$C$173,I620))</f>
        <v>0</v>
      </c>
      <c r="O620" s="11">
        <f t="shared" si="18"/>
        <v>0</v>
      </c>
      <c r="P620" s="11">
        <f t="shared" si="19"/>
        <v>0</v>
      </c>
      <c r="Q620" s="6"/>
      <c r="R620" s="6"/>
      <c r="S620" s="6"/>
      <c r="T620" s="6"/>
    </row>
    <row r="621" spans="1:20">
      <c r="A621" s="6" t="s">
        <v>765</v>
      </c>
      <c r="B621" s="6" t="s">
        <v>69</v>
      </c>
      <c r="C621" s="6" t="s">
        <v>90</v>
      </c>
      <c r="D621" s="6" t="s">
        <v>119</v>
      </c>
      <c r="E621" s="6" t="s">
        <v>120</v>
      </c>
      <c r="F621" s="7">
        <v>3</v>
      </c>
      <c r="G621" s="7">
        <v>375</v>
      </c>
      <c r="H621" s="16">
        <v>45284</v>
      </c>
      <c r="I621" s="6">
        <v>52</v>
      </c>
      <c r="J621" s="6" t="s">
        <v>121</v>
      </c>
      <c r="K621" s="6" t="s">
        <v>298</v>
      </c>
      <c r="L621" s="11">
        <f>F621*Controls!$B$6</f>
        <v>3</v>
      </c>
      <c r="M621" s="11">
        <f>G621*Controls!$B$6</f>
        <v>375</v>
      </c>
      <c r="N621" s="12">
        <f>IF(L621=0,0,SUMIFS('PSI Plan'!$N$6:$N$173,'PSI Plan'!$B$6:$B$173,B621,'PSI Plan'!$C$6:$C$173,I621))</f>
        <v>0</v>
      </c>
      <c r="O621" s="11">
        <f t="shared" si="18"/>
        <v>0</v>
      </c>
      <c r="P621" s="11">
        <f t="shared" si="19"/>
        <v>0</v>
      </c>
      <c r="Q621" s="6"/>
      <c r="R621" s="6"/>
      <c r="S621" s="6"/>
      <c r="T621" s="6"/>
    </row>
    <row r="622" spans="1:20">
      <c r="A622" s="6" t="s">
        <v>766</v>
      </c>
      <c r="B622" s="6" t="s">
        <v>77</v>
      </c>
      <c r="C622" s="6" t="s">
        <v>90</v>
      </c>
      <c r="D622" s="6" t="s">
        <v>119</v>
      </c>
      <c r="E622" s="6" t="s">
        <v>120</v>
      </c>
      <c r="F622" s="7">
        <v>6</v>
      </c>
      <c r="G622" s="7">
        <v>750</v>
      </c>
      <c r="H622" s="16">
        <v>45290</v>
      </c>
      <c r="I622" s="6">
        <v>52</v>
      </c>
      <c r="J622" s="6" t="s">
        <v>121</v>
      </c>
      <c r="K622" s="6" t="s">
        <v>139</v>
      </c>
      <c r="L622" s="11">
        <f>F622*Controls!$B$6</f>
        <v>6</v>
      </c>
      <c r="M622" s="11">
        <f>G622*Controls!$B$6</f>
        <v>750</v>
      </c>
      <c r="N622" s="12">
        <f>IF(L622=0,0,SUMIFS('PSI Plan'!$N$6:$N$173,'PSI Plan'!$B$6:$B$173,B622,'PSI Plan'!$C$6:$C$173,I622))</f>
        <v>0</v>
      </c>
      <c r="O622" s="11">
        <f t="shared" si="18"/>
        <v>0</v>
      </c>
      <c r="P622" s="11">
        <f t="shared" si="19"/>
        <v>0</v>
      </c>
      <c r="Q622" s="6"/>
      <c r="R622" s="6"/>
      <c r="S622" s="6"/>
      <c r="T622" s="6"/>
    </row>
    <row r="623" spans="1:20">
      <c r="A623" s="6" t="s">
        <v>767</v>
      </c>
      <c r="B623" s="6" t="s">
        <v>76</v>
      </c>
      <c r="C623" s="6" t="s">
        <v>90</v>
      </c>
      <c r="D623" s="6" t="s">
        <v>119</v>
      </c>
      <c r="E623" s="6" t="s">
        <v>120</v>
      </c>
      <c r="F623" s="7">
        <v>15</v>
      </c>
      <c r="G623" s="7">
        <v>1875</v>
      </c>
      <c r="H623" s="16">
        <v>45251</v>
      </c>
      <c r="I623" s="6">
        <v>47</v>
      </c>
      <c r="J623" s="6" t="s">
        <v>121</v>
      </c>
      <c r="K623" s="6" t="s">
        <v>139</v>
      </c>
      <c r="L623" s="11">
        <f>F623*Controls!$B$6</f>
        <v>15</v>
      </c>
      <c r="M623" s="11">
        <f>G623*Controls!$B$6</f>
        <v>1875</v>
      </c>
      <c r="N623" s="12">
        <f>IF(L623=0,0,SUMIFS('PSI Plan'!$N$6:$N$173,'PSI Plan'!$B$6:$B$173,B623,'PSI Plan'!$C$6:$C$173,I623))</f>
        <v>0</v>
      </c>
      <c r="O623" s="11">
        <f t="shared" si="18"/>
        <v>0</v>
      </c>
      <c r="P623" s="11">
        <f t="shared" si="19"/>
        <v>0</v>
      </c>
      <c r="Q623" s="6"/>
      <c r="R623" s="6"/>
      <c r="S623" s="6"/>
      <c r="T623" s="6"/>
    </row>
    <row r="624" spans="1:20">
      <c r="A624" s="6" t="s">
        <v>768</v>
      </c>
      <c r="B624" s="6" t="s">
        <v>69</v>
      </c>
      <c r="C624" s="6" t="s">
        <v>90</v>
      </c>
      <c r="D624" s="6" t="s">
        <v>119</v>
      </c>
      <c r="E624" s="6" t="s">
        <v>120</v>
      </c>
      <c r="F624" s="7">
        <v>22</v>
      </c>
      <c r="G624" s="7">
        <v>2750</v>
      </c>
      <c r="H624" s="16">
        <v>45275</v>
      </c>
      <c r="I624" s="6">
        <v>50</v>
      </c>
      <c r="J624" s="6" t="s">
        <v>121</v>
      </c>
      <c r="K624" s="6" t="s">
        <v>139</v>
      </c>
      <c r="L624" s="11">
        <f>F624*Controls!$B$6</f>
        <v>22</v>
      </c>
      <c r="M624" s="11">
        <f>G624*Controls!$B$6</f>
        <v>2750</v>
      </c>
      <c r="N624" s="12">
        <f>IF(L624=0,0,SUMIFS('PSI Plan'!$N$6:$N$173,'PSI Plan'!$B$6:$B$173,B624,'PSI Plan'!$C$6:$C$173,I624))</f>
        <v>0</v>
      </c>
      <c r="O624" s="11">
        <f t="shared" si="18"/>
        <v>0</v>
      </c>
      <c r="P624" s="11">
        <f t="shared" si="19"/>
        <v>0</v>
      </c>
      <c r="Q624" s="6"/>
      <c r="R624" s="6"/>
      <c r="S624" s="6"/>
      <c r="T624" s="6"/>
    </row>
    <row r="625" spans="1:20">
      <c r="A625" s="6" t="s">
        <v>769</v>
      </c>
      <c r="B625" s="6" t="s">
        <v>77</v>
      </c>
      <c r="C625" s="6" t="s">
        <v>90</v>
      </c>
      <c r="D625" s="6" t="s">
        <v>119</v>
      </c>
      <c r="E625" s="6" t="s">
        <v>120</v>
      </c>
      <c r="F625" s="7">
        <v>52</v>
      </c>
      <c r="G625" s="7">
        <v>6500</v>
      </c>
      <c r="H625" s="16">
        <v>45275</v>
      </c>
      <c r="I625" s="6">
        <v>50</v>
      </c>
      <c r="J625" s="6" t="s">
        <v>121</v>
      </c>
      <c r="K625" s="6" t="s">
        <v>122</v>
      </c>
      <c r="L625" s="11">
        <f>F625*Controls!$B$6</f>
        <v>52</v>
      </c>
      <c r="M625" s="11">
        <f>G625*Controls!$B$6</f>
        <v>6500</v>
      </c>
      <c r="N625" s="12">
        <f>IF(L625=0,0,SUMIFS('PSI Plan'!$N$6:$N$173,'PSI Plan'!$B$6:$B$173,B625,'PSI Plan'!$C$6:$C$173,I625))</f>
        <v>0</v>
      </c>
      <c r="O625" s="11">
        <f t="shared" si="18"/>
        <v>0</v>
      </c>
      <c r="P625" s="11">
        <f t="shared" si="19"/>
        <v>0</v>
      </c>
      <c r="Q625" s="6"/>
      <c r="R625" s="6"/>
      <c r="S625" s="6"/>
      <c r="T625" s="6"/>
    </row>
    <row r="626" spans="1:20">
      <c r="A626" s="6" t="s">
        <v>770</v>
      </c>
      <c r="B626" s="6" t="s">
        <v>76</v>
      </c>
      <c r="C626" s="6" t="s">
        <v>90</v>
      </c>
      <c r="D626" s="6" t="s">
        <v>119</v>
      </c>
      <c r="E626" s="6" t="s">
        <v>120</v>
      </c>
      <c r="F626" s="7">
        <v>26</v>
      </c>
      <c r="G626" s="7">
        <v>3250</v>
      </c>
      <c r="H626" s="16">
        <v>45213</v>
      </c>
      <c r="I626" s="6">
        <v>41</v>
      </c>
      <c r="J626" s="6" t="s">
        <v>121</v>
      </c>
      <c r="K626" s="6" t="s">
        <v>122</v>
      </c>
      <c r="L626" s="11">
        <f>F626*Controls!$B$6</f>
        <v>26</v>
      </c>
      <c r="M626" s="11">
        <f>G626*Controls!$B$6</f>
        <v>3250</v>
      </c>
      <c r="N626" s="12">
        <f>IF(L626=0,0,SUMIFS('PSI Plan'!$N$6:$N$173,'PSI Plan'!$B$6:$B$173,B626,'PSI Plan'!$C$6:$C$173,I626))</f>
        <v>0</v>
      </c>
      <c r="O626" s="11">
        <f t="shared" si="18"/>
        <v>0</v>
      </c>
      <c r="P626" s="11">
        <f t="shared" si="19"/>
        <v>0</v>
      </c>
      <c r="Q626" s="6"/>
      <c r="R626" s="6"/>
      <c r="S626" s="6"/>
      <c r="T626" s="6"/>
    </row>
    <row r="627" spans="1:20">
      <c r="A627" s="6" t="s">
        <v>771</v>
      </c>
      <c r="B627" s="6" t="s">
        <v>66</v>
      </c>
      <c r="C627" s="6" t="s">
        <v>99</v>
      </c>
      <c r="D627" s="6" t="s">
        <v>319</v>
      </c>
      <c r="E627" s="6" t="s">
        <v>120</v>
      </c>
      <c r="F627" s="7">
        <v>260</v>
      </c>
      <c r="G627" s="7">
        <v>32500</v>
      </c>
      <c r="H627" s="16">
        <v>45222</v>
      </c>
      <c r="I627" s="6">
        <v>43</v>
      </c>
      <c r="J627" s="6" t="s">
        <v>121</v>
      </c>
      <c r="K627" s="6" t="s">
        <v>347</v>
      </c>
      <c r="L627" s="11">
        <f>F627*Controls!$B$6</f>
        <v>260</v>
      </c>
      <c r="M627" s="11">
        <f>G627*Controls!$B$6</f>
        <v>32500</v>
      </c>
      <c r="N627" s="12">
        <f>IF(L627=0,0,SUMIFS('PSI Plan'!$N$6:$N$173,'PSI Plan'!$B$6:$B$173,B627,'PSI Plan'!$C$6:$C$173,I627))</f>
        <v>0</v>
      </c>
      <c r="O627" s="11">
        <f t="shared" si="18"/>
        <v>0</v>
      </c>
      <c r="P627" s="11">
        <f t="shared" si="19"/>
        <v>0</v>
      </c>
      <c r="Q627" s="6"/>
      <c r="R627" s="6"/>
      <c r="S627" s="6"/>
      <c r="T627" s="6"/>
    </row>
    <row r="628" spans="1:20">
      <c r="A628" s="6" t="s">
        <v>772</v>
      </c>
      <c r="B628" s="6" t="s">
        <v>77</v>
      </c>
      <c r="C628" s="6" t="s">
        <v>99</v>
      </c>
      <c r="D628" s="6" t="s">
        <v>319</v>
      </c>
      <c r="E628" s="6" t="s">
        <v>120</v>
      </c>
      <c r="F628" s="7">
        <v>312</v>
      </c>
      <c r="G628" s="7">
        <v>39000</v>
      </c>
      <c r="H628" s="16">
        <v>45276</v>
      </c>
      <c r="I628" s="6">
        <v>50</v>
      </c>
      <c r="J628" s="6" t="s">
        <v>121</v>
      </c>
      <c r="K628" s="6" t="s">
        <v>347</v>
      </c>
      <c r="L628" s="11">
        <f>F628*Controls!$B$6</f>
        <v>312</v>
      </c>
      <c r="M628" s="11">
        <f>G628*Controls!$B$6</f>
        <v>39000</v>
      </c>
      <c r="N628" s="12">
        <f>IF(L628=0,0,SUMIFS('PSI Plan'!$N$6:$N$173,'PSI Plan'!$B$6:$B$173,B628,'PSI Plan'!$C$6:$C$173,I628))</f>
        <v>0</v>
      </c>
      <c r="O628" s="11">
        <f t="shared" si="18"/>
        <v>0</v>
      </c>
      <c r="P628" s="11">
        <f t="shared" si="19"/>
        <v>0</v>
      </c>
      <c r="Q628" s="6"/>
      <c r="R628" s="6"/>
      <c r="S628" s="6"/>
      <c r="T628" s="6"/>
    </row>
    <row r="629" spans="1:20">
      <c r="A629" s="6" t="s">
        <v>773</v>
      </c>
      <c r="B629" s="6" t="s">
        <v>69</v>
      </c>
      <c r="C629" s="6" t="s">
        <v>99</v>
      </c>
      <c r="D629" s="6" t="s">
        <v>319</v>
      </c>
      <c r="E629" s="6" t="s">
        <v>120</v>
      </c>
      <c r="F629" s="7">
        <v>312</v>
      </c>
      <c r="G629" s="7">
        <v>39000</v>
      </c>
      <c r="H629" s="16">
        <v>45275</v>
      </c>
      <c r="I629" s="6">
        <v>50</v>
      </c>
      <c r="J629" s="6" t="s">
        <v>121</v>
      </c>
      <c r="K629" s="6" t="s">
        <v>347</v>
      </c>
      <c r="L629" s="11">
        <f>F629*Controls!$B$6</f>
        <v>312</v>
      </c>
      <c r="M629" s="11">
        <f>G629*Controls!$B$6</f>
        <v>39000</v>
      </c>
      <c r="N629" s="12">
        <f>IF(L629=0,0,SUMIFS('PSI Plan'!$N$6:$N$173,'PSI Plan'!$B$6:$B$173,B629,'PSI Plan'!$C$6:$C$173,I629))</f>
        <v>0</v>
      </c>
      <c r="O629" s="11">
        <f t="shared" si="18"/>
        <v>0</v>
      </c>
      <c r="P629" s="11">
        <f t="shared" si="19"/>
        <v>0</v>
      </c>
      <c r="Q629" s="6"/>
      <c r="R629" s="6"/>
      <c r="S629" s="6"/>
      <c r="T629" s="6"/>
    </row>
    <row r="630" spans="1:20">
      <c r="A630" s="6" t="s">
        <v>774</v>
      </c>
      <c r="B630" s="6" t="s">
        <v>66</v>
      </c>
      <c r="C630" s="6" t="s">
        <v>99</v>
      </c>
      <c r="D630" s="6" t="s">
        <v>319</v>
      </c>
      <c r="E630" s="6" t="s">
        <v>120</v>
      </c>
      <c r="F630" s="7">
        <v>20</v>
      </c>
      <c r="G630" s="7">
        <v>2500</v>
      </c>
      <c r="H630" s="16">
        <v>45265</v>
      </c>
      <c r="I630" s="6">
        <v>49</v>
      </c>
      <c r="J630" s="6" t="s">
        <v>121</v>
      </c>
      <c r="K630" s="6" t="s">
        <v>324</v>
      </c>
      <c r="L630" s="11">
        <f>F630*Controls!$B$6</f>
        <v>20</v>
      </c>
      <c r="M630" s="11">
        <f>G630*Controls!$B$6</f>
        <v>2500</v>
      </c>
      <c r="N630" s="12">
        <f>IF(L630=0,0,SUMIFS('PSI Plan'!$N$6:$N$173,'PSI Plan'!$B$6:$B$173,B630,'PSI Plan'!$C$6:$C$173,I630))</f>
        <v>0</v>
      </c>
      <c r="O630" s="11">
        <f t="shared" si="18"/>
        <v>0</v>
      </c>
      <c r="P630" s="11">
        <f t="shared" si="19"/>
        <v>0</v>
      </c>
      <c r="Q630" s="6"/>
      <c r="R630" s="6"/>
      <c r="S630" s="6"/>
      <c r="T630" s="6"/>
    </row>
    <row r="631" spans="1:20">
      <c r="A631" s="6" t="s">
        <v>775</v>
      </c>
      <c r="B631" s="6" t="s">
        <v>77</v>
      </c>
      <c r="C631" s="6" t="s">
        <v>99</v>
      </c>
      <c r="D631" s="6" t="s">
        <v>319</v>
      </c>
      <c r="E631" s="6" t="s">
        <v>120</v>
      </c>
      <c r="F631" s="7">
        <v>20</v>
      </c>
      <c r="G631" s="7">
        <v>2500</v>
      </c>
      <c r="H631" s="16">
        <v>45279</v>
      </c>
      <c r="I631" s="6">
        <v>51</v>
      </c>
      <c r="J631" s="6" t="s">
        <v>121</v>
      </c>
      <c r="K631" s="6" t="s">
        <v>324</v>
      </c>
      <c r="L631" s="11">
        <f>F631*Controls!$B$6</f>
        <v>20</v>
      </c>
      <c r="M631" s="11">
        <f>G631*Controls!$B$6</f>
        <v>2500</v>
      </c>
      <c r="N631" s="12">
        <f>IF(L631=0,0,SUMIFS('PSI Plan'!$N$6:$N$173,'PSI Plan'!$B$6:$B$173,B631,'PSI Plan'!$C$6:$C$173,I631))</f>
        <v>0</v>
      </c>
      <c r="O631" s="11">
        <f t="shared" si="18"/>
        <v>0</v>
      </c>
      <c r="P631" s="11">
        <f t="shared" si="19"/>
        <v>0</v>
      </c>
      <c r="Q631" s="6"/>
      <c r="R631" s="6"/>
      <c r="S631" s="6"/>
      <c r="T631" s="6"/>
    </row>
    <row r="632" spans="1:20">
      <c r="A632" s="6" t="s">
        <v>776</v>
      </c>
      <c r="B632" s="6" t="s">
        <v>69</v>
      </c>
      <c r="C632" s="6" t="s">
        <v>99</v>
      </c>
      <c r="D632" s="6" t="s">
        <v>319</v>
      </c>
      <c r="E632" s="6" t="s">
        <v>120</v>
      </c>
      <c r="F632" s="7">
        <v>17</v>
      </c>
      <c r="G632" s="7">
        <v>2125</v>
      </c>
      <c r="H632" s="16">
        <v>45264</v>
      </c>
      <c r="I632" s="6">
        <v>49</v>
      </c>
      <c r="J632" s="6" t="s">
        <v>121</v>
      </c>
      <c r="K632" s="6" t="s">
        <v>324</v>
      </c>
      <c r="L632" s="11">
        <f>F632*Controls!$B$6</f>
        <v>17</v>
      </c>
      <c r="M632" s="11">
        <f>G632*Controls!$B$6</f>
        <v>2125</v>
      </c>
      <c r="N632" s="12">
        <f>IF(L632=0,0,SUMIFS('PSI Plan'!$N$6:$N$173,'PSI Plan'!$B$6:$B$173,B632,'PSI Plan'!$C$6:$C$173,I632))</f>
        <v>0</v>
      </c>
      <c r="O632" s="11">
        <f t="shared" si="18"/>
        <v>0</v>
      </c>
      <c r="P632" s="11">
        <f t="shared" si="19"/>
        <v>0</v>
      </c>
      <c r="Q632" s="6"/>
      <c r="R632" s="6"/>
      <c r="S632" s="6"/>
      <c r="T632" s="6"/>
    </row>
    <row r="633" spans="1:20">
      <c r="A633" s="6" t="s">
        <v>777</v>
      </c>
      <c r="B633" s="6" t="s">
        <v>66</v>
      </c>
      <c r="C633" s="6" t="s">
        <v>99</v>
      </c>
      <c r="D633" s="6" t="s">
        <v>319</v>
      </c>
      <c r="E633" s="6" t="s">
        <v>120</v>
      </c>
      <c r="F633" s="7">
        <v>59</v>
      </c>
      <c r="G633" s="7">
        <v>7375</v>
      </c>
      <c r="H633" s="16">
        <v>45212</v>
      </c>
      <c r="I633" s="6">
        <v>41</v>
      </c>
      <c r="J633" s="6" t="s">
        <v>121</v>
      </c>
      <c r="K633" s="6" t="s">
        <v>459</v>
      </c>
      <c r="L633" s="11">
        <f>F633*Controls!$B$6</f>
        <v>59</v>
      </c>
      <c r="M633" s="11">
        <f>G633*Controls!$B$6</f>
        <v>7375</v>
      </c>
      <c r="N633" s="12">
        <f>IF(L633=0,0,SUMIFS('PSI Plan'!$N$6:$N$173,'PSI Plan'!$B$6:$B$173,B633,'PSI Plan'!$C$6:$C$173,I633))</f>
        <v>0.22897465437788017</v>
      </c>
      <c r="O633" s="11">
        <f t="shared" si="18"/>
        <v>13.509504608294931</v>
      </c>
      <c r="P633" s="11">
        <f t="shared" si="19"/>
        <v>1688.6880760368663</v>
      </c>
      <c r="Q633" s="6"/>
      <c r="R633" s="6"/>
      <c r="S633" s="6"/>
      <c r="T633" s="6"/>
    </row>
    <row r="634" spans="1:20">
      <c r="A634" s="6" t="s">
        <v>778</v>
      </c>
      <c r="B634" s="6" t="s">
        <v>77</v>
      </c>
      <c r="C634" s="6" t="s">
        <v>99</v>
      </c>
      <c r="D634" s="6" t="s">
        <v>319</v>
      </c>
      <c r="E634" s="6" t="s">
        <v>120</v>
      </c>
      <c r="F634" s="7">
        <v>32</v>
      </c>
      <c r="G634" s="7">
        <v>4000</v>
      </c>
      <c r="H634" s="16">
        <v>45285</v>
      </c>
      <c r="I634" s="6">
        <v>52</v>
      </c>
      <c r="J634" s="6" t="s">
        <v>121</v>
      </c>
      <c r="K634" s="6" t="s">
        <v>459</v>
      </c>
      <c r="L634" s="11">
        <f>F634*Controls!$B$6</f>
        <v>32</v>
      </c>
      <c r="M634" s="11">
        <f>G634*Controls!$B$6</f>
        <v>4000</v>
      </c>
      <c r="N634" s="12">
        <f>IF(L634=0,0,SUMIFS('PSI Plan'!$N$6:$N$173,'PSI Plan'!$B$6:$B$173,B634,'PSI Plan'!$C$6:$C$173,I634))</f>
        <v>0</v>
      </c>
      <c r="O634" s="11">
        <f t="shared" si="18"/>
        <v>0</v>
      </c>
      <c r="P634" s="11">
        <f t="shared" si="19"/>
        <v>0</v>
      </c>
      <c r="Q634" s="6"/>
      <c r="R634" s="6"/>
      <c r="S634" s="6"/>
      <c r="T634" s="6"/>
    </row>
    <row r="635" spans="1:20">
      <c r="A635" s="6" t="s">
        <v>779</v>
      </c>
      <c r="B635" s="6" t="s">
        <v>69</v>
      </c>
      <c r="C635" s="6" t="s">
        <v>99</v>
      </c>
      <c r="D635" s="6" t="s">
        <v>319</v>
      </c>
      <c r="E635" s="6" t="s">
        <v>120</v>
      </c>
      <c r="F635" s="7">
        <v>52</v>
      </c>
      <c r="G635" s="7">
        <v>6500</v>
      </c>
      <c r="H635" s="16">
        <v>45255</v>
      </c>
      <c r="I635" s="6">
        <v>47</v>
      </c>
      <c r="J635" s="6" t="s">
        <v>121</v>
      </c>
      <c r="K635" s="6" t="s">
        <v>459</v>
      </c>
      <c r="L635" s="11">
        <f>F635*Controls!$B$6</f>
        <v>52</v>
      </c>
      <c r="M635" s="11">
        <f>G635*Controls!$B$6</f>
        <v>6500</v>
      </c>
      <c r="N635" s="12">
        <f>IF(L635=0,0,SUMIFS('PSI Plan'!$N$6:$N$173,'PSI Plan'!$B$6:$B$173,B635,'PSI Plan'!$C$6:$C$173,I635))</f>
        <v>0</v>
      </c>
      <c r="O635" s="11">
        <f t="shared" si="18"/>
        <v>0</v>
      </c>
      <c r="P635" s="11">
        <f t="shared" si="19"/>
        <v>0</v>
      </c>
      <c r="Q635" s="6"/>
      <c r="R635" s="6"/>
      <c r="S635" s="6"/>
      <c r="T635" s="6"/>
    </row>
    <row r="636" spans="1:20">
      <c r="A636" s="6" t="s">
        <v>780</v>
      </c>
      <c r="B636" s="6" t="s">
        <v>66</v>
      </c>
      <c r="C636" s="6" t="s">
        <v>100</v>
      </c>
      <c r="D636" s="6" t="s">
        <v>567</v>
      </c>
      <c r="E636" s="6" t="s">
        <v>120</v>
      </c>
      <c r="F636" s="7">
        <v>12</v>
      </c>
      <c r="G636" s="7">
        <v>1500</v>
      </c>
      <c r="H636" s="16">
        <v>45275</v>
      </c>
      <c r="I636" s="6">
        <v>50</v>
      </c>
      <c r="J636" s="6" t="s">
        <v>121</v>
      </c>
      <c r="K636" s="6" t="s">
        <v>781</v>
      </c>
      <c r="L636" s="11">
        <f>F636*Controls!$B$6</f>
        <v>12</v>
      </c>
      <c r="M636" s="11">
        <f>G636*Controls!$B$6</f>
        <v>1500</v>
      </c>
      <c r="N636" s="12">
        <f>IF(L636=0,0,SUMIFS('PSI Plan'!$N$6:$N$173,'PSI Plan'!$B$6:$B$173,B636,'PSI Plan'!$C$6:$C$173,I636))</f>
        <v>0</v>
      </c>
      <c r="O636" s="11">
        <f t="shared" si="18"/>
        <v>0</v>
      </c>
      <c r="P636" s="11">
        <f t="shared" si="19"/>
        <v>0</v>
      </c>
      <c r="Q636" s="6"/>
      <c r="R636" s="6"/>
      <c r="S636" s="6"/>
      <c r="T636" s="6"/>
    </row>
    <row r="637" spans="1:20">
      <c r="A637" s="6" t="s">
        <v>782</v>
      </c>
      <c r="B637" s="6" t="s">
        <v>77</v>
      </c>
      <c r="C637" s="6" t="s">
        <v>100</v>
      </c>
      <c r="D637" s="6" t="s">
        <v>567</v>
      </c>
      <c r="E637" s="6" t="s">
        <v>120</v>
      </c>
      <c r="F637" s="7">
        <v>2</v>
      </c>
      <c r="G637" s="7">
        <v>250</v>
      </c>
      <c r="H637" s="16">
        <v>45214</v>
      </c>
      <c r="I637" s="6">
        <v>42</v>
      </c>
      <c r="J637" s="6" t="s">
        <v>121</v>
      </c>
      <c r="K637" s="6" t="s">
        <v>781</v>
      </c>
      <c r="L637" s="11">
        <f>F637*Controls!$B$6</f>
        <v>2</v>
      </c>
      <c r="M637" s="11">
        <f>G637*Controls!$B$6</f>
        <v>250</v>
      </c>
      <c r="N637" s="12">
        <f>IF(L637=0,0,SUMIFS('PSI Plan'!$N$6:$N$173,'PSI Plan'!$B$6:$B$173,B637,'PSI Plan'!$C$6:$C$173,I637))</f>
        <v>0</v>
      </c>
      <c r="O637" s="11">
        <f t="shared" si="18"/>
        <v>0</v>
      </c>
      <c r="P637" s="11">
        <f t="shared" si="19"/>
        <v>0</v>
      </c>
      <c r="Q637" s="6"/>
      <c r="R637" s="6"/>
      <c r="S637" s="6"/>
      <c r="T637" s="6"/>
    </row>
    <row r="638" spans="1:20">
      <c r="A638" s="6" t="s">
        <v>783</v>
      </c>
      <c r="B638" s="6" t="s">
        <v>76</v>
      </c>
      <c r="C638" s="6" t="s">
        <v>100</v>
      </c>
      <c r="D638" s="6" t="s">
        <v>567</v>
      </c>
      <c r="E638" s="6" t="s">
        <v>120</v>
      </c>
      <c r="F638" s="7">
        <v>2</v>
      </c>
      <c r="G638" s="7">
        <v>250</v>
      </c>
      <c r="H638" s="16">
        <v>45213</v>
      </c>
      <c r="I638" s="6">
        <v>41</v>
      </c>
      <c r="J638" s="6" t="s">
        <v>121</v>
      </c>
      <c r="K638" s="6" t="s">
        <v>781</v>
      </c>
      <c r="L638" s="11">
        <f>F638*Controls!$B$6</f>
        <v>2</v>
      </c>
      <c r="M638" s="11">
        <f>G638*Controls!$B$6</f>
        <v>250</v>
      </c>
      <c r="N638" s="12">
        <f>IF(L638=0,0,SUMIFS('PSI Plan'!$N$6:$N$173,'PSI Plan'!$B$6:$B$173,B638,'PSI Plan'!$C$6:$C$173,I638))</f>
        <v>0</v>
      </c>
      <c r="O638" s="11">
        <f t="shared" si="18"/>
        <v>0</v>
      </c>
      <c r="P638" s="11">
        <f t="shared" si="19"/>
        <v>0</v>
      </c>
      <c r="Q638" s="6"/>
      <c r="R638" s="6"/>
      <c r="S638" s="6"/>
      <c r="T638" s="6"/>
    </row>
    <row r="639" spans="1:20">
      <c r="A639" s="6" t="s">
        <v>784</v>
      </c>
      <c r="B639" s="6" t="s">
        <v>67</v>
      </c>
      <c r="C639" s="6" t="s">
        <v>100</v>
      </c>
      <c r="D639" s="6" t="s">
        <v>567</v>
      </c>
      <c r="E639" s="6" t="s">
        <v>120</v>
      </c>
      <c r="F639" s="7">
        <v>10</v>
      </c>
      <c r="G639" s="7">
        <v>1250</v>
      </c>
      <c r="H639" s="16">
        <v>45236</v>
      </c>
      <c r="I639" s="6">
        <v>45</v>
      </c>
      <c r="J639" s="6" t="s">
        <v>121</v>
      </c>
      <c r="K639" s="6" t="s">
        <v>781</v>
      </c>
      <c r="L639" s="11">
        <f>F639*Controls!$B$6</f>
        <v>10</v>
      </c>
      <c r="M639" s="11">
        <f>G639*Controls!$B$6</f>
        <v>1250</v>
      </c>
      <c r="N639" s="12">
        <f>IF(L639=0,0,SUMIFS('PSI Plan'!$N$6:$N$173,'PSI Plan'!$B$6:$B$173,B639,'PSI Plan'!$C$6:$C$173,I639))</f>
        <v>0</v>
      </c>
      <c r="O639" s="11">
        <f t="shared" si="18"/>
        <v>0</v>
      </c>
      <c r="P639" s="11">
        <f t="shared" si="19"/>
        <v>0</v>
      </c>
      <c r="Q639" s="6"/>
      <c r="R639" s="6"/>
      <c r="S639" s="6"/>
      <c r="T639" s="6"/>
    </row>
    <row r="640" spans="1:20">
      <c r="A640" s="6" t="s">
        <v>785</v>
      </c>
      <c r="B640" s="6" t="s">
        <v>69</v>
      </c>
      <c r="C640" s="6" t="s">
        <v>100</v>
      </c>
      <c r="D640" s="6" t="s">
        <v>567</v>
      </c>
      <c r="E640" s="6" t="s">
        <v>120</v>
      </c>
      <c r="F640" s="7">
        <v>10</v>
      </c>
      <c r="G640" s="7">
        <v>1250</v>
      </c>
      <c r="H640" s="16">
        <v>45244</v>
      </c>
      <c r="I640" s="6">
        <v>46</v>
      </c>
      <c r="J640" s="6" t="s">
        <v>121</v>
      </c>
      <c r="K640" s="6" t="s">
        <v>781</v>
      </c>
      <c r="L640" s="11">
        <f>F640*Controls!$B$6</f>
        <v>10</v>
      </c>
      <c r="M640" s="11">
        <f>G640*Controls!$B$6</f>
        <v>1250</v>
      </c>
      <c r="N640" s="12">
        <f>IF(L640=0,0,SUMIFS('PSI Plan'!$N$6:$N$173,'PSI Plan'!$B$6:$B$173,B640,'PSI Plan'!$C$6:$C$173,I640))</f>
        <v>0</v>
      </c>
      <c r="O640" s="11">
        <f t="shared" si="18"/>
        <v>0</v>
      </c>
      <c r="P640" s="11">
        <f t="shared" si="19"/>
        <v>0</v>
      </c>
      <c r="Q640" s="6"/>
      <c r="R640" s="6"/>
      <c r="S640" s="6"/>
      <c r="T640" s="6"/>
    </row>
    <row r="641" spans="1:20">
      <c r="A641" s="6" t="s">
        <v>786</v>
      </c>
      <c r="B641" s="6" t="s">
        <v>77</v>
      </c>
      <c r="C641" s="6" t="s">
        <v>90</v>
      </c>
      <c r="D641" s="6" t="s">
        <v>119</v>
      </c>
      <c r="E641" s="6" t="s">
        <v>120</v>
      </c>
      <c r="F641" s="7">
        <v>15</v>
      </c>
      <c r="G641" s="7">
        <v>1875</v>
      </c>
      <c r="H641" s="16">
        <v>45239</v>
      </c>
      <c r="I641" s="6">
        <v>45</v>
      </c>
      <c r="J641" s="6" t="s">
        <v>121</v>
      </c>
      <c r="K641" s="6" t="s">
        <v>132</v>
      </c>
      <c r="L641" s="11">
        <f>F641*Controls!$B$6</f>
        <v>15</v>
      </c>
      <c r="M641" s="11">
        <f>G641*Controls!$B$6</f>
        <v>1875</v>
      </c>
      <c r="N641" s="12">
        <f>IF(L641=0,0,SUMIFS('PSI Plan'!$N$6:$N$173,'PSI Plan'!$B$6:$B$173,B641,'PSI Plan'!$C$6:$C$173,I641))</f>
        <v>0</v>
      </c>
      <c r="O641" s="11">
        <f t="shared" si="18"/>
        <v>0</v>
      </c>
      <c r="P641" s="11">
        <f t="shared" si="19"/>
        <v>0</v>
      </c>
      <c r="Q641" s="6"/>
      <c r="R641" s="6"/>
      <c r="S641" s="6"/>
      <c r="T641" s="6"/>
    </row>
    <row r="642" spans="1:20">
      <c r="A642" s="6" t="s">
        <v>787</v>
      </c>
      <c r="B642" s="6" t="s">
        <v>69</v>
      </c>
      <c r="C642" s="6" t="s">
        <v>90</v>
      </c>
      <c r="D642" s="6" t="s">
        <v>119</v>
      </c>
      <c r="E642" s="6" t="s">
        <v>120</v>
      </c>
      <c r="F642" s="7">
        <v>5</v>
      </c>
      <c r="G642" s="7">
        <v>625</v>
      </c>
      <c r="H642" s="16">
        <v>45235</v>
      </c>
      <c r="I642" s="6">
        <v>45</v>
      </c>
      <c r="J642" s="6" t="s">
        <v>121</v>
      </c>
      <c r="K642" s="6" t="s">
        <v>132</v>
      </c>
      <c r="L642" s="11">
        <f>F642*Controls!$B$6</f>
        <v>5</v>
      </c>
      <c r="M642" s="11">
        <f>G642*Controls!$B$6</f>
        <v>625</v>
      </c>
      <c r="N642" s="12">
        <f>IF(L642=0,0,SUMIFS('PSI Plan'!$N$6:$N$173,'PSI Plan'!$B$6:$B$173,B642,'PSI Plan'!$C$6:$C$173,I642))</f>
        <v>0</v>
      </c>
      <c r="O642" s="11">
        <f t="shared" ref="O642:O705" si="20">L642*N642</f>
        <v>0</v>
      </c>
      <c r="P642" s="11">
        <f t="shared" ref="P642:P705" si="21">M642*N642</f>
        <v>0</v>
      </c>
      <c r="Q642" s="6"/>
      <c r="R642" s="6"/>
      <c r="S642" s="6"/>
      <c r="T642" s="6"/>
    </row>
    <row r="643" spans="1:20">
      <c r="A643" s="6" t="s">
        <v>788</v>
      </c>
      <c r="B643" s="6" t="s">
        <v>66</v>
      </c>
      <c r="C643" s="6" t="s">
        <v>90</v>
      </c>
      <c r="D643" s="6" t="s">
        <v>119</v>
      </c>
      <c r="E643" s="6" t="s">
        <v>120</v>
      </c>
      <c r="F643" s="7">
        <v>8</v>
      </c>
      <c r="G643" s="7">
        <v>1000</v>
      </c>
      <c r="H643" s="16">
        <v>45232</v>
      </c>
      <c r="I643" s="6">
        <v>44</v>
      </c>
      <c r="J643" s="6" t="s">
        <v>121</v>
      </c>
      <c r="K643" s="6" t="s">
        <v>298</v>
      </c>
      <c r="L643" s="11">
        <f>F643*Controls!$B$6</f>
        <v>8</v>
      </c>
      <c r="M643" s="11">
        <f>G643*Controls!$B$6</f>
        <v>1000</v>
      </c>
      <c r="N643" s="12">
        <f>IF(L643=0,0,SUMIFS('PSI Plan'!$N$6:$N$173,'PSI Plan'!$B$6:$B$173,B643,'PSI Plan'!$C$6:$C$173,I643))</f>
        <v>0</v>
      </c>
      <c r="O643" s="11">
        <f t="shared" si="20"/>
        <v>0</v>
      </c>
      <c r="P643" s="11">
        <f t="shared" si="21"/>
        <v>0</v>
      </c>
      <c r="Q643" s="6"/>
      <c r="R643" s="6"/>
      <c r="S643" s="6"/>
      <c r="T643" s="6"/>
    </row>
    <row r="644" spans="1:20">
      <c r="A644" s="6" t="s">
        <v>789</v>
      </c>
      <c r="B644" s="6" t="s">
        <v>77</v>
      </c>
      <c r="C644" s="6" t="s">
        <v>90</v>
      </c>
      <c r="D644" s="6" t="s">
        <v>119</v>
      </c>
      <c r="E644" s="6" t="s">
        <v>120</v>
      </c>
      <c r="F644" s="7">
        <v>16</v>
      </c>
      <c r="G644" s="7">
        <v>2000</v>
      </c>
      <c r="H644" s="16">
        <v>45205</v>
      </c>
      <c r="I644" s="6">
        <v>40</v>
      </c>
      <c r="J644" s="6" t="s">
        <v>121</v>
      </c>
      <c r="K644" s="6" t="s">
        <v>298</v>
      </c>
      <c r="L644" s="11">
        <f>F644*Controls!$B$6</f>
        <v>16</v>
      </c>
      <c r="M644" s="11">
        <f>G644*Controls!$B$6</f>
        <v>2000</v>
      </c>
      <c r="N644" s="12">
        <f>IF(L644=0,0,SUMIFS('PSI Plan'!$N$6:$N$173,'PSI Plan'!$B$6:$B$173,B644,'PSI Plan'!$C$6:$C$173,I644))</f>
        <v>0</v>
      </c>
      <c r="O644" s="11">
        <f t="shared" si="20"/>
        <v>0</v>
      </c>
      <c r="P644" s="11">
        <f t="shared" si="21"/>
        <v>0</v>
      </c>
      <c r="Q644" s="6"/>
      <c r="R644" s="6"/>
      <c r="S644" s="6"/>
      <c r="T644" s="6"/>
    </row>
    <row r="645" spans="1:20">
      <c r="A645" s="6" t="s">
        <v>790</v>
      </c>
      <c r="B645" s="6" t="s">
        <v>76</v>
      </c>
      <c r="C645" s="6" t="s">
        <v>90</v>
      </c>
      <c r="D645" s="6" t="s">
        <v>119</v>
      </c>
      <c r="E645" s="6" t="s">
        <v>120</v>
      </c>
      <c r="F645" s="7">
        <v>8</v>
      </c>
      <c r="G645" s="7">
        <v>1000</v>
      </c>
      <c r="H645" s="16">
        <v>45260</v>
      </c>
      <c r="I645" s="6">
        <v>48</v>
      </c>
      <c r="J645" s="6" t="s">
        <v>121</v>
      </c>
      <c r="K645" s="6" t="s">
        <v>298</v>
      </c>
      <c r="L645" s="11">
        <f>F645*Controls!$B$6</f>
        <v>8</v>
      </c>
      <c r="M645" s="11">
        <f>G645*Controls!$B$6</f>
        <v>1000</v>
      </c>
      <c r="N645" s="12">
        <f>IF(L645=0,0,SUMIFS('PSI Plan'!$N$6:$N$173,'PSI Plan'!$B$6:$B$173,B645,'PSI Plan'!$C$6:$C$173,I645))</f>
        <v>0</v>
      </c>
      <c r="O645" s="11">
        <f t="shared" si="20"/>
        <v>0</v>
      </c>
      <c r="P645" s="11">
        <f t="shared" si="21"/>
        <v>0</v>
      </c>
      <c r="Q645" s="6"/>
      <c r="R645" s="6"/>
      <c r="S645" s="6"/>
      <c r="T645" s="6"/>
    </row>
    <row r="646" spans="1:20">
      <c r="A646" s="6" t="s">
        <v>791</v>
      </c>
      <c r="B646" s="6" t="s">
        <v>69</v>
      </c>
      <c r="C646" s="6" t="s">
        <v>90</v>
      </c>
      <c r="D646" s="6" t="s">
        <v>119</v>
      </c>
      <c r="E646" s="6" t="s">
        <v>120</v>
      </c>
      <c r="F646" s="7">
        <v>20</v>
      </c>
      <c r="G646" s="7">
        <v>2500</v>
      </c>
      <c r="H646" s="16">
        <v>45233</v>
      </c>
      <c r="I646" s="6">
        <v>44</v>
      </c>
      <c r="J646" s="6" t="s">
        <v>121</v>
      </c>
      <c r="K646" s="6" t="s">
        <v>298</v>
      </c>
      <c r="L646" s="11">
        <f>F646*Controls!$B$6</f>
        <v>20</v>
      </c>
      <c r="M646" s="11">
        <f>G646*Controls!$B$6</f>
        <v>2500</v>
      </c>
      <c r="N646" s="12">
        <f>IF(L646=0,0,SUMIFS('PSI Plan'!$N$6:$N$173,'PSI Plan'!$B$6:$B$173,B646,'PSI Plan'!$C$6:$C$173,I646))</f>
        <v>0</v>
      </c>
      <c r="O646" s="11">
        <f t="shared" si="20"/>
        <v>0</v>
      </c>
      <c r="P646" s="11">
        <f t="shared" si="21"/>
        <v>0</v>
      </c>
      <c r="Q646" s="6"/>
      <c r="R646" s="6"/>
      <c r="S646" s="6"/>
      <c r="T646" s="6"/>
    </row>
    <row r="647" spans="1:20">
      <c r="A647" s="6" t="s">
        <v>792</v>
      </c>
      <c r="B647" s="6" t="s">
        <v>66</v>
      </c>
      <c r="C647" s="6" t="s">
        <v>90</v>
      </c>
      <c r="D647" s="6" t="s">
        <v>119</v>
      </c>
      <c r="E647" s="6" t="s">
        <v>120</v>
      </c>
      <c r="F647" s="7">
        <v>52</v>
      </c>
      <c r="G647" s="7">
        <v>6500</v>
      </c>
      <c r="H647" s="16">
        <v>45249</v>
      </c>
      <c r="I647" s="6">
        <v>47</v>
      </c>
      <c r="J647" s="6" t="s">
        <v>121</v>
      </c>
      <c r="K647" s="6" t="s">
        <v>122</v>
      </c>
      <c r="L647" s="11">
        <f>F647*Controls!$B$6</f>
        <v>52</v>
      </c>
      <c r="M647" s="11">
        <f>G647*Controls!$B$6</f>
        <v>6500</v>
      </c>
      <c r="N647" s="12">
        <f>IF(L647=0,0,SUMIFS('PSI Plan'!$N$6:$N$173,'PSI Plan'!$B$6:$B$173,B647,'PSI Plan'!$C$6:$C$173,I647))</f>
        <v>0</v>
      </c>
      <c r="O647" s="11">
        <f t="shared" si="20"/>
        <v>0</v>
      </c>
      <c r="P647" s="11">
        <f t="shared" si="21"/>
        <v>0</v>
      </c>
      <c r="Q647" s="6"/>
      <c r="R647" s="6"/>
      <c r="S647" s="6"/>
      <c r="T647" s="6"/>
    </row>
    <row r="648" spans="1:20">
      <c r="A648" s="6" t="s">
        <v>793</v>
      </c>
      <c r="B648" s="6" t="s">
        <v>77</v>
      </c>
      <c r="C648" s="6" t="s">
        <v>90</v>
      </c>
      <c r="D648" s="6" t="s">
        <v>119</v>
      </c>
      <c r="E648" s="6" t="s">
        <v>120</v>
      </c>
      <c r="F648" s="7">
        <v>52</v>
      </c>
      <c r="G648" s="7">
        <v>6500</v>
      </c>
      <c r="H648" s="16">
        <v>45246</v>
      </c>
      <c r="I648" s="6">
        <v>46</v>
      </c>
      <c r="J648" s="6" t="s">
        <v>121</v>
      </c>
      <c r="K648" s="6" t="s">
        <v>122</v>
      </c>
      <c r="L648" s="11">
        <f>F648*Controls!$B$6</f>
        <v>52</v>
      </c>
      <c r="M648" s="11">
        <f>G648*Controls!$B$6</f>
        <v>6500</v>
      </c>
      <c r="N648" s="12">
        <f>IF(L648=0,0,SUMIFS('PSI Plan'!$N$6:$N$173,'PSI Plan'!$B$6:$B$173,B648,'PSI Plan'!$C$6:$C$173,I648))</f>
        <v>0</v>
      </c>
      <c r="O648" s="11">
        <f t="shared" si="20"/>
        <v>0</v>
      </c>
      <c r="P648" s="11">
        <f t="shared" si="21"/>
        <v>0</v>
      </c>
      <c r="Q648" s="6"/>
      <c r="R648" s="6"/>
      <c r="S648" s="6"/>
      <c r="T648" s="6"/>
    </row>
    <row r="649" spans="1:20">
      <c r="A649" s="6" t="s">
        <v>794</v>
      </c>
      <c r="B649" s="6" t="s">
        <v>76</v>
      </c>
      <c r="C649" s="6" t="s">
        <v>90</v>
      </c>
      <c r="D649" s="6" t="s">
        <v>119</v>
      </c>
      <c r="E649" s="6" t="s">
        <v>120</v>
      </c>
      <c r="F649" s="7">
        <v>52</v>
      </c>
      <c r="G649" s="7">
        <v>6500</v>
      </c>
      <c r="H649" s="16">
        <v>45283</v>
      </c>
      <c r="I649" s="6">
        <v>51</v>
      </c>
      <c r="J649" s="6" t="s">
        <v>121</v>
      </c>
      <c r="K649" s="6" t="s">
        <v>122</v>
      </c>
      <c r="L649" s="11">
        <f>F649*Controls!$B$6</f>
        <v>52</v>
      </c>
      <c r="M649" s="11">
        <f>G649*Controls!$B$6</f>
        <v>6500</v>
      </c>
      <c r="N649" s="12">
        <f>IF(L649=0,0,SUMIFS('PSI Plan'!$N$6:$N$173,'PSI Plan'!$B$6:$B$173,B649,'PSI Plan'!$C$6:$C$173,I649))</f>
        <v>0</v>
      </c>
      <c r="O649" s="11">
        <f t="shared" si="20"/>
        <v>0</v>
      </c>
      <c r="P649" s="11">
        <f t="shared" si="21"/>
        <v>0</v>
      </c>
      <c r="Q649" s="6"/>
      <c r="R649" s="6"/>
      <c r="S649" s="6"/>
      <c r="T649" s="6"/>
    </row>
    <row r="650" spans="1:20">
      <c r="A650" s="6" t="s">
        <v>795</v>
      </c>
      <c r="B650" s="6" t="s">
        <v>69</v>
      </c>
      <c r="C650" s="6" t="s">
        <v>99</v>
      </c>
      <c r="D650" s="6" t="s">
        <v>119</v>
      </c>
      <c r="E650" s="6" t="s">
        <v>120</v>
      </c>
      <c r="F650" s="7">
        <v>52</v>
      </c>
      <c r="G650" s="7">
        <v>6500</v>
      </c>
      <c r="H650" s="16">
        <v>45208</v>
      </c>
      <c r="I650" s="6">
        <v>41</v>
      </c>
      <c r="J650" s="6" t="s">
        <v>121</v>
      </c>
      <c r="K650" s="6" t="s">
        <v>122</v>
      </c>
      <c r="L650" s="11">
        <f>F650*Controls!$B$6</f>
        <v>52</v>
      </c>
      <c r="M650" s="11">
        <f>G650*Controls!$B$6</f>
        <v>6500</v>
      </c>
      <c r="N650" s="12">
        <f>IF(L650=0,0,SUMIFS('PSI Plan'!$N$6:$N$173,'PSI Plan'!$B$6:$B$173,B650,'PSI Plan'!$C$6:$C$173,I650))</f>
        <v>0</v>
      </c>
      <c r="O650" s="11">
        <f t="shared" si="20"/>
        <v>0</v>
      </c>
      <c r="P650" s="11">
        <f t="shared" si="21"/>
        <v>0</v>
      </c>
      <c r="Q650" s="6"/>
      <c r="R650" s="6"/>
      <c r="S650" s="6"/>
      <c r="T650" s="6"/>
    </row>
    <row r="651" spans="1:20">
      <c r="A651" s="6" t="s">
        <v>796</v>
      </c>
      <c r="B651" s="6" t="s">
        <v>66</v>
      </c>
      <c r="C651" s="6" t="s">
        <v>100</v>
      </c>
      <c r="D651" s="6" t="s">
        <v>319</v>
      </c>
      <c r="E651" s="6" t="s">
        <v>120</v>
      </c>
      <c r="F651" s="7">
        <v>10</v>
      </c>
      <c r="G651" s="7">
        <v>1250</v>
      </c>
      <c r="H651" s="16">
        <v>45203</v>
      </c>
      <c r="I651" s="6">
        <v>40</v>
      </c>
      <c r="J651" s="6" t="s">
        <v>121</v>
      </c>
      <c r="K651" s="6" t="s">
        <v>781</v>
      </c>
      <c r="L651" s="11">
        <f>F651*Controls!$B$6</f>
        <v>10</v>
      </c>
      <c r="M651" s="11">
        <f>G651*Controls!$B$6</f>
        <v>1250</v>
      </c>
      <c r="N651" s="12">
        <f>IF(L651=0,0,SUMIFS('PSI Plan'!$N$6:$N$173,'PSI Plan'!$B$6:$B$173,B651,'PSI Plan'!$C$6:$C$173,I651))</f>
        <v>0</v>
      </c>
      <c r="O651" s="11">
        <f t="shared" si="20"/>
        <v>0</v>
      </c>
      <c r="P651" s="11">
        <f t="shared" si="21"/>
        <v>0</v>
      </c>
      <c r="Q651" s="6"/>
      <c r="R651" s="6"/>
      <c r="S651" s="6"/>
      <c r="T651" s="6"/>
    </row>
    <row r="652" spans="1:20">
      <c r="A652" s="6" t="s">
        <v>797</v>
      </c>
      <c r="B652" s="6" t="s">
        <v>77</v>
      </c>
      <c r="C652" s="6" t="s">
        <v>100</v>
      </c>
      <c r="D652" s="6" t="s">
        <v>567</v>
      </c>
      <c r="E652" s="6" t="s">
        <v>120</v>
      </c>
      <c r="F652" s="7">
        <v>4</v>
      </c>
      <c r="G652" s="7">
        <v>500</v>
      </c>
      <c r="H652" s="16">
        <v>45280</v>
      </c>
      <c r="I652" s="6">
        <v>51</v>
      </c>
      <c r="J652" s="6" t="s">
        <v>121</v>
      </c>
      <c r="K652" s="6" t="s">
        <v>781</v>
      </c>
      <c r="L652" s="11">
        <f>F652*Controls!$B$6</f>
        <v>4</v>
      </c>
      <c r="M652" s="11">
        <f>G652*Controls!$B$6</f>
        <v>500</v>
      </c>
      <c r="N652" s="12">
        <f>IF(L652=0,0,SUMIFS('PSI Plan'!$N$6:$N$173,'PSI Plan'!$B$6:$B$173,B652,'PSI Plan'!$C$6:$C$173,I652))</f>
        <v>0</v>
      </c>
      <c r="O652" s="11">
        <f t="shared" si="20"/>
        <v>0</v>
      </c>
      <c r="P652" s="11">
        <f t="shared" si="21"/>
        <v>0</v>
      </c>
      <c r="Q652" s="6"/>
      <c r="R652" s="6"/>
      <c r="S652" s="6"/>
      <c r="T652" s="6"/>
    </row>
    <row r="653" spans="1:20">
      <c r="A653" s="6" t="s">
        <v>798</v>
      </c>
      <c r="B653" s="6" t="s">
        <v>69</v>
      </c>
      <c r="C653" s="6" t="s">
        <v>100</v>
      </c>
      <c r="D653" s="6" t="s">
        <v>567</v>
      </c>
      <c r="E653" s="6" t="s">
        <v>120</v>
      </c>
      <c r="F653" s="7">
        <v>4</v>
      </c>
      <c r="G653" s="7">
        <v>500</v>
      </c>
      <c r="H653" s="16">
        <v>45254</v>
      </c>
      <c r="I653" s="6">
        <v>47</v>
      </c>
      <c r="J653" s="6" t="s">
        <v>121</v>
      </c>
      <c r="K653" s="6" t="s">
        <v>781</v>
      </c>
      <c r="L653" s="11">
        <f>F653*Controls!$B$6</f>
        <v>4</v>
      </c>
      <c r="M653" s="11">
        <f>G653*Controls!$B$6</f>
        <v>500</v>
      </c>
      <c r="N653" s="12">
        <f>IF(L653=0,0,SUMIFS('PSI Plan'!$N$6:$N$173,'PSI Plan'!$B$6:$B$173,B653,'PSI Plan'!$C$6:$C$173,I653))</f>
        <v>0</v>
      </c>
      <c r="O653" s="11">
        <f t="shared" si="20"/>
        <v>0</v>
      </c>
      <c r="P653" s="11">
        <f t="shared" si="21"/>
        <v>0</v>
      </c>
      <c r="Q653" s="6"/>
      <c r="R653" s="6"/>
      <c r="S653" s="6"/>
      <c r="T653" s="6"/>
    </row>
    <row r="654" spans="1:20">
      <c r="A654" s="6" t="s">
        <v>799</v>
      </c>
      <c r="B654" s="6" t="s">
        <v>77</v>
      </c>
      <c r="C654" s="6" t="s">
        <v>90</v>
      </c>
      <c r="D654" s="6" t="s">
        <v>119</v>
      </c>
      <c r="E654" s="6" t="s">
        <v>120</v>
      </c>
      <c r="F654" s="7">
        <v>104</v>
      </c>
      <c r="G654" s="7">
        <v>13000</v>
      </c>
      <c r="H654" s="16">
        <v>45281</v>
      </c>
      <c r="I654" s="6">
        <v>51</v>
      </c>
      <c r="J654" s="6" t="s">
        <v>121</v>
      </c>
      <c r="K654" s="6" t="s">
        <v>122</v>
      </c>
      <c r="L654" s="11">
        <f>F654*Controls!$B$6</f>
        <v>104</v>
      </c>
      <c r="M654" s="11">
        <f>G654*Controls!$B$6</f>
        <v>13000</v>
      </c>
      <c r="N654" s="12">
        <f>IF(L654=0,0,SUMIFS('PSI Plan'!$N$6:$N$173,'PSI Plan'!$B$6:$B$173,B654,'PSI Plan'!$C$6:$C$173,I654))</f>
        <v>0</v>
      </c>
      <c r="O654" s="11">
        <f t="shared" si="20"/>
        <v>0</v>
      </c>
      <c r="P654" s="11">
        <f t="shared" si="21"/>
        <v>0</v>
      </c>
      <c r="Q654" s="6"/>
      <c r="R654" s="6"/>
      <c r="S654" s="6"/>
      <c r="T654" s="6"/>
    </row>
    <row r="655" spans="1:20">
      <c r="A655" s="6" t="s">
        <v>800</v>
      </c>
      <c r="B655" s="6" t="s">
        <v>76</v>
      </c>
      <c r="C655" s="6" t="s">
        <v>90</v>
      </c>
      <c r="D655" s="6" t="s">
        <v>119</v>
      </c>
      <c r="E655" s="6" t="s">
        <v>120</v>
      </c>
      <c r="F655" s="7">
        <v>52</v>
      </c>
      <c r="G655" s="7">
        <v>6500</v>
      </c>
      <c r="H655" s="16">
        <v>45280</v>
      </c>
      <c r="I655" s="6">
        <v>51</v>
      </c>
      <c r="J655" s="6" t="s">
        <v>121</v>
      </c>
      <c r="K655" s="6" t="s">
        <v>122</v>
      </c>
      <c r="L655" s="11">
        <f>F655*Controls!$B$6</f>
        <v>52</v>
      </c>
      <c r="M655" s="11">
        <f>G655*Controls!$B$6</f>
        <v>6500</v>
      </c>
      <c r="N655" s="12">
        <f>IF(L655=0,0,SUMIFS('PSI Plan'!$N$6:$N$173,'PSI Plan'!$B$6:$B$173,B655,'PSI Plan'!$C$6:$C$173,I655))</f>
        <v>0</v>
      </c>
      <c r="O655" s="11">
        <f t="shared" si="20"/>
        <v>0</v>
      </c>
      <c r="P655" s="11">
        <f t="shared" si="21"/>
        <v>0</v>
      </c>
      <c r="Q655" s="6"/>
      <c r="R655" s="6"/>
      <c r="S655" s="6"/>
      <c r="T655" s="6"/>
    </row>
    <row r="656" spans="1:20">
      <c r="A656" s="6" t="s">
        <v>801</v>
      </c>
      <c r="B656" s="6" t="s">
        <v>69</v>
      </c>
      <c r="C656" s="6" t="s">
        <v>90</v>
      </c>
      <c r="D656" s="6" t="s">
        <v>119</v>
      </c>
      <c r="E656" s="6" t="s">
        <v>120</v>
      </c>
      <c r="F656" s="7">
        <v>52</v>
      </c>
      <c r="G656" s="7">
        <v>6500</v>
      </c>
      <c r="H656" s="16">
        <v>45202</v>
      </c>
      <c r="I656" s="6">
        <v>40</v>
      </c>
      <c r="J656" s="6" t="s">
        <v>121</v>
      </c>
      <c r="K656" s="6" t="s">
        <v>122</v>
      </c>
      <c r="L656" s="11">
        <f>F656*Controls!$B$6</f>
        <v>52</v>
      </c>
      <c r="M656" s="11">
        <f>G656*Controls!$B$6</f>
        <v>6500</v>
      </c>
      <c r="N656" s="12">
        <f>IF(L656=0,0,SUMIFS('PSI Plan'!$N$6:$N$173,'PSI Plan'!$B$6:$B$173,B656,'PSI Plan'!$C$6:$C$173,I656))</f>
        <v>0</v>
      </c>
      <c r="O656" s="11">
        <f t="shared" si="20"/>
        <v>0</v>
      </c>
      <c r="P656" s="11">
        <f t="shared" si="21"/>
        <v>0</v>
      </c>
      <c r="Q656" s="6"/>
      <c r="R656" s="6"/>
      <c r="S656" s="6"/>
      <c r="T656" s="6"/>
    </row>
    <row r="657" spans="1:20">
      <c r="A657" s="6" t="s">
        <v>802</v>
      </c>
      <c r="B657" s="6" t="s">
        <v>76</v>
      </c>
      <c r="C657" s="6" t="s">
        <v>90</v>
      </c>
      <c r="D657" s="6" t="s">
        <v>119</v>
      </c>
      <c r="E657" s="6" t="s">
        <v>120</v>
      </c>
      <c r="F657" s="7">
        <v>16</v>
      </c>
      <c r="G657" s="7">
        <v>2000</v>
      </c>
      <c r="H657" s="16">
        <v>45214</v>
      </c>
      <c r="I657" s="6">
        <v>42</v>
      </c>
      <c r="J657" s="6" t="s">
        <v>121</v>
      </c>
      <c r="K657" s="6" t="s">
        <v>139</v>
      </c>
      <c r="L657" s="11">
        <f>F657*Controls!$B$6</f>
        <v>16</v>
      </c>
      <c r="M657" s="11">
        <f>G657*Controls!$B$6</f>
        <v>2000</v>
      </c>
      <c r="N657" s="12">
        <f>IF(L657=0,0,SUMIFS('PSI Plan'!$N$6:$N$173,'PSI Plan'!$B$6:$B$173,B657,'PSI Plan'!$C$6:$C$173,I657))</f>
        <v>0</v>
      </c>
      <c r="O657" s="11">
        <f t="shared" si="20"/>
        <v>0</v>
      </c>
      <c r="P657" s="11">
        <f t="shared" si="21"/>
        <v>0</v>
      </c>
      <c r="Q657" s="6"/>
      <c r="R657" s="6"/>
      <c r="S657" s="6"/>
      <c r="T657" s="6"/>
    </row>
    <row r="658" spans="1:20">
      <c r="A658" s="6" t="s">
        <v>803</v>
      </c>
      <c r="B658" s="6" t="s">
        <v>69</v>
      </c>
      <c r="C658" s="6" t="s">
        <v>90</v>
      </c>
      <c r="D658" s="6" t="s">
        <v>119</v>
      </c>
      <c r="E658" s="6" t="s">
        <v>120</v>
      </c>
      <c r="F658" s="7">
        <v>11</v>
      </c>
      <c r="G658" s="7">
        <v>1375</v>
      </c>
      <c r="H658" s="16">
        <v>45229</v>
      </c>
      <c r="I658" s="6">
        <v>44</v>
      </c>
      <c r="J658" s="6" t="s">
        <v>121</v>
      </c>
      <c r="K658" s="6" t="s">
        <v>139</v>
      </c>
      <c r="L658" s="11">
        <f>F658*Controls!$B$6</f>
        <v>11</v>
      </c>
      <c r="M658" s="11">
        <f>G658*Controls!$B$6</f>
        <v>1375</v>
      </c>
      <c r="N658" s="12">
        <f>IF(L658=0,0,SUMIFS('PSI Plan'!$N$6:$N$173,'PSI Plan'!$B$6:$B$173,B658,'PSI Plan'!$C$6:$C$173,I658))</f>
        <v>0</v>
      </c>
      <c r="O658" s="11">
        <f t="shared" si="20"/>
        <v>0</v>
      </c>
      <c r="P658" s="11">
        <f t="shared" si="21"/>
        <v>0</v>
      </c>
      <c r="Q658" s="6"/>
      <c r="R658" s="6"/>
      <c r="S658" s="6"/>
      <c r="T658" s="6"/>
    </row>
    <row r="659" spans="1:20">
      <c r="A659" s="6" t="s">
        <v>804</v>
      </c>
      <c r="B659" s="6" t="s">
        <v>66</v>
      </c>
      <c r="C659" s="6" t="s">
        <v>90</v>
      </c>
      <c r="D659" s="6" t="s">
        <v>119</v>
      </c>
      <c r="E659" s="6" t="s">
        <v>120</v>
      </c>
      <c r="F659" s="7">
        <v>11</v>
      </c>
      <c r="G659" s="7">
        <v>1375</v>
      </c>
      <c r="H659" s="16">
        <v>45205</v>
      </c>
      <c r="I659" s="6">
        <v>40</v>
      </c>
      <c r="J659" s="6" t="s">
        <v>121</v>
      </c>
      <c r="K659" s="6" t="s">
        <v>298</v>
      </c>
      <c r="L659" s="11">
        <f>F659*Controls!$B$6</f>
        <v>11</v>
      </c>
      <c r="M659" s="11">
        <f>G659*Controls!$B$6</f>
        <v>1375</v>
      </c>
      <c r="N659" s="12">
        <f>IF(L659=0,0,SUMIFS('PSI Plan'!$N$6:$N$173,'PSI Plan'!$B$6:$B$173,B659,'PSI Plan'!$C$6:$C$173,I659))</f>
        <v>0</v>
      </c>
      <c r="O659" s="11">
        <f t="shared" si="20"/>
        <v>0</v>
      </c>
      <c r="P659" s="11">
        <f t="shared" si="21"/>
        <v>0</v>
      </c>
      <c r="Q659" s="6"/>
      <c r="R659" s="6"/>
      <c r="S659" s="6"/>
      <c r="T659" s="6"/>
    </row>
    <row r="660" spans="1:20">
      <c r="A660" s="6" t="s">
        <v>805</v>
      </c>
      <c r="B660" s="6" t="s">
        <v>77</v>
      </c>
      <c r="C660" s="6" t="s">
        <v>90</v>
      </c>
      <c r="D660" s="6" t="s">
        <v>119</v>
      </c>
      <c r="E660" s="6" t="s">
        <v>120</v>
      </c>
      <c r="F660" s="7">
        <v>16</v>
      </c>
      <c r="G660" s="7">
        <v>2000</v>
      </c>
      <c r="H660" s="16">
        <v>45276</v>
      </c>
      <c r="I660" s="6">
        <v>50</v>
      </c>
      <c r="J660" s="6" t="s">
        <v>121</v>
      </c>
      <c r="K660" s="6" t="s">
        <v>298</v>
      </c>
      <c r="L660" s="11">
        <f>F660*Controls!$B$6</f>
        <v>16</v>
      </c>
      <c r="M660" s="11">
        <f>G660*Controls!$B$6</f>
        <v>2000</v>
      </c>
      <c r="N660" s="12">
        <f>IF(L660=0,0,SUMIFS('PSI Plan'!$N$6:$N$173,'PSI Plan'!$B$6:$B$173,B660,'PSI Plan'!$C$6:$C$173,I660))</f>
        <v>0</v>
      </c>
      <c r="O660" s="11">
        <f t="shared" si="20"/>
        <v>0</v>
      </c>
      <c r="P660" s="11">
        <f t="shared" si="21"/>
        <v>0</v>
      </c>
      <c r="Q660" s="6"/>
      <c r="R660" s="6"/>
      <c r="S660" s="6"/>
      <c r="T660" s="6"/>
    </row>
    <row r="661" spans="1:20">
      <c r="A661" s="6" t="s">
        <v>806</v>
      </c>
      <c r="B661" s="6" t="s">
        <v>76</v>
      </c>
      <c r="C661" s="6" t="s">
        <v>90</v>
      </c>
      <c r="D661" s="6" t="s">
        <v>119</v>
      </c>
      <c r="E661" s="6" t="s">
        <v>120</v>
      </c>
      <c r="F661" s="7">
        <v>6</v>
      </c>
      <c r="G661" s="7">
        <v>750</v>
      </c>
      <c r="H661" s="16">
        <v>45203</v>
      </c>
      <c r="I661" s="6">
        <v>40</v>
      </c>
      <c r="J661" s="6" t="s">
        <v>121</v>
      </c>
      <c r="K661" s="6" t="s">
        <v>298</v>
      </c>
      <c r="L661" s="11">
        <f>F661*Controls!$B$6</f>
        <v>6</v>
      </c>
      <c r="M661" s="11">
        <f>G661*Controls!$B$6</f>
        <v>750</v>
      </c>
      <c r="N661" s="12">
        <f>IF(L661=0,0,SUMIFS('PSI Plan'!$N$6:$N$173,'PSI Plan'!$B$6:$B$173,B661,'PSI Plan'!$C$6:$C$173,I661))</f>
        <v>0</v>
      </c>
      <c r="O661" s="11">
        <f t="shared" si="20"/>
        <v>0</v>
      </c>
      <c r="P661" s="11">
        <f t="shared" si="21"/>
        <v>0</v>
      </c>
      <c r="Q661" s="6"/>
      <c r="R661" s="6"/>
      <c r="S661" s="6"/>
      <c r="T661" s="6"/>
    </row>
    <row r="662" spans="1:20">
      <c r="A662" s="6" t="s">
        <v>807</v>
      </c>
      <c r="B662" s="6" t="s">
        <v>69</v>
      </c>
      <c r="C662" s="6" t="s">
        <v>90</v>
      </c>
      <c r="D662" s="6" t="s">
        <v>119</v>
      </c>
      <c r="E662" s="6" t="s">
        <v>120</v>
      </c>
      <c r="F662" s="7">
        <v>19</v>
      </c>
      <c r="G662" s="7">
        <v>2375</v>
      </c>
      <c r="H662" s="16">
        <v>45248</v>
      </c>
      <c r="I662" s="6">
        <v>46</v>
      </c>
      <c r="J662" s="6" t="s">
        <v>121</v>
      </c>
      <c r="K662" s="6" t="s">
        <v>298</v>
      </c>
      <c r="L662" s="11">
        <f>F662*Controls!$B$6</f>
        <v>19</v>
      </c>
      <c r="M662" s="11">
        <f>G662*Controls!$B$6</f>
        <v>2375</v>
      </c>
      <c r="N662" s="12">
        <f>IF(L662=0,0,SUMIFS('PSI Plan'!$N$6:$N$173,'PSI Plan'!$B$6:$B$173,B662,'PSI Plan'!$C$6:$C$173,I662))</f>
        <v>0</v>
      </c>
      <c r="O662" s="11">
        <f t="shared" si="20"/>
        <v>0</v>
      </c>
      <c r="P662" s="11">
        <f t="shared" si="21"/>
        <v>0</v>
      </c>
      <c r="Q662" s="6"/>
      <c r="R662" s="6"/>
      <c r="S662" s="6"/>
      <c r="T662" s="6"/>
    </row>
    <row r="663" spans="1:20">
      <c r="A663" s="6" t="s">
        <v>808</v>
      </c>
      <c r="B663" s="6" t="s">
        <v>69</v>
      </c>
      <c r="C663" s="6" t="s">
        <v>90</v>
      </c>
      <c r="D663" s="6" t="s">
        <v>119</v>
      </c>
      <c r="E663" s="6" t="s">
        <v>120</v>
      </c>
      <c r="F663" s="7">
        <v>11</v>
      </c>
      <c r="G663" s="7">
        <v>1375</v>
      </c>
      <c r="H663" s="16">
        <v>45223</v>
      </c>
      <c r="I663" s="6">
        <v>43</v>
      </c>
      <c r="J663" s="6" t="s">
        <v>121</v>
      </c>
      <c r="K663" s="6" t="s">
        <v>132</v>
      </c>
      <c r="L663" s="11">
        <f>F663*Controls!$B$6</f>
        <v>11</v>
      </c>
      <c r="M663" s="11">
        <f>G663*Controls!$B$6</f>
        <v>1375</v>
      </c>
      <c r="N663" s="12">
        <f>IF(L663=0,0,SUMIFS('PSI Plan'!$N$6:$N$173,'PSI Plan'!$B$6:$B$173,B663,'PSI Plan'!$C$6:$C$173,I663))</f>
        <v>0</v>
      </c>
      <c r="O663" s="11">
        <f t="shared" si="20"/>
        <v>0</v>
      </c>
      <c r="P663" s="11">
        <f t="shared" si="21"/>
        <v>0</v>
      </c>
      <c r="Q663" s="6"/>
      <c r="R663" s="6"/>
      <c r="S663" s="6"/>
      <c r="T663" s="6"/>
    </row>
    <row r="664" spans="1:20">
      <c r="A664" s="6" t="s">
        <v>809</v>
      </c>
      <c r="B664" s="6" t="s">
        <v>77</v>
      </c>
      <c r="C664" s="6" t="s">
        <v>100</v>
      </c>
      <c r="D664" s="6" t="s">
        <v>567</v>
      </c>
      <c r="E664" s="6" t="s">
        <v>120</v>
      </c>
      <c r="F664" s="7">
        <v>10</v>
      </c>
      <c r="G664" s="7">
        <v>1250</v>
      </c>
      <c r="H664" s="16">
        <v>45213</v>
      </c>
      <c r="I664" s="6">
        <v>41</v>
      </c>
      <c r="J664" s="6" t="s">
        <v>121</v>
      </c>
      <c r="K664" s="6" t="s">
        <v>568</v>
      </c>
      <c r="L664" s="11">
        <f>F664*Controls!$B$6</f>
        <v>10</v>
      </c>
      <c r="M664" s="11">
        <f>G664*Controls!$B$6</f>
        <v>1250</v>
      </c>
      <c r="N664" s="12">
        <f>IF(L664=0,0,SUMIFS('PSI Plan'!$N$6:$N$173,'PSI Plan'!$B$6:$B$173,B664,'PSI Plan'!$C$6:$C$173,I664))</f>
        <v>0</v>
      </c>
      <c r="O664" s="11">
        <f t="shared" si="20"/>
        <v>0</v>
      </c>
      <c r="P664" s="11">
        <f t="shared" si="21"/>
        <v>0</v>
      </c>
      <c r="Q664" s="6"/>
      <c r="R664" s="6"/>
      <c r="S664" s="6"/>
      <c r="T664" s="6"/>
    </row>
    <row r="665" spans="1:20">
      <c r="A665" s="6" t="s">
        <v>810</v>
      </c>
      <c r="B665" s="6" t="s">
        <v>67</v>
      </c>
      <c r="C665" s="6" t="s">
        <v>90</v>
      </c>
      <c r="D665" s="6" t="s">
        <v>119</v>
      </c>
      <c r="E665" s="6" t="s">
        <v>120</v>
      </c>
      <c r="F665" s="7">
        <v>1</v>
      </c>
      <c r="G665" s="7">
        <v>125</v>
      </c>
      <c r="H665" s="16">
        <v>45227</v>
      </c>
      <c r="I665" s="6">
        <v>43</v>
      </c>
      <c r="J665" s="6" t="s">
        <v>121</v>
      </c>
      <c r="K665" s="6" t="s">
        <v>171</v>
      </c>
      <c r="L665" s="11">
        <f>F665*Controls!$B$6</f>
        <v>1</v>
      </c>
      <c r="M665" s="11">
        <f>G665*Controls!$B$6</f>
        <v>125</v>
      </c>
      <c r="N665" s="12">
        <f>IF(L665=0,0,SUMIFS('PSI Plan'!$N$6:$N$173,'PSI Plan'!$B$6:$B$173,B665,'PSI Plan'!$C$6:$C$173,I665))</f>
        <v>0</v>
      </c>
      <c r="O665" s="11">
        <f t="shared" si="20"/>
        <v>0</v>
      </c>
      <c r="P665" s="11">
        <f t="shared" si="21"/>
        <v>0</v>
      </c>
      <c r="Q665" s="6"/>
      <c r="R665" s="6"/>
      <c r="S665" s="6"/>
      <c r="T665" s="6"/>
    </row>
    <row r="666" spans="1:20">
      <c r="A666" s="6" t="s">
        <v>811</v>
      </c>
      <c r="B666" s="6" t="s">
        <v>69</v>
      </c>
      <c r="C666" s="6" t="s">
        <v>90</v>
      </c>
      <c r="D666" s="6" t="s">
        <v>119</v>
      </c>
      <c r="E666" s="6" t="s">
        <v>120</v>
      </c>
      <c r="F666" s="7">
        <v>26</v>
      </c>
      <c r="G666" s="7">
        <v>3250</v>
      </c>
      <c r="H666" s="16">
        <v>45242</v>
      </c>
      <c r="I666" s="6">
        <v>46</v>
      </c>
      <c r="J666" s="6" t="s">
        <v>121</v>
      </c>
      <c r="K666" s="6" t="s">
        <v>171</v>
      </c>
      <c r="L666" s="11">
        <f>F666*Controls!$B$6</f>
        <v>26</v>
      </c>
      <c r="M666" s="11">
        <f>G666*Controls!$B$6</f>
        <v>3250</v>
      </c>
      <c r="N666" s="12">
        <f>IF(L666=0,0,SUMIFS('PSI Plan'!$N$6:$N$173,'PSI Plan'!$B$6:$B$173,B666,'PSI Plan'!$C$6:$C$173,I666))</f>
        <v>0</v>
      </c>
      <c r="O666" s="11">
        <f t="shared" si="20"/>
        <v>0</v>
      </c>
      <c r="P666" s="11">
        <f t="shared" si="21"/>
        <v>0</v>
      </c>
      <c r="Q666" s="6"/>
      <c r="R666" s="6"/>
      <c r="S666" s="6"/>
      <c r="T666" s="6"/>
    </row>
    <row r="667" spans="1:20">
      <c r="A667" s="6" t="s">
        <v>812</v>
      </c>
      <c r="B667" s="6" t="s">
        <v>66</v>
      </c>
      <c r="C667" s="6" t="s">
        <v>90</v>
      </c>
      <c r="D667" s="6" t="s">
        <v>119</v>
      </c>
      <c r="E667" s="6" t="s">
        <v>120</v>
      </c>
      <c r="F667" s="7">
        <v>10</v>
      </c>
      <c r="G667" s="7">
        <v>1250</v>
      </c>
      <c r="H667" s="16">
        <v>45275</v>
      </c>
      <c r="I667" s="6">
        <v>50</v>
      </c>
      <c r="J667" s="6" t="s">
        <v>121</v>
      </c>
      <c r="K667" s="6" t="s">
        <v>298</v>
      </c>
      <c r="L667" s="11">
        <f>F667*Controls!$B$6</f>
        <v>10</v>
      </c>
      <c r="M667" s="11">
        <f>G667*Controls!$B$6</f>
        <v>1250</v>
      </c>
      <c r="N667" s="12">
        <f>IF(L667=0,0,SUMIFS('PSI Plan'!$N$6:$N$173,'PSI Plan'!$B$6:$B$173,B667,'PSI Plan'!$C$6:$C$173,I667))</f>
        <v>0</v>
      </c>
      <c r="O667" s="11">
        <f t="shared" si="20"/>
        <v>0</v>
      </c>
      <c r="P667" s="11">
        <f t="shared" si="21"/>
        <v>0</v>
      </c>
      <c r="Q667" s="6"/>
      <c r="R667" s="6"/>
      <c r="S667" s="6"/>
      <c r="T667" s="6"/>
    </row>
    <row r="668" spans="1:20">
      <c r="A668" s="6" t="s">
        <v>813</v>
      </c>
      <c r="B668" s="6" t="s">
        <v>77</v>
      </c>
      <c r="C668" s="6" t="s">
        <v>90</v>
      </c>
      <c r="D668" s="6" t="s">
        <v>119</v>
      </c>
      <c r="E668" s="6" t="s">
        <v>120</v>
      </c>
      <c r="F668" s="7">
        <v>5</v>
      </c>
      <c r="G668" s="7">
        <v>625</v>
      </c>
      <c r="H668" s="16">
        <v>45269</v>
      </c>
      <c r="I668" s="6">
        <v>49</v>
      </c>
      <c r="J668" s="6" t="s">
        <v>121</v>
      </c>
      <c r="K668" s="6" t="s">
        <v>298</v>
      </c>
      <c r="L668" s="11">
        <f>F668*Controls!$B$6</f>
        <v>5</v>
      </c>
      <c r="M668" s="11">
        <f>G668*Controls!$B$6</f>
        <v>625</v>
      </c>
      <c r="N668" s="12">
        <f>IF(L668=0,0,SUMIFS('PSI Plan'!$N$6:$N$173,'PSI Plan'!$B$6:$B$173,B668,'PSI Plan'!$C$6:$C$173,I668))</f>
        <v>0</v>
      </c>
      <c r="O668" s="11">
        <f t="shared" si="20"/>
        <v>0</v>
      </c>
      <c r="P668" s="11">
        <f t="shared" si="21"/>
        <v>0</v>
      </c>
      <c r="Q668" s="6"/>
      <c r="R668" s="6"/>
      <c r="S668" s="6"/>
      <c r="T668" s="6"/>
    </row>
    <row r="669" spans="1:20">
      <c r="A669" s="6" t="s">
        <v>814</v>
      </c>
      <c r="B669" s="6" t="s">
        <v>76</v>
      </c>
      <c r="C669" s="6" t="s">
        <v>90</v>
      </c>
      <c r="D669" s="6" t="s">
        <v>119</v>
      </c>
      <c r="E669" s="6" t="s">
        <v>120</v>
      </c>
      <c r="F669" s="7">
        <v>9</v>
      </c>
      <c r="G669" s="7">
        <v>1125</v>
      </c>
      <c r="H669" s="16">
        <v>45208</v>
      </c>
      <c r="I669" s="6">
        <v>41</v>
      </c>
      <c r="J669" s="6" t="s">
        <v>121</v>
      </c>
      <c r="K669" s="6" t="s">
        <v>298</v>
      </c>
      <c r="L669" s="11">
        <f>F669*Controls!$B$6</f>
        <v>9</v>
      </c>
      <c r="M669" s="11">
        <f>G669*Controls!$B$6</f>
        <v>1125</v>
      </c>
      <c r="N669" s="12">
        <f>IF(L669=0,0,SUMIFS('PSI Plan'!$N$6:$N$173,'PSI Plan'!$B$6:$B$173,B669,'PSI Plan'!$C$6:$C$173,I669))</f>
        <v>0</v>
      </c>
      <c r="O669" s="11">
        <f t="shared" si="20"/>
        <v>0</v>
      </c>
      <c r="P669" s="11">
        <f t="shared" si="21"/>
        <v>0</v>
      </c>
      <c r="Q669" s="6"/>
      <c r="R669" s="6"/>
      <c r="S669" s="6"/>
      <c r="T669" s="6"/>
    </row>
    <row r="670" spans="1:20">
      <c r="A670" s="6" t="s">
        <v>815</v>
      </c>
      <c r="B670" s="6" t="s">
        <v>66</v>
      </c>
      <c r="C670" s="6" t="s">
        <v>90</v>
      </c>
      <c r="D670" s="6" t="s">
        <v>119</v>
      </c>
      <c r="E670" s="6" t="s">
        <v>120</v>
      </c>
      <c r="F670" s="7">
        <v>26</v>
      </c>
      <c r="G670" s="7">
        <v>3250</v>
      </c>
      <c r="H670" s="16">
        <v>45269</v>
      </c>
      <c r="I670" s="6">
        <v>49</v>
      </c>
      <c r="J670" s="6" t="s">
        <v>121</v>
      </c>
      <c r="K670" s="6" t="s">
        <v>135</v>
      </c>
      <c r="L670" s="11">
        <f>F670*Controls!$B$6</f>
        <v>26</v>
      </c>
      <c r="M670" s="11">
        <f>G670*Controls!$B$6</f>
        <v>3250</v>
      </c>
      <c r="N670" s="12">
        <f>IF(L670=0,0,SUMIFS('PSI Plan'!$N$6:$N$173,'PSI Plan'!$B$6:$B$173,B670,'PSI Plan'!$C$6:$C$173,I670))</f>
        <v>0</v>
      </c>
      <c r="O670" s="11">
        <f t="shared" si="20"/>
        <v>0</v>
      </c>
      <c r="P670" s="11">
        <f t="shared" si="21"/>
        <v>0</v>
      </c>
      <c r="Q670" s="6"/>
      <c r="R670" s="6"/>
      <c r="S670" s="6"/>
      <c r="T670" s="6"/>
    </row>
    <row r="671" spans="1:20">
      <c r="A671" s="6" t="s">
        <v>816</v>
      </c>
      <c r="B671" s="6" t="s">
        <v>77</v>
      </c>
      <c r="C671" s="6" t="s">
        <v>90</v>
      </c>
      <c r="D671" s="6" t="s">
        <v>119</v>
      </c>
      <c r="E671" s="6" t="s">
        <v>120</v>
      </c>
      <c r="F671" s="7">
        <v>26</v>
      </c>
      <c r="G671" s="7">
        <v>3250</v>
      </c>
      <c r="H671" s="16">
        <v>45280</v>
      </c>
      <c r="I671" s="6">
        <v>51</v>
      </c>
      <c r="J671" s="6" t="s">
        <v>121</v>
      </c>
      <c r="K671" s="6" t="s">
        <v>135</v>
      </c>
      <c r="L671" s="11">
        <f>F671*Controls!$B$6</f>
        <v>26</v>
      </c>
      <c r="M671" s="11">
        <f>G671*Controls!$B$6</f>
        <v>3250</v>
      </c>
      <c r="N671" s="12">
        <f>IF(L671=0,0,SUMIFS('PSI Plan'!$N$6:$N$173,'PSI Plan'!$B$6:$B$173,B671,'PSI Plan'!$C$6:$C$173,I671))</f>
        <v>0</v>
      </c>
      <c r="O671" s="11">
        <f t="shared" si="20"/>
        <v>0</v>
      </c>
      <c r="P671" s="11">
        <f t="shared" si="21"/>
        <v>0</v>
      </c>
      <c r="Q671" s="6"/>
      <c r="R671" s="6"/>
      <c r="S671" s="6"/>
      <c r="T671" s="6"/>
    </row>
    <row r="672" spans="1:20">
      <c r="A672" s="6" t="s">
        <v>817</v>
      </c>
      <c r="B672" s="6" t="s">
        <v>69</v>
      </c>
      <c r="C672" s="6" t="s">
        <v>90</v>
      </c>
      <c r="D672" s="6" t="s">
        <v>119</v>
      </c>
      <c r="E672" s="6" t="s">
        <v>120</v>
      </c>
      <c r="F672" s="7">
        <v>1</v>
      </c>
      <c r="G672" s="7">
        <v>125</v>
      </c>
      <c r="H672" s="16">
        <v>45226</v>
      </c>
      <c r="I672" s="6">
        <v>43</v>
      </c>
      <c r="J672" s="6" t="s">
        <v>121</v>
      </c>
      <c r="K672" s="6" t="s">
        <v>135</v>
      </c>
      <c r="L672" s="11">
        <f>F672*Controls!$B$6</f>
        <v>1</v>
      </c>
      <c r="M672" s="11">
        <f>G672*Controls!$B$6</f>
        <v>125</v>
      </c>
      <c r="N672" s="12">
        <f>IF(L672=0,0,SUMIFS('PSI Plan'!$N$6:$N$173,'PSI Plan'!$B$6:$B$173,B672,'PSI Plan'!$C$6:$C$173,I672))</f>
        <v>0</v>
      </c>
      <c r="O672" s="11">
        <f t="shared" si="20"/>
        <v>0</v>
      </c>
      <c r="P672" s="11">
        <f t="shared" si="21"/>
        <v>0</v>
      </c>
      <c r="Q672" s="6"/>
      <c r="R672" s="6"/>
      <c r="S672" s="6"/>
      <c r="T672" s="6"/>
    </row>
    <row r="673" spans="1:20">
      <c r="A673" s="6" t="s">
        <v>818</v>
      </c>
      <c r="B673" s="6" t="s">
        <v>77</v>
      </c>
      <c r="C673" s="6" t="s">
        <v>90</v>
      </c>
      <c r="D673" s="6" t="s">
        <v>119</v>
      </c>
      <c r="E673" s="6" t="s">
        <v>120</v>
      </c>
      <c r="F673" s="7">
        <v>52</v>
      </c>
      <c r="G673" s="7">
        <v>6500</v>
      </c>
      <c r="H673" s="16">
        <v>45283</v>
      </c>
      <c r="I673" s="6">
        <v>51</v>
      </c>
      <c r="J673" s="6" t="s">
        <v>121</v>
      </c>
      <c r="K673" s="6" t="s">
        <v>122</v>
      </c>
      <c r="L673" s="11">
        <f>F673*Controls!$B$6</f>
        <v>52</v>
      </c>
      <c r="M673" s="11">
        <f>G673*Controls!$B$6</f>
        <v>6500</v>
      </c>
      <c r="N673" s="12">
        <f>IF(L673=0,0,SUMIFS('PSI Plan'!$N$6:$N$173,'PSI Plan'!$B$6:$B$173,B673,'PSI Plan'!$C$6:$C$173,I673))</f>
        <v>0</v>
      </c>
      <c r="O673" s="11">
        <f t="shared" si="20"/>
        <v>0</v>
      </c>
      <c r="P673" s="11">
        <f t="shared" si="21"/>
        <v>0</v>
      </c>
      <c r="Q673" s="6"/>
      <c r="R673" s="6"/>
      <c r="S673" s="6"/>
      <c r="T673" s="6"/>
    </row>
    <row r="674" spans="1:20">
      <c r="A674" s="6" t="s">
        <v>819</v>
      </c>
      <c r="B674" s="6" t="s">
        <v>76</v>
      </c>
      <c r="C674" s="6" t="s">
        <v>90</v>
      </c>
      <c r="D674" s="6" t="s">
        <v>119</v>
      </c>
      <c r="E674" s="6" t="s">
        <v>120</v>
      </c>
      <c r="F674" s="7">
        <v>78</v>
      </c>
      <c r="G674" s="7">
        <v>9750</v>
      </c>
      <c r="H674" s="16">
        <v>45261</v>
      </c>
      <c r="I674" s="6">
        <v>48</v>
      </c>
      <c r="J674" s="6" t="s">
        <v>121</v>
      </c>
      <c r="K674" s="6" t="s">
        <v>122</v>
      </c>
      <c r="L674" s="11">
        <f>F674*Controls!$B$6</f>
        <v>78</v>
      </c>
      <c r="M674" s="11">
        <f>G674*Controls!$B$6</f>
        <v>9750</v>
      </c>
      <c r="N674" s="12">
        <f>IF(L674=0,0,SUMIFS('PSI Plan'!$N$6:$N$173,'PSI Plan'!$B$6:$B$173,B674,'PSI Plan'!$C$6:$C$173,I674))</f>
        <v>0</v>
      </c>
      <c r="O674" s="11">
        <f t="shared" si="20"/>
        <v>0</v>
      </c>
      <c r="P674" s="11">
        <f t="shared" si="21"/>
        <v>0</v>
      </c>
      <c r="Q674" s="6"/>
      <c r="R674" s="6"/>
      <c r="S674" s="6"/>
      <c r="T674" s="6"/>
    </row>
    <row r="675" spans="1:20">
      <c r="A675" s="6" t="s">
        <v>820</v>
      </c>
      <c r="B675" s="6" t="s">
        <v>69</v>
      </c>
      <c r="C675" s="6" t="s">
        <v>90</v>
      </c>
      <c r="D675" s="6" t="s">
        <v>119</v>
      </c>
      <c r="E675" s="6" t="s">
        <v>120</v>
      </c>
      <c r="F675" s="7">
        <v>78</v>
      </c>
      <c r="G675" s="7">
        <v>9750</v>
      </c>
      <c r="H675" s="16">
        <v>45221</v>
      </c>
      <c r="I675" s="6">
        <v>43</v>
      </c>
      <c r="J675" s="6" t="s">
        <v>121</v>
      </c>
      <c r="K675" s="6" t="s">
        <v>122</v>
      </c>
      <c r="L675" s="11">
        <f>F675*Controls!$B$6</f>
        <v>78</v>
      </c>
      <c r="M675" s="11">
        <f>G675*Controls!$B$6</f>
        <v>9750</v>
      </c>
      <c r="N675" s="12">
        <f>IF(L675=0,0,SUMIFS('PSI Plan'!$N$6:$N$173,'PSI Plan'!$B$6:$B$173,B675,'PSI Plan'!$C$6:$C$173,I675))</f>
        <v>0</v>
      </c>
      <c r="O675" s="11">
        <f t="shared" si="20"/>
        <v>0</v>
      </c>
      <c r="P675" s="11">
        <f t="shared" si="21"/>
        <v>0</v>
      </c>
      <c r="Q675" s="6"/>
      <c r="R675" s="6"/>
      <c r="S675" s="6"/>
      <c r="T675" s="6"/>
    </row>
    <row r="676" spans="1:20">
      <c r="A676" s="6" t="s">
        <v>821</v>
      </c>
      <c r="B676" s="6" t="s">
        <v>77</v>
      </c>
      <c r="C676" s="6" t="s">
        <v>100</v>
      </c>
      <c r="D676" s="6" t="s">
        <v>567</v>
      </c>
      <c r="E676" s="6" t="s">
        <v>120</v>
      </c>
      <c r="F676" s="7">
        <v>4</v>
      </c>
      <c r="G676" s="7">
        <v>500</v>
      </c>
      <c r="H676" s="16">
        <v>45281</v>
      </c>
      <c r="I676" s="6">
        <v>51</v>
      </c>
      <c r="J676" s="6" t="s">
        <v>121</v>
      </c>
      <c r="K676" s="6" t="s">
        <v>781</v>
      </c>
      <c r="L676" s="11">
        <f>F676*Controls!$B$6</f>
        <v>4</v>
      </c>
      <c r="M676" s="11">
        <f>G676*Controls!$B$6</f>
        <v>500</v>
      </c>
      <c r="N676" s="12">
        <f>IF(L676=0,0,SUMIFS('PSI Plan'!$N$6:$N$173,'PSI Plan'!$B$6:$B$173,B676,'PSI Plan'!$C$6:$C$173,I676))</f>
        <v>0</v>
      </c>
      <c r="O676" s="11">
        <f t="shared" si="20"/>
        <v>0</v>
      </c>
      <c r="P676" s="11">
        <f t="shared" si="21"/>
        <v>0</v>
      </c>
      <c r="Q676" s="6"/>
      <c r="R676" s="6"/>
      <c r="S676" s="6"/>
      <c r="T676" s="6"/>
    </row>
    <row r="677" spans="1:20">
      <c r="A677" s="6" t="s">
        <v>822</v>
      </c>
      <c r="B677" s="6" t="s">
        <v>76</v>
      </c>
      <c r="C677" s="6" t="s">
        <v>100</v>
      </c>
      <c r="D677" s="6" t="s">
        <v>567</v>
      </c>
      <c r="E677" s="6" t="s">
        <v>120</v>
      </c>
      <c r="F677" s="7">
        <v>6</v>
      </c>
      <c r="G677" s="7">
        <v>750</v>
      </c>
      <c r="H677" s="16">
        <v>45257</v>
      </c>
      <c r="I677" s="6">
        <v>48</v>
      </c>
      <c r="J677" s="6" t="s">
        <v>121</v>
      </c>
      <c r="K677" s="6" t="s">
        <v>781</v>
      </c>
      <c r="L677" s="11">
        <f>F677*Controls!$B$6</f>
        <v>6</v>
      </c>
      <c r="M677" s="11">
        <f>G677*Controls!$B$6</f>
        <v>750</v>
      </c>
      <c r="N677" s="12">
        <f>IF(L677=0,0,SUMIFS('PSI Plan'!$N$6:$N$173,'PSI Plan'!$B$6:$B$173,B677,'PSI Plan'!$C$6:$C$173,I677))</f>
        <v>0</v>
      </c>
      <c r="O677" s="11">
        <f t="shared" si="20"/>
        <v>0</v>
      </c>
      <c r="P677" s="11">
        <f t="shared" si="21"/>
        <v>0</v>
      </c>
      <c r="Q677" s="6"/>
      <c r="R677" s="6"/>
      <c r="S677" s="6"/>
      <c r="T677" s="6"/>
    </row>
    <row r="678" spans="1:20">
      <c r="A678" s="6" t="s">
        <v>823</v>
      </c>
      <c r="B678" s="6" t="s">
        <v>67</v>
      </c>
      <c r="C678" s="6" t="s">
        <v>100</v>
      </c>
      <c r="D678" s="6" t="s">
        <v>567</v>
      </c>
      <c r="E678" s="6" t="s">
        <v>120</v>
      </c>
      <c r="F678" s="7">
        <v>4</v>
      </c>
      <c r="G678" s="7">
        <v>500</v>
      </c>
      <c r="H678" s="16">
        <v>45232</v>
      </c>
      <c r="I678" s="6">
        <v>44</v>
      </c>
      <c r="J678" s="6" t="s">
        <v>121</v>
      </c>
      <c r="K678" s="6" t="s">
        <v>781</v>
      </c>
      <c r="L678" s="11">
        <f>F678*Controls!$B$6</f>
        <v>4</v>
      </c>
      <c r="M678" s="11">
        <f>G678*Controls!$B$6</f>
        <v>500</v>
      </c>
      <c r="N678" s="12">
        <f>IF(L678=0,0,SUMIFS('PSI Plan'!$N$6:$N$173,'PSI Plan'!$B$6:$B$173,B678,'PSI Plan'!$C$6:$C$173,I678))</f>
        <v>0</v>
      </c>
      <c r="O678" s="11">
        <f t="shared" si="20"/>
        <v>0</v>
      </c>
      <c r="P678" s="11">
        <f t="shared" si="21"/>
        <v>0</v>
      </c>
      <c r="Q678" s="6"/>
      <c r="R678" s="6"/>
      <c r="S678" s="6"/>
      <c r="T678" s="6"/>
    </row>
    <row r="679" spans="1:20">
      <c r="A679" s="6" t="s">
        <v>824</v>
      </c>
      <c r="B679" s="6" t="s">
        <v>69</v>
      </c>
      <c r="C679" s="6" t="s">
        <v>100</v>
      </c>
      <c r="D679" s="6" t="s">
        <v>567</v>
      </c>
      <c r="E679" s="6" t="s">
        <v>120</v>
      </c>
      <c r="F679" s="7">
        <v>4</v>
      </c>
      <c r="G679" s="7">
        <v>500</v>
      </c>
      <c r="H679" s="16">
        <v>45266</v>
      </c>
      <c r="I679" s="6">
        <v>49</v>
      </c>
      <c r="J679" s="6" t="s">
        <v>121</v>
      </c>
      <c r="K679" s="6" t="s">
        <v>781</v>
      </c>
      <c r="L679" s="11">
        <f>F679*Controls!$B$6</f>
        <v>4</v>
      </c>
      <c r="M679" s="11">
        <f>G679*Controls!$B$6</f>
        <v>500</v>
      </c>
      <c r="N679" s="12">
        <f>IF(L679=0,0,SUMIFS('PSI Plan'!$N$6:$N$173,'PSI Plan'!$B$6:$B$173,B679,'PSI Plan'!$C$6:$C$173,I679))</f>
        <v>0</v>
      </c>
      <c r="O679" s="11">
        <f t="shared" si="20"/>
        <v>0</v>
      </c>
      <c r="P679" s="11">
        <f t="shared" si="21"/>
        <v>0</v>
      </c>
      <c r="Q679" s="6"/>
      <c r="R679" s="6"/>
      <c r="S679" s="6"/>
      <c r="T679" s="6"/>
    </row>
    <row r="680" spans="1:20">
      <c r="A680" s="6" t="s">
        <v>825</v>
      </c>
      <c r="B680" s="6" t="s">
        <v>66</v>
      </c>
      <c r="C680" s="6" t="s">
        <v>99</v>
      </c>
      <c r="D680" s="6" t="s">
        <v>319</v>
      </c>
      <c r="E680" s="6" t="s">
        <v>120</v>
      </c>
      <c r="F680" s="7">
        <v>45</v>
      </c>
      <c r="G680" s="7">
        <v>5625</v>
      </c>
      <c r="H680" s="16">
        <v>45278</v>
      </c>
      <c r="I680" s="6">
        <v>51</v>
      </c>
      <c r="J680" s="6" t="s">
        <v>121</v>
      </c>
      <c r="K680" s="6" t="s">
        <v>361</v>
      </c>
      <c r="L680" s="11">
        <f>F680*Controls!$B$6</f>
        <v>45</v>
      </c>
      <c r="M680" s="11">
        <f>G680*Controls!$B$6</f>
        <v>5625</v>
      </c>
      <c r="N680" s="12">
        <f>IF(L680=0,0,SUMIFS('PSI Plan'!$N$6:$N$173,'PSI Plan'!$B$6:$B$173,B680,'PSI Plan'!$C$6:$C$173,I680))</f>
        <v>0</v>
      </c>
      <c r="O680" s="11">
        <f t="shared" si="20"/>
        <v>0</v>
      </c>
      <c r="P680" s="11">
        <f t="shared" si="21"/>
        <v>0</v>
      </c>
      <c r="Q680" s="6"/>
      <c r="R680" s="6"/>
      <c r="S680" s="6"/>
      <c r="T680" s="6"/>
    </row>
    <row r="681" spans="1:20">
      <c r="A681" s="6" t="s">
        <v>826</v>
      </c>
      <c r="B681" s="6" t="s">
        <v>77</v>
      </c>
      <c r="C681" s="6" t="s">
        <v>99</v>
      </c>
      <c r="D681" s="6" t="s">
        <v>319</v>
      </c>
      <c r="E681" s="6" t="s">
        <v>120</v>
      </c>
      <c r="F681" s="7">
        <v>74</v>
      </c>
      <c r="G681" s="7">
        <v>9250</v>
      </c>
      <c r="H681" s="16">
        <v>45223</v>
      </c>
      <c r="I681" s="6">
        <v>43</v>
      </c>
      <c r="J681" s="6" t="s">
        <v>121</v>
      </c>
      <c r="K681" s="6" t="s">
        <v>361</v>
      </c>
      <c r="L681" s="11">
        <f>F681*Controls!$B$6</f>
        <v>74</v>
      </c>
      <c r="M681" s="11">
        <f>G681*Controls!$B$6</f>
        <v>9250</v>
      </c>
      <c r="N681" s="12">
        <f>IF(L681=0,0,SUMIFS('PSI Plan'!$N$6:$N$173,'PSI Plan'!$B$6:$B$173,B681,'PSI Plan'!$C$6:$C$173,I681))</f>
        <v>0</v>
      </c>
      <c r="O681" s="11">
        <f t="shared" si="20"/>
        <v>0</v>
      </c>
      <c r="P681" s="11">
        <f t="shared" si="21"/>
        <v>0</v>
      </c>
      <c r="Q681" s="6"/>
      <c r="R681" s="6"/>
      <c r="S681" s="6"/>
      <c r="T681" s="6"/>
    </row>
    <row r="682" spans="1:20">
      <c r="A682" s="6" t="s">
        <v>827</v>
      </c>
      <c r="B682" s="6" t="s">
        <v>69</v>
      </c>
      <c r="C682" s="6" t="s">
        <v>99</v>
      </c>
      <c r="D682" s="6" t="s">
        <v>319</v>
      </c>
      <c r="E682" s="6" t="s">
        <v>120</v>
      </c>
      <c r="F682" s="7">
        <v>60</v>
      </c>
      <c r="G682" s="7">
        <v>7500</v>
      </c>
      <c r="H682" s="16">
        <v>45229</v>
      </c>
      <c r="I682" s="6">
        <v>44</v>
      </c>
      <c r="J682" s="6" t="s">
        <v>121</v>
      </c>
      <c r="K682" s="6" t="s">
        <v>361</v>
      </c>
      <c r="L682" s="11">
        <f>F682*Controls!$B$6</f>
        <v>60</v>
      </c>
      <c r="M682" s="11">
        <f>G682*Controls!$B$6</f>
        <v>7500</v>
      </c>
      <c r="N682" s="12">
        <f>IF(L682=0,0,SUMIFS('PSI Plan'!$N$6:$N$173,'PSI Plan'!$B$6:$B$173,B682,'PSI Plan'!$C$6:$C$173,I682))</f>
        <v>0</v>
      </c>
      <c r="O682" s="11">
        <f t="shared" si="20"/>
        <v>0</v>
      </c>
      <c r="P682" s="11">
        <f t="shared" si="21"/>
        <v>0</v>
      </c>
      <c r="Q682" s="6"/>
      <c r="R682" s="6"/>
      <c r="S682" s="6"/>
      <c r="T682" s="6"/>
    </row>
    <row r="683" spans="1:20">
      <c r="A683" s="6" t="s">
        <v>828</v>
      </c>
      <c r="B683" s="6" t="s">
        <v>66</v>
      </c>
      <c r="C683" s="6" t="s">
        <v>99</v>
      </c>
      <c r="D683" s="6" t="s">
        <v>319</v>
      </c>
      <c r="E683" s="6" t="s">
        <v>120</v>
      </c>
      <c r="F683" s="7">
        <v>52</v>
      </c>
      <c r="G683" s="7">
        <v>6500</v>
      </c>
      <c r="H683" s="16">
        <v>45271</v>
      </c>
      <c r="I683" s="6">
        <v>50</v>
      </c>
      <c r="J683" s="6" t="s">
        <v>121</v>
      </c>
      <c r="K683" s="6" t="s">
        <v>344</v>
      </c>
      <c r="L683" s="11">
        <f>F683*Controls!$B$6</f>
        <v>52</v>
      </c>
      <c r="M683" s="11">
        <f>G683*Controls!$B$6</f>
        <v>6500</v>
      </c>
      <c r="N683" s="12">
        <f>IF(L683=0,0,SUMIFS('PSI Plan'!$N$6:$N$173,'PSI Plan'!$B$6:$B$173,B683,'PSI Plan'!$C$6:$C$173,I683))</f>
        <v>0</v>
      </c>
      <c r="O683" s="11">
        <f t="shared" si="20"/>
        <v>0</v>
      </c>
      <c r="P683" s="11">
        <f t="shared" si="21"/>
        <v>0</v>
      </c>
      <c r="Q683" s="6"/>
      <c r="R683" s="6"/>
      <c r="S683" s="6"/>
      <c r="T683" s="6"/>
    </row>
    <row r="684" spans="1:20">
      <c r="A684" s="6" t="s">
        <v>829</v>
      </c>
      <c r="B684" s="6" t="s">
        <v>77</v>
      </c>
      <c r="C684" s="6" t="s">
        <v>99</v>
      </c>
      <c r="D684" s="6" t="s">
        <v>319</v>
      </c>
      <c r="E684" s="6" t="s">
        <v>120</v>
      </c>
      <c r="F684" s="7">
        <v>104</v>
      </c>
      <c r="G684" s="7">
        <v>13000</v>
      </c>
      <c r="H684" s="16">
        <v>45208</v>
      </c>
      <c r="I684" s="6">
        <v>41</v>
      </c>
      <c r="J684" s="6" t="s">
        <v>121</v>
      </c>
      <c r="K684" s="6" t="s">
        <v>344</v>
      </c>
      <c r="L684" s="11">
        <f>F684*Controls!$B$6</f>
        <v>104</v>
      </c>
      <c r="M684" s="11">
        <f>G684*Controls!$B$6</f>
        <v>13000</v>
      </c>
      <c r="N684" s="12">
        <f>IF(L684=0,0,SUMIFS('PSI Plan'!$N$6:$N$173,'PSI Plan'!$B$6:$B$173,B684,'PSI Plan'!$C$6:$C$173,I684))</f>
        <v>0</v>
      </c>
      <c r="O684" s="11">
        <f t="shared" si="20"/>
        <v>0</v>
      </c>
      <c r="P684" s="11">
        <f t="shared" si="21"/>
        <v>0</v>
      </c>
      <c r="Q684" s="6"/>
      <c r="R684" s="6"/>
      <c r="S684" s="6"/>
      <c r="T684" s="6"/>
    </row>
    <row r="685" spans="1:20">
      <c r="A685" s="6" t="s">
        <v>830</v>
      </c>
      <c r="B685" s="6" t="s">
        <v>69</v>
      </c>
      <c r="C685" s="6" t="s">
        <v>99</v>
      </c>
      <c r="D685" s="6" t="s">
        <v>319</v>
      </c>
      <c r="E685" s="6" t="s">
        <v>120</v>
      </c>
      <c r="F685" s="7">
        <v>104</v>
      </c>
      <c r="G685" s="7">
        <v>13000</v>
      </c>
      <c r="H685" s="16">
        <v>45241</v>
      </c>
      <c r="I685" s="6">
        <v>45</v>
      </c>
      <c r="J685" s="6" t="s">
        <v>121</v>
      </c>
      <c r="K685" s="6" t="s">
        <v>344</v>
      </c>
      <c r="L685" s="11">
        <f>F685*Controls!$B$6</f>
        <v>104</v>
      </c>
      <c r="M685" s="11">
        <f>G685*Controls!$B$6</f>
        <v>13000</v>
      </c>
      <c r="N685" s="12">
        <f>IF(L685=0,0,SUMIFS('PSI Plan'!$N$6:$N$173,'PSI Plan'!$B$6:$B$173,B685,'PSI Plan'!$C$6:$C$173,I685))</f>
        <v>0</v>
      </c>
      <c r="O685" s="11">
        <f t="shared" si="20"/>
        <v>0</v>
      </c>
      <c r="P685" s="11">
        <f t="shared" si="21"/>
        <v>0</v>
      </c>
      <c r="Q685" s="6"/>
      <c r="R685" s="6"/>
      <c r="S685" s="6"/>
      <c r="T685" s="6"/>
    </row>
    <row r="686" spans="1:20">
      <c r="A686" s="6" t="s">
        <v>831</v>
      </c>
      <c r="B686" s="6" t="s">
        <v>66</v>
      </c>
      <c r="C686" s="6" t="s">
        <v>99</v>
      </c>
      <c r="D686" s="6" t="s">
        <v>319</v>
      </c>
      <c r="E686" s="6" t="s">
        <v>120</v>
      </c>
      <c r="F686" s="7">
        <v>39</v>
      </c>
      <c r="G686" s="7">
        <v>4875</v>
      </c>
      <c r="H686" s="16">
        <v>45214</v>
      </c>
      <c r="I686" s="6">
        <v>42</v>
      </c>
      <c r="J686" s="6" t="s">
        <v>121</v>
      </c>
      <c r="K686" s="6" t="s">
        <v>459</v>
      </c>
      <c r="L686" s="11">
        <f>F686*Controls!$B$6</f>
        <v>39</v>
      </c>
      <c r="M686" s="11">
        <f>G686*Controls!$B$6</f>
        <v>4875</v>
      </c>
      <c r="N686" s="12">
        <f>IF(L686=0,0,SUMIFS('PSI Plan'!$N$6:$N$173,'PSI Plan'!$B$6:$B$173,B686,'PSI Plan'!$C$6:$C$173,I686))</f>
        <v>0.59807073954983925</v>
      </c>
      <c r="O686" s="11">
        <f t="shared" si="20"/>
        <v>23.324758842443732</v>
      </c>
      <c r="P686" s="11">
        <f t="shared" si="21"/>
        <v>2915.5948553054664</v>
      </c>
      <c r="Q686" s="6"/>
      <c r="R686" s="6"/>
      <c r="S686" s="6"/>
      <c r="T686" s="6"/>
    </row>
    <row r="687" spans="1:20">
      <c r="A687" s="6" t="s">
        <v>832</v>
      </c>
      <c r="B687" s="6" t="s">
        <v>77</v>
      </c>
      <c r="C687" s="6" t="s">
        <v>99</v>
      </c>
      <c r="D687" s="6" t="s">
        <v>319</v>
      </c>
      <c r="E687" s="6" t="s">
        <v>120</v>
      </c>
      <c r="F687" s="7">
        <v>52</v>
      </c>
      <c r="G687" s="7">
        <v>6500</v>
      </c>
      <c r="H687" s="16">
        <v>45234</v>
      </c>
      <c r="I687" s="6">
        <v>44</v>
      </c>
      <c r="J687" s="6" t="s">
        <v>121</v>
      </c>
      <c r="K687" s="6" t="s">
        <v>459</v>
      </c>
      <c r="L687" s="11">
        <f>F687*Controls!$B$6</f>
        <v>52</v>
      </c>
      <c r="M687" s="11">
        <f>G687*Controls!$B$6</f>
        <v>6500</v>
      </c>
      <c r="N687" s="12">
        <f>IF(L687=0,0,SUMIFS('PSI Plan'!$N$6:$N$173,'PSI Plan'!$B$6:$B$173,B687,'PSI Plan'!$C$6:$C$173,I687))</f>
        <v>0</v>
      </c>
      <c r="O687" s="11">
        <f t="shared" si="20"/>
        <v>0</v>
      </c>
      <c r="P687" s="11">
        <f t="shared" si="21"/>
        <v>0</v>
      </c>
      <c r="Q687" s="6"/>
      <c r="R687" s="6"/>
      <c r="S687" s="6"/>
      <c r="T687" s="6"/>
    </row>
    <row r="688" spans="1:20">
      <c r="A688" s="6" t="s">
        <v>833</v>
      </c>
      <c r="B688" s="6" t="s">
        <v>69</v>
      </c>
      <c r="C688" s="6" t="s">
        <v>99</v>
      </c>
      <c r="D688" s="6" t="s">
        <v>319</v>
      </c>
      <c r="E688" s="6" t="s">
        <v>120</v>
      </c>
      <c r="F688" s="7">
        <v>104</v>
      </c>
      <c r="G688" s="7">
        <v>13000</v>
      </c>
      <c r="H688" s="16">
        <v>45266</v>
      </c>
      <c r="I688" s="6">
        <v>49</v>
      </c>
      <c r="J688" s="6" t="s">
        <v>121</v>
      </c>
      <c r="K688" s="6" t="s">
        <v>459</v>
      </c>
      <c r="L688" s="11">
        <f>F688*Controls!$B$6</f>
        <v>104</v>
      </c>
      <c r="M688" s="11">
        <f>G688*Controls!$B$6</f>
        <v>13000</v>
      </c>
      <c r="N688" s="12">
        <f>IF(L688=0,0,SUMIFS('PSI Plan'!$N$6:$N$173,'PSI Plan'!$B$6:$B$173,B688,'PSI Plan'!$C$6:$C$173,I688))</f>
        <v>0</v>
      </c>
      <c r="O688" s="11">
        <f t="shared" si="20"/>
        <v>0</v>
      </c>
      <c r="P688" s="11">
        <f t="shared" si="21"/>
        <v>0</v>
      </c>
      <c r="Q688" s="6"/>
      <c r="R688" s="6"/>
      <c r="S688" s="6"/>
      <c r="T688" s="6"/>
    </row>
    <row r="689" spans="1:20">
      <c r="A689" s="6" t="s">
        <v>834</v>
      </c>
      <c r="B689" s="6" t="s">
        <v>66</v>
      </c>
      <c r="C689" s="6" t="s">
        <v>99</v>
      </c>
      <c r="D689" s="6" t="s">
        <v>319</v>
      </c>
      <c r="E689" s="6" t="s">
        <v>120</v>
      </c>
      <c r="F689" s="7">
        <v>53</v>
      </c>
      <c r="G689" s="7">
        <v>6625</v>
      </c>
      <c r="H689" s="16">
        <v>45224</v>
      </c>
      <c r="I689" s="6">
        <v>43</v>
      </c>
      <c r="J689" s="6" t="s">
        <v>121</v>
      </c>
      <c r="K689" s="6" t="s">
        <v>324</v>
      </c>
      <c r="L689" s="11">
        <f>F689*Controls!$B$6</f>
        <v>53</v>
      </c>
      <c r="M689" s="11">
        <f>G689*Controls!$B$6</f>
        <v>6625</v>
      </c>
      <c r="N689" s="12">
        <f>IF(L689=0,0,SUMIFS('PSI Plan'!$N$6:$N$173,'PSI Plan'!$B$6:$B$173,B689,'PSI Plan'!$C$6:$C$173,I689))</f>
        <v>0</v>
      </c>
      <c r="O689" s="11">
        <f t="shared" si="20"/>
        <v>0</v>
      </c>
      <c r="P689" s="11">
        <f t="shared" si="21"/>
        <v>0</v>
      </c>
      <c r="Q689" s="6"/>
      <c r="R689" s="6"/>
      <c r="S689" s="6"/>
      <c r="T689" s="6"/>
    </row>
    <row r="690" spans="1:20">
      <c r="A690" s="6" t="s">
        <v>835</v>
      </c>
      <c r="B690" s="6" t="s">
        <v>77</v>
      </c>
      <c r="C690" s="6" t="s">
        <v>99</v>
      </c>
      <c r="D690" s="6" t="s">
        <v>319</v>
      </c>
      <c r="E690" s="6" t="s">
        <v>120</v>
      </c>
      <c r="F690" s="7">
        <v>44</v>
      </c>
      <c r="G690" s="7">
        <v>5500</v>
      </c>
      <c r="H690" s="16">
        <v>45223</v>
      </c>
      <c r="I690" s="6">
        <v>43</v>
      </c>
      <c r="J690" s="6" t="s">
        <v>121</v>
      </c>
      <c r="K690" s="6" t="s">
        <v>324</v>
      </c>
      <c r="L690" s="11">
        <f>F690*Controls!$B$6</f>
        <v>44</v>
      </c>
      <c r="M690" s="11">
        <f>G690*Controls!$B$6</f>
        <v>5500</v>
      </c>
      <c r="N690" s="12">
        <f>IF(L690=0,0,SUMIFS('PSI Plan'!$N$6:$N$173,'PSI Plan'!$B$6:$B$173,B690,'PSI Plan'!$C$6:$C$173,I690))</f>
        <v>0</v>
      </c>
      <c r="O690" s="11">
        <f t="shared" si="20"/>
        <v>0</v>
      </c>
      <c r="P690" s="11">
        <f t="shared" si="21"/>
        <v>0</v>
      </c>
      <c r="Q690" s="6"/>
      <c r="R690" s="6"/>
      <c r="S690" s="6"/>
      <c r="T690" s="6"/>
    </row>
    <row r="691" spans="1:20">
      <c r="A691" s="6" t="s">
        <v>836</v>
      </c>
      <c r="B691" s="6" t="s">
        <v>69</v>
      </c>
      <c r="C691" s="6" t="s">
        <v>99</v>
      </c>
      <c r="D691" s="6" t="s">
        <v>319</v>
      </c>
      <c r="E691" s="6" t="s">
        <v>120</v>
      </c>
      <c r="F691" s="7">
        <v>52</v>
      </c>
      <c r="G691" s="7">
        <v>6500</v>
      </c>
      <c r="H691" s="16">
        <v>45245</v>
      </c>
      <c r="I691" s="6">
        <v>46</v>
      </c>
      <c r="J691" s="6" t="s">
        <v>121</v>
      </c>
      <c r="K691" s="6" t="s">
        <v>324</v>
      </c>
      <c r="L691" s="11">
        <f>F691*Controls!$B$6</f>
        <v>52</v>
      </c>
      <c r="M691" s="11">
        <f>G691*Controls!$B$6</f>
        <v>6500</v>
      </c>
      <c r="N691" s="12">
        <f>IF(L691=0,0,SUMIFS('PSI Plan'!$N$6:$N$173,'PSI Plan'!$B$6:$B$173,B691,'PSI Plan'!$C$6:$C$173,I691))</f>
        <v>0</v>
      </c>
      <c r="O691" s="11">
        <f t="shared" si="20"/>
        <v>0</v>
      </c>
      <c r="P691" s="11">
        <f t="shared" si="21"/>
        <v>0</v>
      </c>
      <c r="Q691" s="6"/>
      <c r="R691" s="6"/>
      <c r="S691" s="6"/>
      <c r="T691" s="6"/>
    </row>
    <row r="692" spans="1:20">
      <c r="A692" s="6" t="s">
        <v>837</v>
      </c>
      <c r="B692" s="6" t="s">
        <v>77</v>
      </c>
      <c r="C692" s="6" t="s">
        <v>90</v>
      </c>
      <c r="D692" s="6" t="s">
        <v>119</v>
      </c>
      <c r="E692" s="6" t="s">
        <v>120</v>
      </c>
      <c r="F692" s="7">
        <v>26</v>
      </c>
      <c r="G692" s="7">
        <v>3250</v>
      </c>
      <c r="H692" s="16">
        <v>45210</v>
      </c>
      <c r="I692" s="6">
        <v>41</v>
      </c>
      <c r="J692" s="6" t="s">
        <v>121</v>
      </c>
      <c r="K692" s="6" t="s">
        <v>171</v>
      </c>
      <c r="L692" s="11">
        <f>F692*Controls!$B$6</f>
        <v>26</v>
      </c>
      <c r="M692" s="11">
        <f>G692*Controls!$B$6</f>
        <v>3250</v>
      </c>
      <c r="N692" s="12">
        <f>IF(L692=0,0,SUMIFS('PSI Plan'!$N$6:$N$173,'PSI Plan'!$B$6:$B$173,B692,'PSI Plan'!$C$6:$C$173,I692))</f>
        <v>0</v>
      </c>
      <c r="O692" s="11">
        <f t="shared" si="20"/>
        <v>0</v>
      </c>
      <c r="P692" s="11">
        <f t="shared" si="21"/>
        <v>0</v>
      </c>
      <c r="Q692" s="6"/>
      <c r="R692" s="6"/>
      <c r="S692" s="6"/>
      <c r="T692" s="6"/>
    </row>
    <row r="693" spans="1:20">
      <c r="A693" s="6" t="s">
        <v>838</v>
      </c>
      <c r="B693" s="6" t="s">
        <v>76</v>
      </c>
      <c r="C693" s="6" t="s">
        <v>90</v>
      </c>
      <c r="D693" s="6" t="s">
        <v>119</v>
      </c>
      <c r="E693" s="6" t="s">
        <v>120</v>
      </c>
      <c r="F693" s="7">
        <v>1</v>
      </c>
      <c r="G693" s="7">
        <v>125</v>
      </c>
      <c r="H693" s="16">
        <v>45276</v>
      </c>
      <c r="I693" s="6">
        <v>50</v>
      </c>
      <c r="J693" s="6" t="s">
        <v>121</v>
      </c>
      <c r="K693" s="6" t="s">
        <v>171</v>
      </c>
      <c r="L693" s="11">
        <f>F693*Controls!$B$6</f>
        <v>1</v>
      </c>
      <c r="M693" s="11">
        <f>G693*Controls!$B$6</f>
        <v>125</v>
      </c>
      <c r="N693" s="12">
        <f>IF(L693=0,0,SUMIFS('PSI Plan'!$N$6:$N$173,'PSI Plan'!$B$6:$B$173,B693,'PSI Plan'!$C$6:$C$173,I693))</f>
        <v>0</v>
      </c>
      <c r="O693" s="11">
        <f t="shared" si="20"/>
        <v>0</v>
      </c>
      <c r="P693" s="11">
        <f t="shared" si="21"/>
        <v>0</v>
      </c>
      <c r="Q693" s="6"/>
      <c r="R693" s="6"/>
      <c r="S693" s="6"/>
      <c r="T693" s="6"/>
    </row>
    <row r="694" spans="1:20">
      <c r="A694" s="6" t="s">
        <v>839</v>
      </c>
      <c r="B694" s="6" t="s">
        <v>67</v>
      </c>
      <c r="C694" s="6" t="s">
        <v>90</v>
      </c>
      <c r="D694" s="6" t="s">
        <v>119</v>
      </c>
      <c r="E694" s="6" t="s">
        <v>120</v>
      </c>
      <c r="F694" s="7">
        <v>30</v>
      </c>
      <c r="G694" s="7">
        <v>3750</v>
      </c>
      <c r="H694" s="16">
        <v>45269</v>
      </c>
      <c r="I694" s="6">
        <v>49</v>
      </c>
      <c r="J694" s="6" t="s">
        <v>121</v>
      </c>
      <c r="K694" s="6" t="s">
        <v>171</v>
      </c>
      <c r="L694" s="11">
        <f>F694*Controls!$B$6</f>
        <v>30</v>
      </c>
      <c r="M694" s="11">
        <f>G694*Controls!$B$6</f>
        <v>3750</v>
      </c>
      <c r="N694" s="12">
        <f>IF(L694=0,0,SUMIFS('PSI Plan'!$N$6:$N$173,'PSI Plan'!$B$6:$B$173,B694,'PSI Plan'!$C$6:$C$173,I694))</f>
        <v>0</v>
      </c>
      <c r="O694" s="11">
        <f t="shared" si="20"/>
        <v>0</v>
      </c>
      <c r="P694" s="11">
        <f t="shared" si="21"/>
        <v>0</v>
      </c>
      <c r="Q694" s="6"/>
      <c r="R694" s="6"/>
      <c r="S694" s="6"/>
      <c r="T694" s="6"/>
    </row>
    <row r="695" spans="1:20">
      <c r="A695" s="6" t="s">
        <v>840</v>
      </c>
      <c r="B695" s="6" t="s">
        <v>66</v>
      </c>
      <c r="C695" s="6" t="s">
        <v>90</v>
      </c>
      <c r="D695" s="6" t="s">
        <v>119</v>
      </c>
      <c r="E695" s="6" t="s">
        <v>120</v>
      </c>
      <c r="F695" s="7">
        <v>1</v>
      </c>
      <c r="G695" s="7">
        <v>125</v>
      </c>
      <c r="H695" s="16">
        <v>45225</v>
      </c>
      <c r="I695" s="6">
        <v>43</v>
      </c>
      <c r="J695" s="6" t="s">
        <v>121</v>
      </c>
      <c r="K695" s="6" t="s">
        <v>298</v>
      </c>
      <c r="L695" s="11">
        <f>F695*Controls!$B$6</f>
        <v>1</v>
      </c>
      <c r="M695" s="11">
        <f>G695*Controls!$B$6</f>
        <v>125</v>
      </c>
      <c r="N695" s="12">
        <f>IF(L695=0,0,SUMIFS('PSI Plan'!$N$6:$N$173,'PSI Plan'!$B$6:$B$173,B695,'PSI Plan'!$C$6:$C$173,I695))</f>
        <v>0</v>
      </c>
      <c r="O695" s="11">
        <f t="shared" si="20"/>
        <v>0</v>
      </c>
      <c r="P695" s="11">
        <f t="shared" si="21"/>
        <v>0</v>
      </c>
      <c r="Q695" s="6"/>
      <c r="R695" s="6"/>
      <c r="S695" s="6"/>
      <c r="T695" s="6"/>
    </row>
    <row r="696" spans="1:20">
      <c r="A696" s="6" t="s">
        <v>841</v>
      </c>
      <c r="B696" s="6" t="s">
        <v>76</v>
      </c>
      <c r="C696" s="6" t="s">
        <v>90</v>
      </c>
      <c r="D696" s="6" t="s">
        <v>119</v>
      </c>
      <c r="E696" s="6" t="s">
        <v>120</v>
      </c>
      <c r="F696" s="7">
        <v>1</v>
      </c>
      <c r="G696" s="7">
        <v>125</v>
      </c>
      <c r="H696" s="16">
        <v>45264</v>
      </c>
      <c r="I696" s="6">
        <v>49</v>
      </c>
      <c r="J696" s="6" t="s">
        <v>121</v>
      </c>
      <c r="K696" s="6" t="s">
        <v>298</v>
      </c>
      <c r="L696" s="11">
        <f>F696*Controls!$B$6</f>
        <v>1</v>
      </c>
      <c r="M696" s="11">
        <f>G696*Controls!$B$6</f>
        <v>125</v>
      </c>
      <c r="N696" s="12">
        <f>IF(L696=0,0,SUMIFS('PSI Plan'!$N$6:$N$173,'PSI Plan'!$B$6:$B$173,B696,'PSI Plan'!$C$6:$C$173,I696))</f>
        <v>0</v>
      </c>
      <c r="O696" s="11">
        <f t="shared" si="20"/>
        <v>0</v>
      </c>
      <c r="P696" s="11">
        <f t="shared" si="21"/>
        <v>0</v>
      </c>
      <c r="Q696" s="6"/>
      <c r="R696" s="6"/>
      <c r="S696" s="6"/>
      <c r="T696" s="6"/>
    </row>
    <row r="697" spans="1:20">
      <c r="A697" s="6" t="s">
        <v>842</v>
      </c>
      <c r="B697" s="6" t="s">
        <v>76</v>
      </c>
      <c r="C697" s="6" t="s">
        <v>90</v>
      </c>
      <c r="D697" s="6" t="s">
        <v>119</v>
      </c>
      <c r="E697" s="6" t="s">
        <v>120</v>
      </c>
      <c r="F697" s="7">
        <v>26</v>
      </c>
      <c r="G697" s="7">
        <v>3250</v>
      </c>
      <c r="H697" s="16">
        <v>45281</v>
      </c>
      <c r="I697" s="6">
        <v>51</v>
      </c>
      <c r="J697" s="6" t="s">
        <v>121</v>
      </c>
      <c r="K697" s="6" t="s">
        <v>122</v>
      </c>
      <c r="L697" s="11">
        <f>F697*Controls!$B$6</f>
        <v>26</v>
      </c>
      <c r="M697" s="11">
        <f>G697*Controls!$B$6</f>
        <v>3250</v>
      </c>
      <c r="N697" s="12">
        <f>IF(L697=0,0,SUMIFS('PSI Plan'!$N$6:$N$173,'PSI Plan'!$B$6:$B$173,B697,'PSI Plan'!$C$6:$C$173,I697))</f>
        <v>0</v>
      </c>
      <c r="O697" s="11">
        <f t="shared" si="20"/>
        <v>0</v>
      </c>
      <c r="P697" s="11">
        <f t="shared" si="21"/>
        <v>0</v>
      </c>
      <c r="Q697" s="6"/>
      <c r="R697" s="6"/>
      <c r="S697" s="6"/>
      <c r="T697" s="6"/>
    </row>
    <row r="698" spans="1:20">
      <c r="A698" s="6" t="s">
        <v>843</v>
      </c>
      <c r="B698" s="6" t="s">
        <v>67</v>
      </c>
      <c r="C698" s="6" t="s">
        <v>90</v>
      </c>
      <c r="D698" s="6" t="s">
        <v>119</v>
      </c>
      <c r="E698" s="6" t="s">
        <v>120</v>
      </c>
      <c r="F698" s="7">
        <v>52</v>
      </c>
      <c r="G698" s="7">
        <v>6500</v>
      </c>
      <c r="H698" s="16">
        <v>45267</v>
      </c>
      <c r="I698" s="6">
        <v>49</v>
      </c>
      <c r="J698" s="6" t="s">
        <v>121</v>
      </c>
      <c r="K698" s="6" t="s">
        <v>122</v>
      </c>
      <c r="L698" s="11">
        <f>F698*Controls!$B$6</f>
        <v>52</v>
      </c>
      <c r="M698" s="11">
        <f>G698*Controls!$B$6</f>
        <v>6500</v>
      </c>
      <c r="N698" s="12">
        <f>IF(L698=0,0,SUMIFS('PSI Plan'!$N$6:$N$173,'PSI Plan'!$B$6:$B$173,B698,'PSI Plan'!$C$6:$C$173,I698))</f>
        <v>0</v>
      </c>
      <c r="O698" s="11">
        <f t="shared" si="20"/>
        <v>0</v>
      </c>
      <c r="P698" s="11">
        <f t="shared" si="21"/>
        <v>0</v>
      </c>
      <c r="Q698" s="6"/>
      <c r="R698" s="6"/>
      <c r="S698" s="6"/>
      <c r="T698" s="6"/>
    </row>
    <row r="699" spans="1:20">
      <c r="A699" s="6" t="s">
        <v>844</v>
      </c>
      <c r="B699" s="6" t="s">
        <v>69</v>
      </c>
      <c r="C699" s="6" t="s">
        <v>90</v>
      </c>
      <c r="D699" s="6" t="s">
        <v>119</v>
      </c>
      <c r="E699" s="6" t="s">
        <v>120</v>
      </c>
      <c r="F699" s="7">
        <v>26</v>
      </c>
      <c r="G699" s="7">
        <v>3250</v>
      </c>
      <c r="H699" s="16">
        <v>45233</v>
      </c>
      <c r="I699" s="6">
        <v>44</v>
      </c>
      <c r="J699" s="6" t="s">
        <v>121</v>
      </c>
      <c r="K699" s="6" t="s">
        <v>122</v>
      </c>
      <c r="L699" s="11">
        <f>F699*Controls!$B$6</f>
        <v>26</v>
      </c>
      <c r="M699" s="11">
        <f>G699*Controls!$B$6</f>
        <v>3250</v>
      </c>
      <c r="N699" s="12">
        <f>IF(L699=0,0,SUMIFS('PSI Plan'!$N$6:$N$173,'PSI Plan'!$B$6:$B$173,B699,'PSI Plan'!$C$6:$C$173,I699))</f>
        <v>0</v>
      </c>
      <c r="O699" s="11">
        <f t="shared" si="20"/>
        <v>0</v>
      </c>
      <c r="P699" s="11">
        <f t="shared" si="21"/>
        <v>0</v>
      </c>
      <c r="Q699" s="6"/>
      <c r="R699" s="6"/>
      <c r="S699" s="6"/>
      <c r="T699" s="6"/>
    </row>
    <row r="700" spans="1:20">
      <c r="A700" s="6" t="s">
        <v>845</v>
      </c>
      <c r="B700" s="6" t="s">
        <v>77</v>
      </c>
      <c r="C700" s="6" t="s">
        <v>90</v>
      </c>
      <c r="D700" s="6" t="s">
        <v>119</v>
      </c>
      <c r="E700" s="6" t="s">
        <v>120</v>
      </c>
      <c r="F700" s="7">
        <v>4</v>
      </c>
      <c r="G700" s="7">
        <v>500</v>
      </c>
      <c r="H700" s="16">
        <v>45202</v>
      </c>
      <c r="I700" s="6">
        <v>40</v>
      </c>
      <c r="J700" s="6" t="s">
        <v>121</v>
      </c>
      <c r="K700" s="6" t="s">
        <v>725</v>
      </c>
      <c r="L700" s="11">
        <f>F700*Controls!$B$6</f>
        <v>4</v>
      </c>
      <c r="M700" s="11">
        <f>G700*Controls!$B$6</f>
        <v>500</v>
      </c>
      <c r="N700" s="12">
        <f>IF(L700=0,0,SUMIFS('PSI Plan'!$N$6:$N$173,'PSI Plan'!$B$6:$B$173,B700,'PSI Plan'!$C$6:$C$173,I700))</f>
        <v>0</v>
      </c>
      <c r="O700" s="11">
        <f t="shared" si="20"/>
        <v>0</v>
      </c>
      <c r="P700" s="11">
        <f t="shared" si="21"/>
        <v>0</v>
      </c>
      <c r="Q700" s="6"/>
      <c r="R700" s="6"/>
      <c r="S700" s="6"/>
      <c r="T700" s="6"/>
    </row>
    <row r="701" spans="1:20">
      <c r="A701" s="6" t="s">
        <v>846</v>
      </c>
      <c r="B701" s="6" t="s">
        <v>69</v>
      </c>
      <c r="C701" s="6" t="s">
        <v>90</v>
      </c>
      <c r="D701" s="6" t="s">
        <v>119</v>
      </c>
      <c r="E701" s="6" t="s">
        <v>120</v>
      </c>
      <c r="F701" s="7">
        <v>26</v>
      </c>
      <c r="G701" s="7">
        <v>3250</v>
      </c>
      <c r="H701" s="16">
        <v>45231</v>
      </c>
      <c r="I701" s="6">
        <v>44</v>
      </c>
      <c r="J701" s="6" t="s">
        <v>121</v>
      </c>
      <c r="K701" s="6" t="s">
        <v>725</v>
      </c>
      <c r="L701" s="11">
        <f>F701*Controls!$B$6</f>
        <v>26</v>
      </c>
      <c r="M701" s="11">
        <f>G701*Controls!$B$6</f>
        <v>3250</v>
      </c>
      <c r="N701" s="12">
        <f>IF(L701=0,0,SUMIFS('PSI Plan'!$N$6:$N$173,'PSI Plan'!$B$6:$B$173,B701,'PSI Plan'!$C$6:$C$173,I701))</f>
        <v>0</v>
      </c>
      <c r="O701" s="11">
        <f t="shared" si="20"/>
        <v>0</v>
      </c>
      <c r="P701" s="11">
        <f t="shared" si="21"/>
        <v>0</v>
      </c>
      <c r="Q701" s="6"/>
      <c r="R701" s="6"/>
      <c r="S701" s="6"/>
      <c r="T701" s="6"/>
    </row>
    <row r="702" spans="1:20">
      <c r="A702" s="6" t="s">
        <v>847</v>
      </c>
      <c r="B702" s="6" t="s">
        <v>77</v>
      </c>
      <c r="C702" s="6" t="s">
        <v>90</v>
      </c>
      <c r="D702" s="6" t="s">
        <v>119</v>
      </c>
      <c r="E702" s="6" t="s">
        <v>120</v>
      </c>
      <c r="F702" s="7">
        <v>9</v>
      </c>
      <c r="G702" s="7">
        <v>1125</v>
      </c>
      <c r="H702" s="16">
        <v>45252</v>
      </c>
      <c r="I702" s="6">
        <v>47</v>
      </c>
      <c r="J702" s="6" t="s">
        <v>121</v>
      </c>
      <c r="K702" s="6" t="s">
        <v>132</v>
      </c>
      <c r="L702" s="11">
        <f>F702*Controls!$B$6</f>
        <v>9</v>
      </c>
      <c r="M702" s="11">
        <f>G702*Controls!$B$6</f>
        <v>1125</v>
      </c>
      <c r="N702" s="12">
        <f>IF(L702=0,0,SUMIFS('PSI Plan'!$N$6:$N$173,'PSI Plan'!$B$6:$B$173,B702,'PSI Plan'!$C$6:$C$173,I702))</f>
        <v>0</v>
      </c>
      <c r="O702" s="11">
        <f t="shared" si="20"/>
        <v>0</v>
      </c>
      <c r="P702" s="11">
        <f t="shared" si="21"/>
        <v>0</v>
      </c>
      <c r="Q702" s="6"/>
      <c r="R702" s="6"/>
      <c r="S702" s="6"/>
      <c r="T702" s="6"/>
    </row>
    <row r="703" spans="1:20">
      <c r="A703" s="6" t="s">
        <v>848</v>
      </c>
      <c r="B703" s="6" t="s">
        <v>69</v>
      </c>
      <c r="C703" s="6" t="s">
        <v>90</v>
      </c>
      <c r="D703" s="6" t="s">
        <v>119</v>
      </c>
      <c r="E703" s="6" t="s">
        <v>120</v>
      </c>
      <c r="F703" s="7">
        <v>6</v>
      </c>
      <c r="G703" s="7">
        <v>750</v>
      </c>
      <c r="H703" s="16">
        <v>45240</v>
      </c>
      <c r="I703" s="6">
        <v>45</v>
      </c>
      <c r="J703" s="6" t="s">
        <v>121</v>
      </c>
      <c r="K703" s="6" t="s">
        <v>132</v>
      </c>
      <c r="L703" s="11">
        <f>F703*Controls!$B$6</f>
        <v>6</v>
      </c>
      <c r="M703" s="11">
        <f>G703*Controls!$B$6</f>
        <v>750</v>
      </c>
      <c r="N703" s="12">
        <f>IF(L703=0,0,SUMIFS('PSI Plan'!$N$6:$N$173,'PSI Plan'!$B$6:$B$173,B703,'PSI Plan'!$C$6:$C$173,I703))</f>
        <v>0</v>
      </c>
      <c r="O703" s="11">
        <f t="shared" si="20"/>
        <v>0</v>
      </c>
      <c r="P703" s="11">
        <f t="shared" si="21"/>
        <v>0</v>
      </c>
      <c r="Q703" s="6"/>
      <c r="R703" s="6"/>
      <c r="S703" s="6"/>
      <c r="T703" s="6"/>
    </row>
    <row r="704" spans="1:20">
      <c r="A704" s="6" t="s">
        <v>849</v>
      </c>
      <c r="B704" s="6" t="s">
        <v>66</v>
      </c>
      <c r="C704" s="6" t="s">
        <v>90</v>
      </c>
      <c r="D704" s="6" t="s">
        <v>119</v>
      </c>
      <c r="E704" s="6" t="s">
        <v>120</v>
      </c>
      <c r="F704" s="7">
        <v>26</v>
      </c>
      <c r="G704" s="7">
        <v>3250</v>
      </c>
      <c r="H704" s="16">
        <v>45279</v>
      </c>
      <c r="I704" s="6">
        <v>51</v>
      </c>
      <c r="J704" s="6" t="s">
        <v>121</v>
      </c>
      <c r="K704" s="6" t="s">
        <v>135</v>
      </c>
      <c r="L704" s="11">
        <f>F704*Controls!$B$6</f>
        <v>26</v>
      </c>
      <c r="M704" s="11">
        <f>G704*Controls!$B$6</f>
        <v>3250</v>
      </c>
      <c r="N704" s="12">
        <f>IF(L704=0,0,SUMIFS('PSI Plan'!$N$6:$N$173,'PSI Plan'!$B$6:$B$173,B704,'PSI Plan'!$C$6:$C$173,I704))</f>
        <v>0</v>
      </c>
      <c r="O704" s="11">
        <f t="shared" si="20"/>
        <v>0</v>
      </c>
      <c r="P704" s="11">
        <f t="shared" si="21"/>
        <v>0</v>
      </c>
      <c r="Q704" s="6"/>
      <c r="R704" s="6"/>
      <c r="S704" s="6"/>
      <c r="T704" s="6"/>
    </row>
    <row r="705" spans="1:20">
      <c r="A705" s="6" t="s">
        <v>850</v>
      </c>
      <c r="B705" s="6" t="s">
        <v>69</v>
      </c>
      <c r="C705" s="6" t="s">
        <v>90</v>
      </c>
      <c r="D705" s="6" t="s">
        <v>119</v>
      </c>
      <c r="E705" s="6" t="s">
        <v>120</v>
      </c>
      <c r="F705" s="7">
        <v>23</v>
      </c>
      <c r="G705" s="7">
        <v>2875</v>
      </c>
      <c r="H705" s="16">
        <v>45278</v>
      </c>
      <c r="I705" s="6">
        <v>51</v>
      </c>
      <c r="J705" s="6" t="s">
        <v>121</v>
      </c>
      <c r="K705" s="6" t="s">
        <v>135</v>
      </c>
      <c r="L705" s="11">
        <f>F705*Controls!$B$6</f>
        <v>23</v>
      </c>
      <c r="M705" s="11">
        <f>G705*Controls!$B$6</f>
        <v>2875</v>
      </c>
      <c r="N705" s="12">
        <f>IF(L705=0,0,SUMIFS('PSI Plan'!$N$6:$N$173,'PSI Plan'!$B$6:$B$173,B705,'PSI Plan'!$C$6:$C$173,I705))</f>
        <v>0</v>
      </c>
      <c r="O705" s="11">
        <f t="shared" si="20"/>
        <v>0</v>
      </c>
      <c r="P705" s="11">
        <f t="shared" si="21"/>
        <v>0</v>
      </c>
      <c r="Q705" s="6"/>
      <c r="R705" s="6"/>
      <c r="S705" s="6"/>
      <c r="T705" s="6"/>
    </row>
    <row r="706" spans="1:20">
      <c r="A706" s="6" t="s">
        <v>851</v>
      </c>
      <c r="B706" s="6" t="s">
        <v>66</v>
      </c>
      <c r="C706" s="6" t="s">
        <v>99</v>
      </c>
      <c r="D706" s="6" t="s">
        <v>319</v>
      </c>
      <c r="E706" s="6" t="s">
        <v>120</v>
      </c>
      <c r="F706" s="7">
        <v>416</v>
      </c>
      <c r="G706" s="7">
        <v>52000</v>
      </c>
      <c r="H706" s="16">
        <v>45260</v>
      </c>
      <c r="I706" s="6">
        <v>48</v>
      </c>
      <c r="J706" s="6" t="s">
        <v>121</v>
      </c>
      <c r="K706" s="6" t="s">
        <v>347</v>
      </c>
      <c r="L706" s="11">
        <f>F706*Controls!$B$6</f>
        <v>416</v>
      </c>
      <c r="M706" s="11">
        <f>G706*Controls!$B$6</f>
        <v>52000</v>
      </c>
      <c r="N706" s="12">
        <f>IF(L706=0,0,SUMIFS('PSI Plan'!$N$6:$N$173,'PSI Plan'!$B$6:$B$173,B706,'PSI Plan'!$C$6:$C$173,I706))</f>
        <v>0</v>
      </c>
      <c r="O706" s="11">
        <f t="shared" ref="O706:O769" si="22">L706*N706</f>
        <v>0</v>
      </c>
      <c r="P706" s="11">
        <f t="shared" ref="P706:P769" si="23">M706*N706</f>
        <v>0</v>
      </c>
      <c r="Q706" s="6"/>
      <c r="R706" s="6"/>
      <c r="S706" s="6"/>
      <c r="T706" s="6"/>
    </row>
    <row r="707" spans="1:20">
      <c r="A707" s="6" t="s">
        <v>852</v>
      </c>
      <c r="B707" s="6" t="s">
        <v>77</v>
      </c>
      <c r="C707" s="6" t="s">
        <v>99</v>
      </c>
      <c r="D707" s="6" t="s">
        <v>319</v>
      </c>
      <c r="E707" s="6" t="s">
        <v>120</v>
      </c>
      <c r="F707" s="7">
        <v>260</v>
      </c>
      <c r="G707" s="7">
        <v>32500</v>
      </c>
      <c r="H707" s="16">
        <v>45218</v>
      </c>
      <c r="I707" s="6">
        <v>42</v>
      </c>
      <c r="J707" s="6" t="s">
        <v>121</v>
      </c>
      <c r="K707" s="6" t="s">
        <v>347</v>
      </c>
      <c r="L707" s="11">
        <f>F707*Controls!$B$6</f>
        <v>260</v>
      </c>
      <c r="M707" s="11">
        <f>G707*Controls!$B$6</f>
        <v>32500</v>
      </c>
      <c r="N707" s="12">
        <f>IF(L707=0,0,SUMIFS('PSI Plan'!$N$6:$N$173,'PSI Plan'!$B$6:$B$173,B707,'PSI Plan'!$C$6:$C$173,I707))</f>
        <v>0</v>
      </c>
      <c r="O707" s="11">
        <f t="shared" si="22"/>
        <v>0</v>
      </c>
      <c r="P707" s="11">
        <f t="shared" si="23"/>
        <v>0</v>
      </c>
      <c r="Q707" s="6"/>
      <c r="R707" s="6"/>
      <c r="S707" s="6"/>
      <c r="T707" s="6"/>
    </row>
    <row r="708" spans="1:20">
      <c r="A708" s="6" t="s">
        <v>853</v>
      </c>
      <c r="B708" s="6" t="s">
        <v>69</v>
      </c>
      <c r="C708" s="6" t="s">
        <v>99</v>
      </c>
      <c r="D708" s="6" t="s">
        <v>319</v>
      </c>
      <c r="E708" s="6" t="s">
        <v>120</v>
      </c>
      <c r="F708" s="7">
        <v>416</v>
      </c>
      <c r="G708" s="7">
        <v>52000</v>
      </c>
      <c r="H708" s="16">
        <v>45259</v>
      </c>
      <c r="I708" s="6">
        <v>48</v>
      </c>
      <c r="J708" s="6" t="s">
        <v>121</v>
      </c>
      <c r="K708" s="6" t="s">
        <v>347</v>
      </c>
      <c r="L708" s="11">
        <f>F708*Controls!$B$6</f>
        <v>416</v>
      </c>
      <c r="M708" s="11">
        <f>G708*Controls!$B$6</f>
        <v>52000</v>
      </c>
      <c r="N708" s="12">
        <f>IF(L708=0,0,SUMIFS('PSI Plan'!$N$6:$N$173,'PSI Plan'!$B$6:$B$173,B708,'PSI Plan'!$C$6:$C$173,I708))</f>
        <v>0</v>
      </c>
      <c r="O708" s="11">
        <f t="shared" si="22"/>
        <v>0</v>
      </c>
      <c r="P708" s="11">
        <f t="shared" si="23"/>
        <v>0</v>
      </c>
      <c r="Q708" s="6"/>
      <c r="R708" s="6"/>
      <c r="S708" s="6"/>
      <c r="T708" s="6"/>
    </row>
    <row r="709" spans="1:20">
      <c r="A709" s="6" t="s">
        <v>854</v>
      </c>
      <c r="B709" s="6" t="s">
        <v>69</v>
      </c>
      <c r="C709" s="6" t="s">
        <v>90</v>
      </c>
      <c r="D709" s="6" t="s">
        <v>119</v>
      </c>
      <c r="E709" s="6" t="s">
        <v>120</v>
      </c>
      <c r="F709" s="7">
        <v>12</v>
      </c>
      <c r="G709" s="7">
        <v>1500</v>
      </c>
      <c r="H709" s="16">
        <v>45256</v>
      </c>
      <c r="I709" s="6">
        <v>48</v>
      </c>
      <c r="J709" s="6" t="s">
        <v>121</v>
      </c>
      <c r="K709" s="6" t="s">
        <v>855</v>
      </c>
      <c r="L709" s="11">
        <f>F709*Controls!$B$6</f>
        <v>12</v>
      </c>
      <c r="M709" s="11">
        <f>G709*Controls!$B$6</f>
        <v>1500</v>
      </c>
      <c r="N709" s="12">
        <f>IF(L709=0,0,SUMIFS('PSI Plan'!$N$6:$N$173,'PSI Plan'!$B$6:$B$173,B709,'PSI Plan'!$C$6:$C$173,I709))</f>
        <v>0</v>
      </c>
      <c r="O709" s="11">
        <f t="shared" si="22"/>
        <v>0</v>
      </c>
      <c r="P709" s="11">
        <f t="shared" si="23"/>
        <v>0</v>
      </c>
      <c r="Q709" s="6"/>
      <c r="R709" s="6"/>
      <c r="S709" s="6"/>
      <c r="T709" s="6"/>
    </row>
    <row r="710" spans="1:20">
      <c r="A710" s="6" t="s">
        <v>856</v>
      </c>
      <c r="B710" s="6" t="s">
        <v>77</v>
      </c>
      <c r="C710" s="6" t="s">
        <v>90</v>
      </c>
      <c r="D710" s="6" t="s">
        <v>119</v>
      </c>
      <c r="E710" s="6" t="s">
        <v>120</v>
      </c>
      <c r="F710" s="7">
        <v>26</v>
      </c>
      <c r="G710" s="7">
        <v>3250</v>
      </c>
      <c r="H710" s="16">
        <v>45269</v>
      </c>
      <c r="I710" s="6">
        <v>49</v>
      </c>
      <c r="J710" s="6" t="s">
        <v>121</v>
      </c>
      <c r="K710" s="6" t="s">
        <v>171</v>
      </c>
      <c r="L710" s="11">
        <f>F710*Controls!$B$6</f>
        <v>26</v>
      </c>
      <c r="M710" s="11">
        <f>G710*Controls!$B$6</f>
        <v>3250</v>
      </c>
      <c r="N710" s="12">
        <f>IF(L710=0,0,SUMIFS('PSI Plan'!$N$6:$N$173,'PSI Plan'!$B$6:$B$173,B710,'PSI Plan'!$C$6:$C$173,I710))</f>
        <v>0</v>
      </c>
      <c r="O710" s="11">
        <f t="shared" si="22"/>
        <v>0</v>
      </c>
      <c r="P710" s="11">
        <f t="shared" si="23"/>
        <v>0</v>
      </c>
      <c r="Q710" s="6"/>
      <c r="R710" s="6"/>
      <c r="S710" s="6"/>
      <c r="T710" s="6"/>
    </row>
    <row r="711" spans="1:20">
      <c r="A711" s="6" t="s">
        <v>857</v>
      </c>
      <c r="B711" s="6" t="s">
        <v>76</v>
      </c>
      <c r="C711" s="6" t="s">
        <v>90</v>
      </c>
      <c r="D711" s="6" t="s">
        <v>119</v>
      </c>
      <c r="E711" s="6" t="s">
        <v>120</v>
      </c>
      <c r="F711" s="7">
        <v>4</v>
      </c>
      <c r="G711" s="7">
        <v>500</v>
      </c>
      <c r="H711" s="16">
        <v>45290</v>
      </c>
      <c r="I711" s="6">
        <v>52</v>
      </c>
      <c r="J711" s="6" t="s">
        <v>121</v>
      </c>
      <c r="K711" s="6" t="s">
        <v>171</v>
      </c>
      <c r="L711" s="11">
        <f>F711*Controls!$B$6</f>
        <v>4</v>
      </c>
      <c r="M711" s="11">
        <f>G711*Controls!$B$6</f>
        <v>500</v>
      </c>
      <c r="N711" s="12">
        <f>IF(L711=0,0,SUMIFS('PSI Plan'!$N$6:$N$173,'PSI Plan'!$B$6:$B$173,B711,'PSI Plan'!$C$6:$C$173,I711))</f>
        <v>0</v>
      </c>
      <c r="O711" s="11">
        <f t="shared" si="22"/>
        <v>0</v>
      </c>
      <c r="P711" s="11">
        <f t="shared" si="23"/>
        <v>0</v>
      </c>
      <c r="Q711" s="6"/>
      <c r="R711" s="6"/>
      <c r="S711" s="6"/>
      <c r="T711" s="6"/>
    </row>
    <row r="712" spans="1:20">
      <c r="A712" s="6" t="s">
        <v>858</v>
      </c>
      <c r="B712" s="6" t="s">
        <v>69</v>
      </c>
      <c r="C712" s="6" t="s">
        <v>90</v>
      </c>
      <c r="D712" s="6" t="s">
        <v>119</v>
      </c>
      <c r="E712" s="6" t="s">
        <v>120</v>
      </c>
      <c r="F712" s="7">
        <v>52</v>
      </c>
      <c r="G712" s="7">
        <v>6500</v>
      </c>
      <c r="H712" s="16">
        <v>45216</v>
      </c>
      <c r="I712" s="6">
        <v>42</v>
      </c>
      <c r="J712" s="6" t="s">
        <v>121</v>
      </c>
      <c r="K712" s="6" t="s">
        <v>171</v>
      </c>
      <c r="L712" s="11">
        <f>F712*Controls!$B$6</f>
        <v>52</v>
      </c>
      <c r="M712" s="11">
        <f>G712*Controls!$B$6</f>
        <v>6500</v>
      </c>
      <c r="N712" s="12">
        <f>IF(L712=0,0,SUMIFS('PSI Plan'!$N$6:$N$173,'PSI Plan'!$B$6:$B$173,B712,'PSI Plan'!$C$6:$C$173,I712))</f>
        <v>0</v>
      </c>
      <c r="O712" s="11">
        <f t="shared" si="22"/>
        <v>0</v>
      </c>
      <c r="P712" s="11">
        <f t="shared" si="23"/>
        <v>0</v>
      </c>
      <c r="Q712" s="6"/>
      <c r="R712" s="6"/>
      <c r="S712" s="6"/>
      <c r="T712" s="6"/>
    </row>
    <row r="713" spans="1:20">
      <c r="A713" s="6" t="s">
        <v>859</v>
      </c>
      <c r="B713" s="6" t="s">
        <v>77</v>
      </c>
      <c r="C713" s="6" t="s">
        <v>90</v>
      </c>
      <c r="D713" s="6" t="s">
        <v>119</v>
      </c>
      <c r="E713" s="6" t="s">
        <v>120</v>
      </c>
      <c r="F713" s="7">
        <v>7</v>
      </c>
      <c r="G713" s="7">
        <v>875</v>
      </c>
      <c r="H713" s="16">
        <v>45251</v>
      </c>
      <c r="I713" s="6">
        <v>47</v>
      </c>
      <c r="J713" s="6" t="s">
        <v>121</v>
      </c>
      <c r="K713" s="6" t="s">
        <v>132</v>
      </c>
      <c r="L713" s="11">
        <f>F713*Controls!$B$6</f>
        <v>7</v>
      </c>
      <c r="M713" s="11">
        <f>G713*Controls!$B$6</f>
        <v>875</v>
      </c>
      <c r="N713" s="12">
        <f>IF(L713=0,0,SUMIFS('PSI Plan'!$N$6:$N$173,'PSI Plan'!$B$6:$B$173,B713,'PSI Plan'!$C$6:$C$173,I713))</f>
        <v>0</v>
      </c>
      <c r="O713" s="11">
        <f t="shared" si="22"/>
        <v>0</v>
      </c>
      <c r="P713" s="11">
        <f t="shared" si="23"/>
        <v>0</v>
      </c>
      <c r="Q713" s="6"/>
      <c r="R713" s="6"/>
      <c r="S713" s="6"/>
      <c r="T713" s="6"/>
    </row>
    <row r="714" spans="1:20">
      <c r="A714" s="6" t="s">
        <v>860</v>
      </c>
      <c r="B714" s="6" t="s">
        <v>69</v>
      </c>
      <c r="C714" s="6" t="s">
        <v>90</v>
      </c>
      <c r="D714" s="6" t="s">
        <v>119</v>
      </c>
      <c r="E714" s="6" t="s">
        <v>120</v>
      </c>
      <c r="F714" s="7">
        <v>5</v>
      </c>
      <c r="G714" s="7">
        <v>625</v>
      </c>
      <c r="H714" s="16">
        <v>45282</v>
      </c>
      <c r="I714" s="6">
        <v>51</v>
      </c>
      <c r="J714" s="6" t="s">
        <v>121</v>
      </c>
      <c r="K714" s="6" t="s">
        <v>132</v>
      </c>
      <c r="L714" s="11">
        <f>F714*Controls!$B$6</f>
        <v>5</v>
      </c>
      <c r="M714" s="11">
        <f>G714*Controls!$B$6</f>
        <v>625</v>
      </c>
      <c r="N714" s="12">
        <f>IF(L714=0,0,SUMIFS('PSI Plan'!$N$6:$N$173,'PSI Plan'!$B$6:$B$173,B714,'PSI Plan'!$C$6:$C$173,I714))</f>
        <v>0</v>
      </c>
      <c r="O714" s="11">
        <f t="shared" si="22"/>
        <v>0</v>
      </c>
      <c r="P714" s="11">
        <f t="shared" si="23"/>
        <v>0</v>
      </c>
      <c r="Q714" s="6"/>
      <c r="R714" s="6"/>
      <c r="S714" s="6"/>
      <c r="T714" s="6"/>
    </row>
    <row r="715" spans="1:20">
      <c r="A715" s="6" t="s">
        <v>861</v>
      </c>
      <c r="B715" s="6" t="s">
        <v>66</v>
      </c>
      <c r="C715" s="6" t="s">
        <v>90</v>
      </c>
      <c r="D715" s="6" t="s">
        <v>119</v>
      </c>
      <c r="E715" s="6" t="s">
        <v>120</v>
      </c>
      <c r="F715" s="7">
        <v>5</v>
      </c>
      <c r="G715" s="7">
        <v>625</v>
      </c>
      <c r="H715" s="16">
        <v>45261</v>
      </c>
      <c r="I715" s="6">
        <v>48</v>
      </c>
      <c r="J715" s="6" t="s">
        <v>121</v>
      </c>
      <c r="K715" s="6" t="s">
        <v>298</v>
      </c>
      <c r="L715" s="11">
        <f>F715*Controls!$B$6</f>
        <v>5</v>
      </c>
      <c r="M715" s="11">
        <f>G715*Controls!$B$6</f>
        <v>625</v>
      </c>
      <c r="N715" s="12">
        <f>IF(L715=0,0,SUMIFS('PSI Plan'!$N$6:$N$173,'PSI Plan'!$B$6:$B$173,B715,'PSI Plan'!$C$6:$C$173,I715))</f>
        <v>0</v>
      </c>
      <c r="O715" s="11">
        <f t="shared" si="22"/>
        <v>0</v>
      </c>
      <c r="P715" s="11">
        <f t="shared" si="23"/>
        <v>0</v>
      </c>
      <c r="Q715" s="6"/>
      <c r="R715" s="6"/>
      <c r="S715" s="6"/>
      <c r="T715" s="6"/>
    </row>
    <row r="716" spans="1:20">
      <c r="A716" s="6" t="s">
        <v>862</v>
      </c>
      <c r="B716" s="6" t="s">
        <v>77</v>
      </c>
      <c r="C716" s="6" t="s">
        <v>90</v>
      </c>
      <c r="D716" s="6" t="s">
        <v>119</v>
      </c>
      <c r="E716" s="6" t="s">
        <v>120</v>
      </c>
      <c r="F716" s="7">
        <v>5</v>
      </c>
      <c r="G716" s="7">
        <v>625</v>
      </c>
      <c r="H716" s="16">
        <v>45278</v>
      </c>
      <c r="I716" s="6">
        <v>51</v>
      </c>
      <c r="J716" s="6" t="s">
        <v>121</v>
      </c>
      <c r="K716" s="6" t="s">
        <v>298</v>
      </c>
      <c r="L716" s="11">
        <f>F716*Controls!$B$6</f>
        <v>5</v>
      </c>
      <c r="M716" s="11">
        <f>G716*Controls!$B$6</f>
        <v>625</v>
      </c>
      <c r="N716" s="12">
        <f>IF(L716=0,0,SUMIFS('PSI Plan'!$N$6:$N$173,'PSI Plan'!$B$6:$B$173,B716,'PSI Plan'!$C$6:$C$173,I716))</f>
        <v>0</v>
      </c>
      <c r="O716" s="11">
        <f t="shared" si="22"/>
        <v>0</v>
      </c>
      <c r="P716" s="11">
        <f t="shared" si="23"/>
        <v>0</v>
      </c>
      <c r="Q716" s="6"/>
      <c r="R716" s="6"/>
      <c r="S716" s="6"/>
      <c r="T716" s="6"/>
    </row>
    <row r="717" spans="1:20">
      <c r="A717" s="6" t="s">
        <v>863</v>
      </c>
      <c r="B717" s="6" t="s">
        <v>76</v>
      </c>
      <c r="C717" s="6" t="s">
        <v>90</v>
      </c>
      <c r="D717" s="6" t="s">
        <v>119</v>
      </c>
      <c r="E717" s="6" t="s">
        <v>120</v>
      </c>
      <c r="F717" s="7">
        <v>5</v>
      </c>
      <c r="G717" s="7">
        <v>625</v>
      </c>
      <c r="H717" s="16">
        <v>45256</v>
      </c>
      <c r="I717" s="6">
        <v>48</v>
      </c>
      <c r="J717" s="6" t="s">
        <v>121</v>
      </c>
      <c r="K717" s="6" t="s">
        <v>298</v>
      </c>
      <c r="L717" s="11">
        <f>F717*Controls!$B$6</f>
        <v>5</v>
      </c>
      <c r="M717" s="11">
        <f>G717*Controls!$B$6</f>
        <v>625</v>
      </c>
      <c r="N717" s="12">
        <f>IF(L717=0,0,SUMIFS('PSI Plan'!$N$6:$N$173,'PSI Plan'!$B$6:$B$173,B717,'PSI Plan'!$C$6:$C$173,I717))</f>
        <v>0</v>
      </c>
      <c r="O717" s="11">
        <f t="shared" si="22"/>
        <v>0</v>
      </c>
      <c r="P717" s="11">
        <f t="shared" si="23"/>
        <v>0</v>
      </c>
      <c r="Q717" s="6"/>
      <c r="R717" s="6"/>
      <c r="S717" s="6"/>
      <c r="T717" s="6"/>
    </row>
    <row r="718" spans="1:20">
      <c r="A718" s="6" t="s">
        <v>864</v>
      </c>
      <c r="B718" s="6" t="s">
        <v>77</v>
      </c>
      <c r="C718" s="6" t="s">
        <v>90</v>
      </c>
      <c r="D718" s="6" t="s">
        <v>119</v>
      </c>
      <c r="E718" s="6" t="s">
        <v>120</v>
      </c>
      <c r="F718" s="7">
        <v>26</v>
      </c>
      <c r="G718" s="7">
        <v>3250</v>
      </c>
      <c r="H718" s="16">
        <v>45236</v>
      </c>
      <c r="I718" s="6">
        <v>45</v>
      </c>
      <c r="J718" s="6" t="s">
        <v>121</v>
      </c>
      <c r="K718" s="6" t="s">
        <v>135</v>
      </c>
      <c r="L718" s="11">
        <f>F718*Controls!$B$6</f>
        <v>26</v>
      </c>
      <c r="M718" s="11">
        <f>G718*Controls!$B$6</f>
        <v>3250</v>
      </c>
      <c r="N718" s="12">
        <f>IF(L718=0,0,SUMIFS('PSI Plan'!$N$6:$N$173,'PSI Plan'!$B$6:$B$173,B718,'PSI Plan'!$C$6:$C$173,I718))</f>
        <v>0</v>
      </c>
      <c r="O718" s="11">
        <f t="shared" si="22"/>
        <v>0</v>
      </c>
      <c r="P718" s="11">
        <f t="shared" si="23"/>
        <v>0</v>
      </c>
      <c r="Q718" s="6"/>
      <c r="R718" s="6"/>
      <c r="S718" s="6"/>
      <c r="T718" s="6"/>
    </row>
    <row r="719" spans="1:20">
      <c r="A719" s="6" t="s">
        <v>865</v>
      </c>
      <c r="B719" s="6" t="s">
        <v>66</v>
      </c>
      <c r="C719" s="6" t="s">
        <v>90</v>
      </c>
      <c r="D719" s="6" t="s">
        <v>119</v>
      </c>
      <c r="E719" s="6" t="s">
        <v>120</v>
      </c>
      <c r="F719" s="7">
        <v>26</v>
      </c>
      <c r="G719" s="7">
        <v>3250</v>
      </c>
      <c r="H719" s="16">
        <v>45273</v>
      </c>
      <c r="I719" s="6">
        <v>50</v>
      </c>
      <c r="J719" s="6" t="s">
        <v>121</v>
      </c>
      <c r="K719" s="6" t="s">
        <v>122</v>
      </c>
      <c r="L719" s="11">
        <f>F719*Controls!$B$6</f>
        <v>26</v>
      </c>
      <c r="M719" s="11">
        <f>G719*Controls!$B$6</f>
        <v>3250</v>
      </c>
      <c r="N719" s="12">
        <f>IF(L719=0,0,SUMIFS('PSI Plan'!$N$6:$N$173,'PSI Plan'!$B$6:$B$173,B719,'PSI Plan'!$C$6:$C$173,I719))</f>
        <v>0</v>
      </c>
      <c r="O719" s="11">
        <f t="shared" si="22"/>
        <v>0</v>
      </c>
      <c r="P719" s="11">
        <f t="shared" si="23"/>
        <v>0</v>
      </c>
      <c r="Q719" s="6"/>
      <c r="R719" s="6"/>
      <c r="S719" s="6"/>
      <c r="T719" s="6"/>
    </row>
    <row r="720" spans="1:20">
      <c r="A720" s="6" t="s">
        <v>866</v>
      </c>
      <c r="B720" s="6" t="s">
        <v>77</v>
      </c>
      <c r="C720" s="6" t="s">
        <v>90</v>
      </c>
      <c r="D720" s="6" t="s">
        <v>119</v>
      </c>
      <c r="E720" s="6" t="s">
        <v>120</v>
      </c>
      <c r="F720" s="7">
        <v>52</v>
      </c>
      <c r="G720" s="7">
        <v>6500</v>
      </c>
      <c r="H720" s="16">
        <v>45229</v>
      </c>
      <c r="I720" s="6">
        <v>44</v>
      </c>
      <c r="J720" s="6" t="s">
        <v>121</v>
      </c>
      <c r="K720" s="6" t="s">
        <v>122</v>
      </c>
      <c r="L720" s="11">
        <f>F720*Controls!$B$6</f>
        <v>52</v>
      </c>
      <c r="M720" s="11">
        <f>G720*Controls!$B$6</f>
        <v>6500</v>
      </c>
      <c r="N720" s="12">
        <f>IF(L720=0,0,SUMIFS('PSI Plan'!$N$6:$N$173,'PSI Plan'!$B$6:$B$173,B720,'PSI Plan'!$C$6:$C$173,I720))</f>
        <v>0</v>
      </c>
      <c r="O720" s="11">
        <f t="shared" si="22"/>
        <v>0</v>
      </c>
      <c r="P720" s="11">
        <f t="shared" si="23"/>
        <v>0</v>
      </c>
      <c r="Q720" s="6"/>
      <c r="R720" s="6"/>
      <c r="S720" s="6"/>
      <c r="T720" s="6"/>
    </row>
    <row r="721" spans="1:20">
      <c r="A721" s="6" t="s">
        <v>867</v>
      </c>
      <c r="B721" s="6" t="s">
        <v>76</v>
      </c>
      <c r="C721" s="6" t="s">
        <v>90</v>
      </c>
      <c r="D721" s="6" t="s">
        <v>119</v>
      </c>
      <c r="E721" s="6" t="s">
        <v>120</v>
      </c>
      <c r="F721" s="7">
        <v>26</v>
      </c>
      <c r="G721" s="7">
        <v>3250</v>
      </c>
      <c r="H721" s="16">
        <v>45263</v>
      </c>
      <c r="I721" s="6">
        <v>49</v>
      </c>
      <c r="J721" s="6" t="s">
        <v>121</v>
      </c>
      <c r="K721" s="6" t="s">
        <v>122</v>
      </c>
      <c r="L721" s="11">
        <f>F721*Controls!$B$6</f>
        <v>26</v>
      </c>
      <c r="M721" s="11">
        <f>G721*Controls!$B$6</f>
        <v>3250</v>
      </c>
      <c r="N721" s="12">
        <f>IF(L721=0,0,SUMIFS('PSI Plan'!$N$6:$N$173,'PSI Plan'!$B$6:$B$173,B721,'PSI Plan'!$C$6:$C$173,I721))</f>
        <v>0</v>
      </c>
      <c r="O721" s="11">
        <f t="shared" si="22"/>
        <v>0</v>
      </c>
      <c r="P721" s="11">
        <f t="shared" si="23"/>
        <v>0</v>
      </c>
      <c r="Q721" s="6"/>
      <c r="R721" s="6"/>
      <c r="S721" s="6"/>
      <c r="T721" s="6"/>
    </row>
    <row r="722" spans="1:20">
      <c r="A722" s="6" t="s">
        <v>868</v>
      </c>
      <c r="B722" s="6" t="s">
        <v>67</v>
      </c>
      <c r="C722" s="6" t="s">
        <v>90</v>
      </c>
      <c r="D722" s="6" t="s">
        <v>119</v>
      </c>
      <c r="E722" s="6" t="s">
        <v>120</v>
      </c>
      <c r="F722" s="7">
        <v>52</v>
      </c>
      <c r="G722" s="7">
        <v>6500</v>
      </c>
      <c r="H722" s="16">
        <v>45269</v>
      </c>
      <c r="I722" s="6">
        <v>49</v>
      </c>
      <c r="J722" s="6" t="s">
        <v>121</v>
      </c>
      <c r="K722" s="6" t="s">
        <v>122</v>
      </c>
      <c r="L722" s="11">
        <f>F722*Controls!$B$6</f>
        <v>52</v>
      </c>
      <c r="M722" s="11">
        <f>G722*Controls!$B$6</f>
        <v>6500</v>
      </c>
      <c r="N722" s="12">
        <f>IF(L722=0,0,SUMIFS('PSI Plan'!$N$6:$N$173,'PSI Plan'!$B$6:$B$173,B722,'PSI Plan'!$C$6:$C$173,I722))</f>
        <v>0</v>
      </c>
      <c r="O722" s="11">
        <f t="shared" si="22"/>
        <v>0</v>
      </c>
      <c r="P722" s="11">
        <f t="shared" si="23"/>
        <v>0</v>
      </c>
      <c r="Q722" s="6"/>
      <c r="R722" s="6"/>
      <c r="S722" s="6"/>
      <c r="T722" s="6"/>
    </row>
    <row r="723" spans="1:20">
      <c r="A723" s="6" t="s">
        <v>869</v>
      </c>
      <c r="B723" s="6" t="s">
        <v>69</v>
      </c>
      <c r="C723" s="6" t="s">
        <v>90</v>
      </c>
      <c r="D723" s="6" t="s">
        <v>119</v>
      </c>
      <c r="E723" s="6" t="s">
        <v>120</v>
      </c>
      <c r="F723" s="7">
        <v>26</v>
      </c>
      <c r="G723" s="7">
        <v>3250</v>
      </c>
      <c r="H723" s="16">
        <v>45238</v>
      </c>
      <c r="I723" s="6">
        <v>45</v>
      </c>
      <c r="J723" s="6" t="s">
        <v>121</v>
      </c>
      <c r="K723" s="6" t="s">
        <v>122</v>
      </c>
      <c r="L723" s="11">
        <f>F723*Controls!$B$6</f>
        <v>26</v>
      </c>
      <c r="M723" s="11">
        <f>G723*Controls!$B$6</f>
        <v>3250</v>
      </c>
      <c r="N723" s="12">
        <f>IF(L723=0,0,SUMIFS('PSI Plan'!$N$6:$N$173,'PSI Plan'!$B$6:$B$173,B723,'PSI Plan'!$C$6:$C$173,I723))</f>
        <v>0</v>
      </c>
      <c r="O723" s="11">
        <f t="shared" si="22"/>
        <v>0</v>
      </c>
      <c r="P723" s="11">
        <f t="shared" si="23"/>
        <v>0</v>
      </c>
      <c r="Q723" s="6"/>
      <c r="R723" s="6"/>
      <c r="S723" s="6"/>
      <c r="T723" s="6"/>
    </row>
    <row r="724" spans="1:20">
      <c r="A724" s="6" t="s">
        <v>870</v>
      </c>
      <c r="B724" s="6" t="s">
        <v>66</v>
      </c>
      <c r="C724" s="6" t="s">
        <v>100</v>
      </c>
      <c r="D724" s="6" t="s">
        <v>567</v>
      </c>
      <c r="E724" s="6" t="s">
        <v>120</v>
      </c>
      <c r="F724" s="7">
        <v>16</v>
      </c>
      <c r="G724" s="7">
        <v>2000</v>
      </c>
      <c r="H724" s="16">
        <v>45279</v>
      </c>
      <c r="I724" s="6">
        <v>51</v>
      </c>
      <c r="J724" s="6" t="s">
        <v>121</v>
      </c>
      <c r="K724" s="6" t="s">
        <v>781</v>
      </c>
      <c r="L724" s="11">
        <f>F724*Controls!$B$6</f>
        <v>16</v>
      </c>
      <c r="M724" s="11">
        <f>G724*Controls!$B$6</f>
        <v>2000</v>
      </c>
      <c r="N724" s="12">
        <f>IF(L724=0,0,SUMIFS('PSI Plan'!$N$6:$N$173,'PSI Plan'!$B$6:$B$173,B724,'PSI Plan'!$C$6:$C$173,I724))</f>
        <v>0</v>
      </c>
      <c r="O724" s="11">
        <f t="shared" si="22"/>
        <v>0</v>
      </c>
      <c r="P724" s="11">
        <f t="shared" si="23"/>
        <v>0</v>
      </c>
      <c r="Q724" s="6"/>
      <c r="R724" s="6"/>
      <c r="S724" s="6"/>
      <c r="T724" s="6"/>
    </row>
    <row r="725" spans="1:20">
      <c r="A725" s="6" t="s">
        <v>871</v>
      </c>
      <c r="B725" s="6" t="s">
        <v>77</v>
      </c>
      <c r="C725" s="6" t="s">
        <v>100</v>
      </c>
      <c r="D725" s="6" t="s">
        <v>567</v>
      </c>
      <c r="E725" s="6" t="s">
        <v>120</v>
      </c>
      <c r="F725" s="7">
        <v>3</v>
      </c>
      <c r="G725" s="7">
        <v>375</v>
      </c>
      <c r="H725" s="16">
        <v>45259</v>
      </c>
      <c r="I725" s="6">
        <v>48</v>
      </c>
      <c r="J725" s="6" t="s">
        <v>121</v>
      </c>
      <c r="K725" s="6" t="s">
        <v>781</v>
      </c>
      <c r="L725" s="11">
        <f>F725*Controls!$B$6</f>
        <v>3</v>
      </c>
      <c r="M725" s="11">
        <f>G725*Controls!$B$6</f>
        <v>375</v>
      </c>
      <c r="N725" s="12">
        <f>IF(L725=0,0,SUMIFS('PSI Plan'!$N$6:$N$173,'PSI Plan'!$B$6:$B$173,B725,'PSI Plan'!$C$6:$C$173,I725))</f>
        <v>0</v>
      </c>
      <c r="O725" s="11">
        <f t="shared" si="22"/>
        <v>0</v>
      </c>
      <c r="P725" s="11">
        <f t="shared" si="23"/>
        <v>0</v>
      </c>
      <c r="Q725" s="6"/>
      <c r="R725" s="6"/>
      <c r="S725" s="6"/>
      <c r="T725" s="6"/>
    </row>
    <row r="726" spans="1:20">
      <c r="A726" s="6" t="s">
        <v>872</v>
      </c>
      <c r="B726" s="6" t="s">
        <v>76</v>
      </c>
      <c r="C726" s="6" t="s">
        <v>100</v>
      </c>
      <c r="D726" s="6" t="s">
        <v>567</v>
      </c>
      <c r="E726" s="6" t="s">
        <v>120</v>
      </c>
      <c r="F726" s="7">
        <v>10</v>
      </c>
      <c r="G726" s="7">
        <v>1250</v>
      </c>
      <c r="H726" s="16">
        <v>45212</v>
      </c>
      <c r="I726" s="6">
        <v>41</v>
      </c>
      <c r="J726" s="6" t="s">
        <v>121</v>
      </c>
      <c r="K726" s="6" t="s">
        <v>781</v>
      </c>
      <c r="L726" s="11">
        <f>F726*Controls!$B$6</f>
        <v>10</v>
      </c>
      <c r="M726" s="11">
        <f>G726*Controls!$B$6</f>
        <v>1250</v>
      </c>
      <c r="N726" s="12">
        <f>IF(L726=0,0,SUMIFS('PSI Plan'!$N$6:$N$173,'PSI Plan'!$B$6:$B$173,B726,'PSI Plan'!$C$6:$C$173,I726))</f>
        <v>0</v>
      </c>
      <c r="O726" s="11">
        <f t="shared" si="22"/>
        <v>0</v>
      </c>
      <c r="P726" s="11">
        <f t="shared" si="23"/>
        <v>0</v>
      </c>
      <c r="Q726" s="6"/>
      <c r="R726" s="6"/>
      <c r="S726" s="6"/>
      <c r="T726" s="6"/>
    </row>
    <row r="727" spans="1:20">
      <c r="A727" s="6" t="s">
        <v>873</v>
      </c>
      <c r="B727" s="6" t="s">
        <v>69</v>
      </c>
      <c r="C727" s="6" t="s">
        <v>100</v>
      </c>
      <c r="D727" s="6" t="s">
        <v>567</v>
      </c>
      <c r="E727" s="6" t="s">
        <v>120</v>
      </c>
      <c r="F727" s="7">
        <v>6</v>
      </c>
      <c r="G727" s="7">
        <v>750</v>
      </c>
      <c r="H727" s="16">
        <v>45221</v>
      </c>
      <c r="I727" s="6">
        <v>43</v>
      </c>
      <c r="J727" s="6" t="s">
        <v>121</v>
      </c>
      <c r="K727" s="6" t="s">
        <v>781</v>
      </c>
      <c r="L727" s="11">
        <f>F727*Controls!$B$6</f>
        <v>6</v>
      </c>
      <c r="M727" s="11">
        <f>G727*Controls!$B$6</f>
        <v>750</v>
      </c>
      <c r="N727" s="12">
        <f>IF(L727=0,0,SUMIFS('PSI Plan'!$N$6:$N$173,'PSI Plan'!$B$6:$B$173,B727,'PSI Plan'!$C$6:$C$173,I727))</f>
        <v>0</v>
      </c>
      <c r="O727" s="11">
        <f t="shared" si="22"/>
        <v>0</v>
      </c>
      <c r="P727" s="11">
        <f t="shared" si="23"/>
        <v>0</v>
      </c>
      <c r="Q727" s="6"/>
      <c r="R727" s="6"/>
      <c r="S727" s="6"/>
      <c r="T727" s="6"/>
    </row>
    <row r="728" spans="1:20">
      <c r="A728" s="6" t="s">
        <v>874</v>
      </c>
      <c r="B728" s="6" t="s">
        <v>67</v>
      </c>
      <c r="C728" s="6" t="s">
        <v>90</v>
      </c>
      <c r="D728" s="6" t="s">
        <v>119</v>
      </c>
      <c r="E728" s="6" t="s">
        <v>120</v>
      </c>
      <c r="F728" s="7">
        <v>52</v>
      </c>
      <c r="G728" s="7">
        <v>6500</v>
      </c>
      <c r="H728" s="16">
        <v>45237</v>
      </c>
      <c r="I728" s="6">
        <v>45</v>
      </c>
      <c r="J728" s="6" t="s">
        <v>121</v>
      </c>
      <c r="K728" s="6" t="s">
        <v>122</v>
      </c>
      <c r="L728" s="11">
        <f>F728*Controls!$B$6</f>
        <v>52</v>
      </c>
      <c r="M728" s="11">
        <f>G728*Controls!$B$6</f>
        <v>6500</v>
      </c>
      <c r="N728" s="12">
        <f>IF(L728=0,0,SUMIFS('PSI Plan'!$N$6:$N$173,'PSI Plan'!$B$6:$B$173,B728,'PSI Plan'!$C$6:$C$173,I728))</f>
        <v>0</v>
      </c>
      <c r="O728" s="11">
        <f t="shared" si="22"/>
        <v>0</v>
      </c>
      <c r="P728" s="11">
        <f t="shared" si="23"/>
        <v>0</v>
      </c>
      <c r="Q728" s="6"/>
      <c r="R728" s="6"/>
      <c r="S728" s="6"/>
      <c r="T728" s="6"/>
    </row>
    <row r="729" spans="1:20">
      <c r="A729" s="6" t="s">
        <v>875</v>
      </c>
      <c r="B729" s="6" t="s">
        <v>69</v>
      </c>
      <c r="C729" s="6" t="s">
        <v>90</v>
      </c>
      <c r="D729" s="6" t="s">
        <v>119</v>
      </c>
      <c r="E729" s="6" t="s">
        <v>120</v>
      </c>
      <c r="F729" s="7">
        <v>26</v>
      </c>
      <c r="G729" s="7">
        <v>3250</v>
      </c>
      <c r="H729" s="16">
        <v>45281</v>
      </c>
      <c r="I729" s="6">
        <v>51</v>
      </c>
      <c r="J729" s="6" t="s">
        <v>121</v>
      </c>
      <c r="K729" s="6" t="s">
        <v>122</v>
      </c>
      <c r="L729" s="11">
        <f>F729*Controls!$B$6</f>
        <v>26</v>
      </c>
      <c r="M729" s="11">
        <f>G729*Controls!$B$6</f>
        <v>3250</v>
      </c>
      <c r="N729" s="12">
        <f>IF(L729=0,0,SUMIFS('PSI Plan'!$N$6:$N$173,'PSI Plan'!$B$6:$B$173,B729,'PSI Plan'!$C$6:$C$173,I729))</f>
        <v>0</v>
      </c>
      <c r="O729" s="11">
        <f t="shared" si="22"/>
        <v>0</v>
      </c>
      <c r="P729" s="11">
        <f t="shared" si="23"/>
        <v>0</v>
      </c>
      <c r="Q729" s="6"/>
      <c r="R729" s="6"/>
      <c r="S729" s="6"/>
      <c r="T729" s="6"/>
    </row>
    <row r="730" spans="1:20">
      <c r="A730" s="6" t="s">
        <v>876</v>
      </c>
      <c r="B730" s="6" t="s">
        <v>77</v>
      </c>
      <c r="C730" s="6" t="s">
        <v>90</v>
      </c>
      <c r="D730" s="6" t="s">
        <v>119</v>
      </c>
      <c r="E730" s="6" t="s">
        <v>120</v>
      </c>
      <c r="F730" s="7">
        <v>18</v>
      </c>
      <c r="G730" s="7">
        <v>2250</v>
      </c>
      <c r="H730" s="16">
        <v>45252</v>
      </c>
      <c r="I730" s="6">
        <v>47</v>
      </c>
      <c r="J730" s="6" t="s">
        <v>121</v>
      </c>
      <c r="K730" s="6" t="s">
        <v>725</v>
      </c>
      <c r="L730" s="11">
        <f>F730*Controls!$B$6</f>
        <v>18</v>
      </c>
      <c r="M730" s="11">
        <f>G730*Controls!$B$6</f>
        <v>2250</v>
      </c>
      <c r="N730" s="12">
        <f>IF(L730=0,0,SUMIFS('PSI Plan'!$N$6:$N$173,'PSI Plan'!$B$6:$B$173,B730,'PSI Plan'!$C$6:$C$173,I730))</f>
        <v>0</v>
      </c>
      <c r="O730" s="11">
        <f t="shared" si="22"/>
        <v>0</v>
      </c>
      <c r="P730" s="11">
        <f t="shared" si="23"/>
        <v>0</v>
      </c>
      <c r="Q730" s="6"/>
      <c r="R730" s="6"/>
      <c r="S730" s="6"/>
      <c r="T730" s="6"/>
    </row>
    <row r="731" spans="1:20">
      <c r="A731" s="6" t="s">
        <v>877</v>
      </c>
      <c r="B731" s="6" t="s">
        <v>77</v>
      </c>
      <c r="C731" s="6" t="s">
        <v>90</v>
      </c>
      <c r="D731" s="6" t="s">
        <v>119</v>
      </c>
      <c r="E731" s="6" t="s">
        <v>120</v>
      </c>
      <c r="F731" s="7">
        <v>9</v>
      </c>
      <c r="G731" s="7">
        <v>1125</v>
      </c>
      <c r="H731" s="16">
        <v>45222</v>
      </c>
      <c r="I731" s="6">
        <v>43</v>
      </c>
      <c r="J731" s="6" t="s">
        <v>121</v>
      </c>
      <c r="K731" s="6" t="s">
        <v>132</v>
      </c>
      <c r="L731" s="11">
        <f>F731*Controls!$B$6</f>
        <v>9</v>
      </c>
      <c r="M731" s="11">
        <f>G731*Controls!$B$6</f>
        <v>1125</v>
      </c>
      <c r="N731" s="12">
        <f>IF(L731=0,0,SUMIFS('PSI Plan'!$N$6:$N$173,'PSI Plan'!$B$6:$B$173,B731,'PSI Plan'!$C$6:$C$173,I731))</f>
        <v>0</v>
      </c>
      <c r="O731" s="11">
        <f t="shared" si="22"/>
        <v>0</v>
      </c>
      <c r="P731" s="11">
        <f t="shared" si="23"/>
        <v>0</v>
      </c>
      <c r="Q731" s="6"/>
      <c r="R731" s="6"/>
      <c r="S731" s="6"/>
      <c r="T731" s="6"/>
    </row>
    <row r="732" spans="1:20">
      <c r="A732" s="6" t="s">
        <v>878</v>
      </c>
      <c r="B732" s="6" t="s">
        <v>69</v>
      </c>
      <c r="C732" s="6" t="s">
        <v>90</v>
      </c>
      <c r="D732" s="6" t="s">
        <v>119</v>
      </c>
      <c r="E732" s="6" t="s">
        <v>120</v>
      </c>
      <c r="F732" s="7">
        <v>9</v>
      </c>
      <c r="G732" s="7">
        <v>1125</v>
      </c>
      <c r="H732" s="16">
        <v>45254</v>
      </c>
      <c r="I732" s="6">
        <v>47</v>
      </c>
      <c r="J732" s="6" t="s">
        <v>121</v>
      </c>
      <c r="K732" s="6" t="s">
        <v>132</v>
      </c>
      <c r="L732" s="11">
        <f>F732*Controls!$B$6</f>
        <v>9</v>
      </c>
      <c r="M732" s="11">
        <f>G732*Controls!$B$6</f>
        <v>1125</v>
      </c>
      <c r="N732" s="12">
        <f>IF(L732=0,0,SUMIFS('PSI Plan'!$N$6:$N$173,'PSI Plan'!$B$6:$B$173,B732,'PSI Plan'!$C$6:$C$173,I732))</f>
        <v>0</v>
      </c>
      <c r="O732" s="11">
        <f t="shared" si="22"/>
        <v>0</v>
      </c>
      <c r="P732" s="11">
        <f t="shared" si="23"/>
        <v>0</v>
      </c>
      <c r="Q732" s="6"/>
      <c r="R732" s="6"/>
      <c r="S732" s="6"/>
      <c r="T732" s="6"/>
    </row>
    <row r="733" spans="1:20">
      <c r="A733" s="6" t="s">
        <v>879</v>
      </c>
      <c r="B733" s="6" t="s">
        <v>66</v>
      </c>
      <c r="C733" s="6" t="s">
        <v>90</v>
      </c>
      <c r="D733" s="6" t="s">
        <v>119</v>
      </c>
      <c r="E733" s="6" t="s">
        <v>120</v>
      </c>
      <c r="F733" s="7">
        <v>4</v>
      </c>
      <c r="G733" s="7">
        <v>500</v>
      </c>
      <c r="H733" s="16">
        <v>45222</v>
      </c>
      <c r="I733" s="6">
        <v>43</v>
      </c>
      <c r="J733" s="6" t="s">
        <v>121</v>
      </c>
      <c r="K733" s="6" t="s">
        <v>298</v>
      </c>
      <c r="L733" s="11">
        <f>F733*Controls!$B$6</f>
        <v>4</v>
      </c>
      <c r="M733" s="11">
        <f>G733*Controls!$B$6</f>
        <v>500</v>
      </c>
      <c r="N733" s="12">
        <f>IF(L733=0,0,SUMIFS('PSI Plan'!$N$6:$N$173,'PSI Plan'!$B$6:$B$173,B733,'PSI Plan'!$C$6:$C$173,I733))</f>
        <v>0</v>
      </c>
      <c r="O733" s="11">
        <f t="shared" si="22"/>
        <v>0</v>
      </c>
      <c r="P733" s="11">
        <f t="shared" si="23"/>
        <v>0</v>
      </c>
      <c r="Q733" s="6"/>
      <c r="R733" s="6"/>
      <c r="S733" s="6"/>
      <c r="T733" s="6"/>
    </row>
    <row r="734" spans="1:20">
      <c r="A734" s="6" t="s">
        <v>880</v>
      </c>
      <c r="B734" s="6" t="s">
        <v>77</v>
      </c>
      <c r="C734" s="6" t="s">
        <v>90</v>
      </c>
      <c r="D734" s="6" t="s">
        <v>119</v>
      </c>
      <c r="E734" s="6" t="s">
        <v>120</v>
      </c>
      <c r="F734" s="7">
        <v>12</v>
      </c>
      <c r="G734" s="7">
        <v>1500</v>
      </c>
      <c r="H734" s="16">
        <v>45251</v>
      </c>
      <c r="I734" s="6">
        <v>47</v>
      </c>
      <c r="J734" s="6" t="s">
        <v>121</v>
      </c>
      <c r="K734" s="6" t="s">
        <v>298</v>
      </c>
      <c r="L734" s="11">
        <f>F734*Controls!$B$6</f>
        <v>12</v>
      </c>
      <c r="M734" s="11">
        <f>G734*Controls!$B$6</f>
        <v>1500</v>
      </c>
      <c r="N734" s="12">
        <f>IF(L734=0,0,SUMIFS('PSI Plan'!$N$6:$N$173,'PSI Plan'!$B$6:$B$173,B734,'PSI Plan'!$C$6:$C$173,I734))</f>
        <v>0</v>
      </c>
      <c r="O734" s="11">
        <f t="shared" si="22"/>
        <v>0</v>
      </c>
      <c r="P734" s="11">
        <f t="shared" si="23"/>
        <v>0</v>
      </c>
      <c r="Q734" s="6"/>
      <c r="R734" s="6"/>
      <c r="S734" s="6"/>
      <c r="T734" s="6"/>
    </row>
    <row r="735" spans="1:20">
      <c r="A735" s="6" t="s">
        <v>881</v>
      </c>
      <c r="B735" s="6" t="s">
        <v>69</v>
      </c>
      <c r="C735" s="6" t="s">
        <v>90</v>
      </c>
      <c r="D735" s="6" t="s">
        <v>119</v>
      </c>
      <c r="E735" s="6" t="s">
        <v>120</v>
      </c>
      <c r="F735" s="7">
        <v>26</v>
      </c>
      <c r="G735" s="7">
        <v>3250</v>
      </c>
      <c r="H735" s="16">
        <v>45279</v>
      </c>
      <c r="I735" s="6">
        <v>51</v>
      </c>
      <c r="J735" s="6" t="s">
        <v>121</v>
      </c>
      <c r="K735" s="6" t="s">
        <v>298</v>
      </c>
      <c r="L735" s="11">
        <f>F735*Controls!$B$6</f>
        <v>26</v>
      </c>
      <c r="M735" s="11">
        <f>G735*Controls!$B$6</f>
        <v>3250</v>
      </c>
      <c r="N735" s="12">
        <f>IF(L735=0,0,SUMIFS('PSI Plan'!$N$6:$N$173,'PSI Plan'!$B$6:$B$173,B735,'PSI Plan'!$C$6:$C$173,I735))</f>
        <v>0</v>
      </c>
      <c r="O735" s="11">
        <f t="shared" si="22"/>
        <v>0</v>
      </c>
      <c r="P735" s="11">
        <f t="shared" si="23"/>
        <v>0</v>
      </c>
      <c r="Q735" s="6"/>
      <c r="R735" s="6"/>
      <c r="S735" s="6"/>
      <c r="T735" s="6"/>
    </row>
    <row r="736" spans="1:20">
      <c r="A736" s="6" t="s">
        <v>882</v>
      </c>
      <c r="B736" s="6" t="s">
        <v>66</v>
      </c>
      <c r="C736" s="6" t="s">
        <v>90</v>
      </c>
      <c r="D736" s="6" t="s">
        <v>119</v>
      </c>
      <c r="E736" s="6" t="s">
        <v>120</v>
      </c>
      <c r="F736" s="7">
        <v>26</v>
      </c>
      <c r="G736" s="7">
        <v>3250</v>
      </c>
      <c r="H736" s="16">
        <v>45224</v>
      </c>
      <c r="I736" s="6">
        <v>43</v>
      </c>
      <c r="J736" s="6" t="s">
        <v>121</v>
      </c>
      <c r="K736" s="6" t="s">
        <v>135</v>
      </c>
      <c r="L736" s="11">
        <f>F736*Controls!$B$6</f>
        <v>26</v>
      </c>
      <c r="M736" s="11">
        <f>G736*Controls!$B$6</f>
        <v>3250</v>
      </c>
      <c r="N736" s="12">
        <f>IF(L736=0,0,SUMIFS('PSI Plan'!$N$6:$N$173,'PSI Plan'!$B$6:$B$173,B736,'PSI Plan'!$C$6:$C$173,I736))</f>
        <v>0</v>
      </c>
      <c r="O736" s="11">
        <f t="shared" si="22"/>
        <v>0</v>
      </c>
      <c r="P736" s="11">
        <f t="shared" si="23"/>
        <v>0</v>
      </c>
      <c r="Q736" s="6"/>
      <c r="R736" s="6"/>
      <c r="S736" s="6"/>
      <c r="T736" s="6"/>
    </row>
    <row r="737" spans="1:20">
      <c r="A737" s="6" t="s">
        <v>883</v>
      </c>
      <c r="B737" s="6" t="s">
        <v>77</v>
      </c>
      <c r="C737" s="6" t="s">
        <v>90</v>
      </c>
      <c r="D737" s="6" t="s">
        <v>119</v>
      </c>
      <c r="E737" s="6" t="s">
        <v>120</v>
      </c>
      <c r="F737" s="7">
        <v>26</v>
      </c>
      <c r="G737" s="7">
        <v>3250</v>
      </c>
      <c r="H737" s="16">
        <v>45279</v>
      </c>
      <c r="I737" s="6">
        <v>51</v>
      </c>
      <c r="J737" s="6" t="s">
        <v>121</v>
      </c>
      <c r="K737" s="6" t="s">
        <v>135</v>
      </c>
      <c r="L737" s="11">
        <f>F737*Controls!$B$6</f>
        <v>26</v>
      </c>
      <c r="M737" s="11">
        <f>G737*Controls!$B$6</f>
        <v>3250</v>
      </c>
      <c r="N737" s="12">
        <f>IF(L737=0,0,SUMIFS('PSI Plan'!$N$6:$N$173,'PSI Plan'!$B$6:$B$173,B737,'PSI Plan'!$C$6:$C$173,I737))</f>
        <v>0</v>
      </c>
      <c r="O737" s="11">
        <f t="shared" si="22"/>
        <v>0</v>
      </c>
      <c r="P737" s="11">
        <f t="shared" si="23"/>
        <v>0</v>
      </c>
      <c r="Q737" s="6"/>
      <c r="R737" s="6"/>
      <c r="S737" s="6"/>
      <c r="T737" s="6"/>
    </row>
    <row r="738" spans="1:20">
      <c r="A738" s="6" t="s">
        <v>884</v>
      </c>
      <c r="B738" s="6" t="s">
        <v>69</v>
      </c>
      <c r="C738" s="6" t="s">
        <v>90</v>
      </c>
      <c r="D738" s="6" t="s">
        <v>119</v>
      </c>
      <c r="E738" s="6" t="s">
        <v>120</v>
      </c>
      <c r="F738" s="7">
        <v>78</v>
      </c>
      <c r="G738" s="7">
        <v>9750</v>
      </c>
      <c r="H738" s="16">
        <v>45289</v>
      </c>
      <c r="I738" s="6">
        <v>52</v>
      </c>
      <c r="J738" s="6" t="s">
        <v>121</v>
      </c>
      <c r="K738" s="6" t="s">
        <v>135</v>
      </c>
      <c r="L738" s="11">
        <f>F738*Controls!$B$6</f>
        <v>78</v>
      </c>
      <c r="M738" s="11">
        <f>G738*Controls!$B$6</f>
        <v>9750</v>
      </c>
      <c r="N738" s="12">
        <f>IF(L738=0,0,SUMIFS('PSI Plan'!$N$6:$N$173,'PSI Plan'!$B$6:$B$173,B738,'PSI Plan'!$C$6:$C$173,I738))</f>
        <v>0</v>
      </c>
      <c r="O738" s="11">
        <f t="shared" si="22"/>
        <v>0</v>
      </c>
      <c r="P738" s="11">
        <f t="shared" si="23"/>
        <v>0</v>
      </c>
      <c r="Q738" s="6"/>
      <c r="R738" s="6"/>
      <c r="S738" s="6"/>
      <c r="T738" s="6"/>
    </row>
    <row r="739" spans="1:20">
      <c r="A739" s="6" t="s">
        <v>885</v>
      </c>
      <c r="B739" s="6" t="s">
        <v>66</v>
      </c>
      <c r="C739" s="6" t="s">
        <v>90</v>
      </c>
      <c r="D739" s="6" t="s">
        <v>119</v>
      </c>
      <c r="E739" s="6" t="s">
        <v>120</v>
      </c>
      <c r="F739" s="7">
        <v>78</v>
      </c>
      <c r="G739" s="7">
        <v>9750</v>
      </c>
      <c r="H739" s="16">
        <v>45239</v>
      </c>
      <c r="I739" s="6">
        <v>45</v>
      </c>
      <c r="J739" s="6" t="s">
        <v>121</v>
      </c>
      <c r="K739" s="6" t="s">
        <v>122</v>
      </c>
      <c r="L739" s="11">
        <f>F739*Controls!$B$6</f>
        <v>78</v>
      </c>
      <c r="M739" s="11">
        <f>G739*Controls!$B$6</f>
        <v>9750</v>
      </c>
      <c r="N739" s="12">
        <f>IF(L739=0,0,SUMIFS('PSI Plan'!$N$6:$N$173,'PSI Plan'!$B$6:$B$173,B739,'PSI Plan'!$C$6:$C$173,I739))</f>
        <v>0</v>
      </c>
      <c r="O739" s="11">
        <f t="shared" si="22"/>
        <v>0</v>
      </c>
      <c r="P739" s="11">
        <f t="shared" si="23"/>
        <v>0</v>
      </c>
      <c r="Q739" s="6"/>
      <c r="R739" s="6"/>
      <c r="S739" s="6"/>
      <c r="T739" s="6"/>
    </row>
    <row r="740" spans="1:20">
      <c r="A740" s="6" t="s">
        <v>886</v>
      </c>
      <c r="B740" s="6" t="s">
        <v>76</v>
      </c>
      <c r="C740" s="6" t="s">
        <v>90</v>
      </c>
      <c r="D740" s="6" t="s">
        <v>119</v>
      </c>
      <c r="E740" s="6" t="s">
        <v>120</v>
      </c>
      <c r="F740" s="7">
        <v>78</v>
      </c>
      <c r="G740" s="7">
        <v>9750</v>
      </c>
      <c r="H740" s="16">
        <v>45241</v>
      </c>
      <c r="I740" s="6">
        <v>45</v>
      </c>
      <c r="J740" s="6" t="s">
        <v>121</v>
      </c>
      <c r="K740" s="6" t="s">
        <v>122</v>
      </c>
      <c r="L740" s="11">
        <f>F740*Controls!$B$6</f>
        <v>78</v>
      </c>
      <c r="M740" s="11">
        <f>G740*Controls!$B$6</f>
        <v>9750</v>
      </c>
      <c r="N740" s="12">
        <f>IF(L740=0,0,SUMIFS('PSI Plan'!$N$6:$N$173,'PSI Plan'!$B$6:$B$173,B740,'PSI Plan'!$C$6:$C$173,I740))</f>
        <v>0</v>
      </c>
      <c r="O740" s="11">
        <f t="shared" si="22"/>
        <v>0</v>
      </c>
      <c r="P740" s="11">
        <f t="shared" si="23"/>
        <v>0</v>
      </c>
      <c r="Q740" s="6"/>
      <c r="R740" s="6"/>
      <c r="S740" s="6"/>
      <c r="T740" s="6"/>
    </row>
    <row r="741" spans="1:20">
      <c r="A741" s="6" t="s">
        <v>887</v>
      </c>
      <c r="B741" s="6" t="s">
        <v>67</v>
      </c>
      <c r="C741" s="6" t="s">
        <v>90</v>
      </c>
      <c r="D741" s="6" t="s">
        <v>119</v>
      </c>
      <c r="E741" s="6" t="s">
        <v>120</v>
      </c>
      <c r="F741" s="7">
        <v>52</v>
      </c>
      <c r="G741" s="7">
        <v>6500</v>
      </c>
      <c r="H741" s="16">
        <v>45248</v>
      </c>
      <c r="I741" s="6">
        <v>46</v>
      </c>
      <c r="J741" s="6" t="s">
        <v>121</v>
      </c>
      <c r="K741" s="6" t="s">
        <v>122</v>
      </c>
      <c r="L741" s="11">
        <f>F741*Controls!$B$6</f>
        <v>52</v>
      </c>
      <c r="M741" s="11">
        <f>G741*Controls!$B$6</f>
        <v>6500</v>
      </c>
      <c r="N741" s="12">
        <f>IF(L741=0,0,SUMIFS('PSI Plan'!$N$6:$N$173,'PSI Plan'!$B$6:$B$173,B741,'PSI Plan'!$C$6:$C$173,I741))</f>
        <v>0</v>
      </c>
      <c r="O741" s="11">
        <f t="shared" si="22"/>
        <v>0</v>
      </c>
      <c r="P741" s="11">
        <f t="shared" si="23"/>
        <v>0</v>
      </c>
      <c r="Q741" s="6"/>
      <c r="R741" s="6"/>
      <c r="S741" s="6"/>
      <c r="T741" s="6"/>
    </row>
    <row r="742" spans="1:20">
      <c r="A742" s="6" t="s">
        <v>888</v>
      </c>
      <c r="B742" s="6" t="s">
        <v>69</v>
      </c>
      <c r="C742" s="6" t="s">
        <v>90</v>
      </c>
      <c r="D742" s="6" t="s">
        <v>119</v>
      </c>
      <c r="E742" s="6" t="s">
        <v>120</v>
      </c>
      <c r="F742" s="7">
        <v>208</v>
      </c>
      <c r="G742" s="7">
        <v>26000</v>
      </c>
      <c r="H742" s="16">
        <v>45266</v>
      </c>
      <c r="I742" s="6">
        <v>49</v>
      </c>
      <c r="J742" s="6" t="s">
        <v>121</v>
      </c>
      <c r="K742" s="6" t="s">
        <v>122</v>
      </c>
      <c r="L742" s="11">
        <f>F742*Controls!$B$6</f>
        <v>208</v>
      </c>
      <c r="M742" s="11">
        <f>G742*Controls!$B$6</f>
        <v>26000</v>
      </c>
      <c r="N742" s="12">
        <f>IF(L742=0,0,SUMIFS('PSI Plan'!$N$6:$N$173,'PSI Plan'!$B$6:$B$173,B742,'PSI Plan'!$C$6:$C$173,I742))</f>
        <v>0</v>
      </c>
      <c r="O742" s="11">
        <f t="shared" si="22"/>
        <v>0</v>
      </c>
      <c r="P742" s="11">
        <f t="shared" si="23"/>
        <v>0</v>
      </c>
      <c r="Q742" s="6"/>
      <c r="R742" s="6"/>
      <c r="S742" s="6"/>
      <c r="T742" s="6"/>
    </row>
    <row r="743" spans="1:20">
      <c r="A743" s="6" t="s">
        <v>889</v>
      </c>
      <c r="B743" s="6" t="s">
        <v>76</v>
      </c>
      <c r="C743" s="6" t="s">
        <v>102</v>
      </c>
      <c r="D743" s="6" t="s">
        <v>571</v>
      </c>
      <c r="E743" s="6" t="s">
        <v>120</v>
      </c>
      <c r="F743" s="7">
        <v>400</v>
      </c>
      <c r="G743" s="7">
        <v>50000</v>
      </c>
      <c r="H743" s="16">
        <v>45207</v>
      </c>
      <c r="I743" s="6">
        <v>41</v>
      </c>
      <c r="J743" s="6" t="s">
        <v>121</v>
      </c>
      <c r="K743" s="6" t="s">
        <v>572</v>
      </c>
      <c r="L743" s="11">
        <f>F743*Controls!$B$6</f>
        <v>400</v>
      </c>
      <c r="M743" s="11">
        <f>G743*Controls!$B$6</f>
        <v>50000</v>
      </c>
      <c r="N743" s="12">
        <f>IF(L743=0,0,SUMIFS('PSI Plan'!$N$6:$N$173,'PSI Plan'!$B$6:$B$173,B743,'PSI Plan'!$C$6:$C$173,I743))</f>
        <v>0</v>
      </c>
      <c r="O743" s="11">
        <f t="shared" si="22"/>
        <v>0</v>
      </c>
      <c r="P743" s="11">
        <f t="shared" si="23"/>
        <v>0</v>
      </c>
      <c r="Q743" s="6"/>
      <c r="R743" s="6"/>
      <c r="S743" s="6"/>
      <c r="T743" s="6"/>
    </row>
    <row r="744" spans="1:20">
      <c r="A744" s="6" t="s">
        <v>890</v>
      </c>
      <c r="B744" s="6" t="s">
        <v>67</v>
      </c>
      <c r="C744" s="6" t="s">
        <v>102</v>
      </c>
      <c r="D744" s="6" t="s">
        <v>571</v>
      </c>
      <c r="E744" s="6" t="s">
        <v>120</v>
      </c>
      <c r="F744" s="7">
        <v>400</v>
      </c>
      <c r="G744" s="7">
        <v>50000</v>
      </c>
      <c r="H744" s="16">
        <v>45249</v>
      </c>
      <c r="I744" s="6">
        <v>47</v>
      </c>
      <c r="J744" s="6" t="s">
        <v>121</v>
      </c>
      <c r="K744" s="6" t="s">
        <v>572</v>
      </c>
      <c r="L744" s="11">
        <f>F744*Controls!$B$6</f>
        <v>400</v>
      </c>
      <c r="M744" s="11">
        <f>G744*Controls!$B$6</f>
        <v>50000</v>
      </c>
      <c r="N744" s="12">
        <f>IF(L744=0,0,SUMIFS('PSI Plan'!$N$6:$N$173,'PSI Plan'!$B$6:$B$173,B744,'PSI Plan'!$C$6:$C$173,I744))</f>
        <v>0</v>
      </c>
      <c r="O744" s="11">
        <f t="shared" si="22"/>
        <v>0</v>
      </c>
      <c r="P744" s="11">
        <f t="shared" si="23"/>
        <v>0</v>
      </c>
      <c r="Q744" s="6"/>
      <c r="R744" s="6"/>
      <c r="S744" s="6"/>
      <c r="T744" s="6"/>
    </row>
    <row r="745" spans="1:20">
      <c r="A745" s="6" t="s">
        <v>891</v>
      </c>
      <c r="B745" s="6" t="s">
        <v>66</v>
      </c>
      <c r="C745" s="6" t="s">
        <v>100</v>
      </c>
      <c r="D745" s="6" t="s">
        <v>567</v>
      </c>
      <c r="E745" s="6" t="s">
        <v>120</v>
      </c>
      <c r="F745" s="7">
        <v>1</v>
      </c>
      <c r="G745" s="7">
        <v>125</v>
      </c>
      <c r="H745" s="16">
        <v>45242</v>
      </c>
      <c r="I745" s="6">
        <v>46</v>
      </c>
      <c r="J745" s="6" t="s">
        <v>121</v>
      </c>
      <c r="K745" s="6" t="s">
        <v>568</v>
      </c>
      <c r="L745" s="11">
        <f>F745*Controls!$B$6</f>
        <v>1</v>
      </c>
      <c r="M745" s="11">
        <f>G745*Controls!$B$6</f>
        <v>125</v>
      </c>
      <c r="N745" s="12">
        <f>IF(L745=0,0,SUMIFS('PSI Plan'!$N$6:$N$173,'PSI Plan'!$B$6:$B$173,B745,'PSI Plan'!$C$6:$C$173,I745))</f>
        <v>0</v>
      </c>
      <c r="O745" s="11">
        <f t="shared" si="22"/>
        <v>0</v>
      </c>
      <c r="P745" s="11">
        <f t="shared" si="23"/>
        <v>0</v>
      </c>
      <c r="Q745" s="6"/>
      <c r="R745" s="6"/>
      <c r="S745" s="6"/>
      <c r="T745" s="6"/>
    </row>
    <row r="746" spans="1:20">
      <c r="A746" s="6" t="s">
        <v>892</v>
      </c>
      <c r="B746" s="6" t="s">
        <v>77</v>
      </c>
      <c r="C746" s="6" t="s">
        <v>100</v>
      </c>
      <c r="D746" s="6" t="s">
        <v>567</v>
      </c>
      <c r="E746" s="6" t="s">
        <v>120</v>
      </c>
      <c r="F746" s="7">
        <v>5</v>
      </c>
      <c r="G746" s="7">
        <v>625</v>
      </c>
      <c r="H746" s="16">
        <v>45248</v>
      </c>
      <c r="I746" s="6">
        <v>46</v>
      </c>
      <c r="J746" s="6" t="s">
        <v>121</v>
      </c>
      <c r="K746" s="6" t="s">
        <v>568</v>
      </c>
      <c r="L746" s="11">
        <f>F746*Controls!$B$6</f>
        <v>5</v>
      </c>
      <c r="M746" s="11">
        <f>G746*Controls!$B$6</f>
        <v>625</v>
      </c>
      <c r="N746" s="12">
        <f>IF(L746=0,0,SUMIFS('PSI Plan'!$N$6:$N$173,'PSI Plan'!$B$6:$B$173,B746,'PSI Plan'!$C$6:$C$173,I746))</f>
        <v>0</v>
      </c>
      <c r="O746" s="11">
        <f t="shared" si="22"/>
        <v>0</v>
      </c>
      <c r="P746" s="11">
        <f t="shared" si="23"/>
        <v>0</v>
      </c>
      <c r="Q746" s="6"/>
      <c r="R746" s="6"/>
      <c r="S746" s="6"/>
      <c r="T746" s="6"/>
    </row>
    <row r="747" spans="1:20">
      <c r="A747" s="6" t="s">
        <v>893</v>
      </c>
      <c r="B747" s="6" t="s">
        <v>76</v>
      </c>
      <c r="C747" s="6" t="s">
        <v>100</v>
      </c>
      <c r="D747" s="6" t="s">
        <v>567</v>
      </c>
      <c r="E747" s="6" t="s">
        <v>120</v>
      </c>
      <c r="F747" s="7">
        <v>1</v>
      </c>
      <c r="G747" s="7">
        <v>125</v>
      </c>
      <c r="H747" s="16">
        <v>45223</v>
      </c>
      <c r="I747" s="6">
        <v>43</v>
      </c>
      <c r="J747" s="6" t="s">
        <v>121</v>
      </c>
      <c r="K747" s="6" t="s">
        <v>568</v>
      </c>
      <c r="L747" s="11">
        <f>F747*Controls!$B$6</f>
        <v>1</v>
      </c>
      <c r="M747" s="11">
        <f>G747*Controls!$B$6</f>
        <v>125</v>
      </c>
      <c r="N747" s="12">
        <f>IF(L747=0,0,SUMIFS('PSI Plan'!$N$6:$N$173,'PSI Plan'!$B$6:$B$173,B747,'PSI Plan'!$C$6:$C$173,I747))</f>
        <v>0</v>
      </c>
      <c r="O747" s="11">
        <f t="shared" si="22"/>
        <v>0</v>
      </c>
      <c r="P747" s="11">
        <f t="shared" si="23"/>
        <v>0</v>
      </c>
      <c r="Q747" s="6"/>
      <c r="R747" s="6"/>
      <c r="S747" s="6"/>
      <c r="T747" s="6"/>
    </row>
    <row r="748" spans="1:20">
      <c r="A748" s="6" t="s">
        <v>894</v>
      </c>
      <c r="B748" s="6" t="s">
        <v>67</v>
      </c>
      <c r="C748" s="6" t="s">
        <v>100</v>
      </c>
      <c r="D748" s="6" t="s">
        <v>567</v>
      </c>
      <c r="E748" s="6" t="s">
        <v>120</v>
      </c>
      <c r="F748" s="7">
        <v>10</v>
      </c>
      <c r="G748" s="7">
        <v>1250</v>
      </c>
      <c r="H748" s="16">
        <v>45216</v>
      </c>
      <c r="I748" s="6">
        <v>42</v>
      </c>
      <c r="J748" s="6" t="s">
        <v>121</v>
      </c>
      <c r="K748" s="6" t="s">
        <v>568</v>
      </c>
      <c r="L748" s="11">
        <f>F748*Controls!$B$6</f>
        <v>10</v>
      </c>
      <c r="M748" s="11">
        <f>G748*Controls!$B$6</f>
        <v>1250</v>
      </c>
      <c r="N748" s="12">
        <f>IF(L748=0,0,SUMIFS('PSI Plan'!$N$6:$N$173,'PSI Plan'!$B$6:$B$173,B748,'PSI Plan'!$C$6:$C$173,I748))</f>
        <v>0</v>
      </c>
      <c r="O748" s="11">
        <f t="shared" si="22"/>
        <v>0</v>
      </c>
      <c r="P748" s="11">
        <f t="shared" si="23"/>
        <v>0</v>
      </c>
      <c r="Q748" s="6"/>
      <c r="R748" s="6"/>
      <c r="S748" s="6"/>
      <c r="T748" s="6"/>
    </row>
    <row r="749" spans="1:20">
      <c r="A749" s="6" t="s">
        <v>895</v>
      </c>
      <c r="B749" s="6" t="s">
        <v>66</v>
      </c>
      <c r="C749" s="6" t="s">
        <v>99</v>
      </c>
      <c r="D749" s="6" t="s">
        <v>319</v>
      </c>
      <c r="E749" s="6" t="s">
        <v>120</v>
      </c>
      <c r="F749" s="7">
        <v>52</v>
      </c>
      <c r="G749" s="7">
        <v>6500</v>
      </c>
      <c r="H749" s="16">
        <v>45278</v>
      </c>
      <c r="I749" s="6">
        <v>51</v>
      </c>
      <c r="J749" s="6" t="s">
        <v>121</v>
      </c>
      <c r="K749" s="6" t="s">
        <v>347</v>
      </c>
      <c r="L749" s="11">
        <f>F749*Controls!$B$6</f>
        <v>52</v>
      </c>
      <c r="M749" s="11">
        <f>G749*Controls!$B$6</f>
        <v>6500</v>
      </c>
      <c r="N749" s="12">
        <f>IF(L749=0,0,SUMIFS('PSI Plan'!$N$6:$N$173,'PSI Plan'!$B$6:$B$173,B749,'PSI Plan'!$C$6:$C$173,I749))</f>
        <v>0</v>
      </c>
      <c r="O749" s="11">
        <f t="shared" si="22"/>
        <v>0</v>
      </c>
      <c r="P749" s="11">
        <f t="shared" si="23"/>
        <v>0</v>
      </c>
      <c r="Q749" s="6"/>
      <c r="R749" s="6"/>
      <c r="S749" s="6"/>
      <c r="T749" s="6"/>
    </row>
    <row r="750" spans="1:20">
      <c r="A750" s="6" t="s">
        <v>896</v>
      </c>
      <c r="B750" s="6" t="s">
        <v>77</v>
      </c>
      <c r="C750" s="6" t="s">
        <v>99</v>
      </c>
      <c r="D750" s="6" t="s">
        <v>319</v>
      </c>
      <c r="E750" s="6" t="s">
        <v>120</v>
      </c>
      <c r="F750" s="7">
        <v>104</v>
      </c>
      <c r="G750" s="7">
        <v>13000</v>
      </c>
      <c r="H750" s="16">
        <v>45278</v>
      </c>
      <c r="I750" s="6">
        <v>51</v>
      </c>
      <c r="J750" s="6" t="s">
        <v>121</v>
      </c>
      <c r="K750" s="6" t="s">
        <v>347</v>
      </c>
      <c r="L750" s="11">
        <f>F750*Controls!$B$6</f>
        <v>104</v>
      </c>
      <c r="M750" s="11">
        <f>G750*Controls!$B$6</f>
        <v>13000</v>
      </c>
      <c r="N750" s="12">
        <f>IF(L750=0,0,SUMIFS('PSI Plan'!$N$6:$N$173,'PSI Plan'!$B$6:$B$173,B750,'PSI Plan'!$C$6:$C$173,I750))</f>
        <v>0</v>
      </c>
      <c r="O750" s="11">
        <f t="shared" si="22"/>
        <v>0</v>
      </c>
      <c r="P750" s="11">
        <f t="shared" si="23"/>
        <v>0</v>
      </c>
      <c r="Q750" s="6"/>
      <c r="R750" s="6"/>
      <c r="S750" s="6"/>
      <c r="T750" s="6"/>
    </row>
    <row r="751" spans="1:20">
      <c r="A751" s="6" t="s">
        <v>897</v>
      </c>
      <c r="B751" s="6" t="s">
        <v>69</v>
      </c>
      <c r="C751" s="6" t="s">
        <v>99</v>
      </c>
      <c r="D751" s="6" t="s">
        <v>319</v>
      </c>
      <c r="E751" s="6" t="s">
        <v>120</v>
      </c>
      <c r="F751" s="7">
        <v>52</v>
      </c>
      <c r="G751" s="7">
        <v>6500</v>
      </c>
      <c r="H751" s="16">
        <v>45234</v>
      </c>
      <c r="I751" s="6">
        <v>44</v>
      </c>
      <c r="J751" s="6" t="s">
        <v>121</v>
      </c>
      <c r="K751" s="6" t="s">
        <v>347</v>
      </c>
      <c r="L751" s="11">
        <f>F751*Controls!$B$6</f>
        <v>52</v>
      </c>
      <c r="M751" s="11">
        <f>G751*Controls!$B$6</f>
        <v>6500</v>
      </c>
      <c r="N751" s="12">
        <f>IF(L751=0,0,SUMIFS('PSI Plan'!$N$6:$N$173,'PSI Plan'!$B$6:$B$173,B751,'PSI Plan'!$C$6:$C$173,I751))</f>
        <v>0</v>
      </c>
      <c r="O751" s="11">
        <f t="shared" si="22"/>
        <v>0</v>
      </c>
      <c r="P751" s="11">
        <f t="shared" si="23"/>
        <v>0</v>
      </c>
      <c r="Q751" s="6"/>
      <c r="R751" s="6"/>
      <c r="S751" s="6"/>
      <c r="T751" s="6"/>
    </row>
    <row r="752" spans="1:20">
      <c r="A752" s="6" t="s">
        <v>898</v>
      </c>
      <c r="B752" s="6" t="s">
        <v>66</v>
      </c>
      <c r="C752" s="6" t="s">
        <v>99</v>
      </c>
      <c r="D752" s="6" t="s">
        <v>319</v>
      </c>
      <c r="E752" s="6" t="s">
        <v>120</v>
      </c>
      <c r="F752" s="7">
        <v>2</v>
      </c>
      <c r="G752" s="7">
        <v>250</v>
      </c>
      <c r="H752" s="16">
        <v>45232</v>
      </c>
      <c r="I752" s="6">
        <v>44</v>
      </c>
      <c r="J752" s="6" t="s">
        <v>121</v>
      </c>
      <c r="K752" s="6" t="s">
        <v>361</v>
      </c>
      <c r="L752" s="11">
        <f>F752*Controls!$B$6</f>
        <v>2</v>
      </c>
      <c r="M752" s="11">
        <f>G752*Controls!$B$6</f>
        <v>250</v>
      </c>
      <c r="N752" s="12">
        <f>IF(L752=0,0,SUMIFS('PSI Plan'!$N$6:$N$173,'PSI Plan'!$B$6:$B$173,B752,'PSI Plan'!$C$6:$C$173,I752))</f>
        <v>0</v>
      </c>
      <c r="O752" s="11">
        <f t="shared" si="22"/>
        <v>0</v>
      </c>
      <c r="P752" s="11">
        <f t="shared" si="23"/>
        <v>0</v>
      </c>
      <c r="Q752" s="6"/>
      <c r="R752" s="6"/>
      <c r="S752" s="6"/>
      <c r="T752" s="6"/>
    </row>
    <row r="753" spans="1:20">
      <c r="A753" s="6" t="s">
        <v>899</v>
      </c>
      <c r="B753" s="6" t="s">
        <v>77</v>
      </c>
      <c r="C753" s="6" t="s">
        <v>99</v>
      </c>
      <c r="D753" s="6" t="s">
        <v>319</v>
      </c>
      <c r="E753" s="6" t="s">
        <v>120</v>
      </c>
      <c r="F753" s="7">
        <v>52</v>
      </c>
      <c r="G753" s="7">
        <v>6500</v>
      </c>
      <c r="H753" s="16">
        <v>45244</v>
      </c>
      <c r="I753" s="6">
        <v>46</v>
      </c>
      <c r="J753" s="6" t="s">
        <v>121</v>
      </c>
      <c r="K753" s="6" t="s">
        <v>361</v>
      </c>
      <c r="L753" s="11">
        <f>F753*Controls!$B$6</f>
        <v>52</v>
      </c>
      <c r="M753" s="11">
        <f>G753*Controls!$B$6</f>
        <v>6500</v>
      </c>
      <c r="N753" s="12">
        <f>IF(L753=0,0,SUMIFS('PSI Plan'!$N$6:$N$173,'PSI Plan'!$B$6:$B$173,B753,'PSI Plan'!$C$6:$C$173,I753))</f>
        <v>0</v>
      </c>
      <c r="O753" s="11">
        <f t="shared" si="22"/>
        <v>0</v>
      </c>
      <c r="P753" s="11">
        <f t="shared" si="23"/>
        <v>0</v>
      </c>
      <c r="Q753" s="6"/>
      <c r="R753" s="6"/>
      <c r="S753" s="6"/>
      <c r="T753" s="6"/>
    </row>
    <row r="754" spans="1:20">
      <c r="A754" s="6" t="s">
        <v>900</v>
      </c>
      <c r="B754" s="6" t="s">
        <v>69</v>
      </c>
      <c r="C754" s="6" t="s">
        <v>99</v>
      </c>
      <c r="D754" s="6" t="s">
        <v>319</v>
      </c>
      <c r="E754" s="6" t="s">
        <v>120</v>
      </c>
      <c r="F754" s="7">
        <v>63</v>
      </c>
      <c r="G754" s="7">
        <v>7875</v>
      </c>
      <c r="H754" s="16">
        <v>45260</v>
      </c>
      <c r="I754" s="6">
        <v>48</v>
      </c>
      <c r="J754" s="6" t="s">
        <v>121</v>
      </c>
      <c r="K754" s="6" t="s">
        <v>361</v>
      </c>
      <c r="L754" s="11">
        <f>F754*Controls!$B$6</f>
        <v>63</v>
      </c>
      <c r="M754" s="11">
        <f>G754*Controls!$B$6</f>
        <v>7875</v>
      </c>
      <c r="N754" s="12">
        <f>IF(L754=0,0,SUMIFS('PSI Plan'!$N$6:$N$173,'PSI Plan'!$B$6:$B$173,B754,'PSI Plan'!$C$6:$C$173,I754))</f>
        <v>0</v>
      </c>
      <c r="O754" s="11">
        <f t="shared" si="22"/>
        <v>0</v>
      </c>
      <c r="P754" s="11">
        <f t="shared" si="23"/>
        <v>0</v>
      </c>
      <c r="Q754" s="6"/>
      <c r="R754" s="6"/>
      <c r="S754" s="6"/>
      <c r="T754" s="6"/>
    </row>
    <row r="755" spans="1:20">
      <c r="A755" s="6" t="s">
        <v>901</v>
      </c>
      <c r="B755" s="6" t="s">
        <v>66</v>
      </c>
      <c r="C755" s="6" t="s">
        <v>90</v>
      </c>
      <c r="D755" s="6" t="s">
        <v>119</v>
      </c>
      <c r="E755" s="6" t="s">
        <v>120</v>
      </c>
      <c r="F755" s="7">
        <v>26</v>
      </c>
      <c r="G755" s="7">
        <v>3250</v>
      </c>
      <c r="H755" s="16">
        <v>45284</v>
      </c>
      <c r="I755" s="6">
        <v>52</v>
      </c>
      <c r="J755" s="6" t="s">
        <v>121</v>
      </c>
      <c r="K755" s="6" t="s">
        <v>139</v>
      </c>
      <c r="L755" s="11">
        <f>F755*Controls!$B$6</f>
        <v>26</v>
      </c>
      <c r="M755" s="11">
        <f>G755*Controls!$B$6</f>
        <v>3250</v>
      </c>
      <c r="N755" s="12">
        <f>IF(L755=0,0,SUMIFS('PSI Plan'!$N$6:$N$173,'PSI Plan'!$B$6:$B$173,B755,'PSI Plan'!$C$6:$C$173,I755))</f>
        <v>0</v>
      </c>
      <c r="O755" s="11">
        <f t="shared" si="22"/>
        <v>0</v>
      </c>
      <c r="P755" s="11">
        <f t="shared" si="23"/>
        <v>0</v>
      </c>
      <c r="Q755" s="6"/>
      <c r="R755" s="6"/>
      <c r="S755" s="6"/>
      <c r="T755" s="6"/>
    </row>
    <row r="756" spans="1:20">
      <c r="A756" s="6" t="s">
        <v>902</v>
      </c>
      <c r="B756" s="6" t="s">
        <v>77</v>
      </c>
      <c r="C756" s="6" t="s">
        <v>90</v>
      </c>
      <c r="D756" s="6" t="s">
        <v>119</v>
      </c>
      <c r="E756" s="6" t="s">
        <v>120</v>
      </c>
      <c r="F756" s="7">
        <v>26</v>
      </c>
      <c r="G756" s="7">
        <v>3250</v>
      </c>
      <c r="H756" s="16">
        <v>45257</v>
      </c>
      <c r="I756" s="6">
        <v>48</v>
      </c>
      <c r="J756" s="6" t="s">
        <v>121</v>
      </c>
      <c r="K756" s="6" t="s">
        <v>139</v>
      </c>
      <c r="L756" s="11">
        <f>F756*Controls!$B$6</f>
        <v>26</v>
      </c>
      <c r="M756" s="11">
        <f>G756*Controls!$B$6</f>
        <v>3250</v>
      </c>
      <c r="N756" s="12">
        <f>IF(L756=0,0,SUMIFS('PSI Plan'!$N$6:$N$173,'PSI Plan'!$B$6:$B$173,B756,'PSI Plan'!$C$6:$C$173,I756))</f>
        <v>0</v>
      </c>
      <c r="O756" s="11">
        <f t="shared" si="22"/>
        <v>0</v>
      </c>
      <c r="P756" s="11">
        <f t="shared" si="23"/>
        <v>0</v>
      </c>
      <c r="Q756" s="6"/>
      <c r="R756" s="6"/>
      <c r="S756" s="6"/>
      <c r="T756" s="6"/>
    </row>
    <row r="757" spans="1:20">
      <c r="A757" s="6" t="s">
        <v>903</v>
      </c>
      <c r="B757" s="6" t="s">
        <v>69</v>
      </c>
      <c r="C757" s="6" t="s">
        <v>90</v>
      </c>
      <c r="D757" s="6" t="s">
        <v>119</v>
      </c>
      <c r="E757" s="6" t="s">
        <v>120</v>
      </c>
      <c r="F757" s="7">
        <v>26</v>
      </c>
      <c r="G757" s="7">
        <v>3250</v>
      </c>
      <c r="H757" s="16">
        <v>45265</v>
      </c>
      <c r="I757" s="6">
        <v>49</v>
      </c>
      <c r="J757" s="6" t="s">
        <v>121</v>
      </c>
      <c r="K757" s="6" t="s">
        <v>139</v>
      </c>
      <c r="L757" s="11">
        <f>F757*Controls!$B$6</f>
        <v>26</v>
      </c>
      <c r="M757" s="11">
        <f>G757*Controls!$B$6</f>
        <v>3250</v>
      </c>
      <c r="N757" s="12">
        <f>IF(L757=0,0,SUMIFS('PSI Plan'!$N$6:$N$173,'PSI Plan'!$B$6:$B$173,B757,'PSI Plan'!$C$6:$C$173,I757))</f>
        <v>0</v>
      </c>
      <c r="O757" s="11">
        <f t="shared" si="22"/>
        <v>0</v>
      </c>
      <c r="P757" s="11">
        <f t="shared" si="23"/>
        <v>0</v>
      </c>
      <c r="Q757" s="6"/>
      <c r="R757" s="6"/>
      <c r="S757" s="6"/>
      <c r="T757" s="6"/>
    </row>
    <row r="758" spans="1:20">
      <c r="A758" s="6" t="s">
        <v>904</v>
      </c>
      <c r="B758" s="6" t="s">
        <v>69</v>
      </c>
      <c r="C758" s="6" t="s">
        <v>90</v>
      </c>
      <c r="D758" s="6" t="s">
        <v>119</v>
      </c>
      <c r="E758" s="6" t="s">
        <v>120</v>
      </c>
      <c r="F758" s="7">
        <v>9</v>
      </c>
      <c r="G758" s="7">
        <v>1125</v>
      </c>
      <c r="H758" s="16">
        <v>45278</v>
      </c>
      <c r="I758" s="6">
        <v>51</v>
      </c>
      <c r="J758" s="6" t="s">
        <v>121</v>
      </c>
      <c r="K758" s="6" t="s">
        <v>855</v>
      </c>
      <c r="L758" s="11">
        <f>F758*Controls!$B$6</f>
        <v>9</v>
      </c>
      <c r="M758" s="11">
        <f>G758*Controls!$B$6</f>
        <v>1125</v>
      </c>
      <c r="N758" s="12">
        <f>IF(L758=0,0,SUMIFS('PSI Plan'!$N$6:$N$173,'PSI Plan'!$B$6:$B$173,B758,'PSI Plan'!$C$6:$C$173,I758))</f>
        <v>0</v>
      </c>
      <c r="O758" s="11">
        <f t="shared" si="22"/>
        <v>0</v>
      </c>
      <c r="P758" s="11">
        <f t="shared" si="23"/>
        <v>0</v>
      </c>
      <c r="Q758" s="6"/>
      <c r="R758" s="6"/>
      <c r="S758" s="6"/>
      <c r="T758" s="6"/>
    </row>
    <row r="759" spans="1:20">
      <c r="A759" s="6" t="s">
        <v>905</v>
      </c>
      <c r="B759" s="6" t="s">
        <v>76</v>
      </c>
      <c r="C759" s="6" t="s">
        <v>90</v>
      </c>
      <c r="D759" s="6" t="s">
        <v>119</v>
      </c>
      <c r="E759" s="6" t="s">
        <v>120</v>
      </c>
      <c r="F759" s="7">
        <v>3</v>
      </c>
      <c r="G759" s="7">
        <v>375</v>
      </c>
      <c r="H759" s="16">
        <v>45231</v>
      </c>
      <c r="I759" s="6">
        <v>44</v>
      </c>
      <c r="J759" s="6" t="s">
        <v>121</v>
      </c>
      <c r="K759" s="6" t="s">
        <v>171</v>
      </c>
      <c r="L759" s="11">
        <f>F759*Controls!$B$6</f>
        <v>3</v>
      </c>
      <c r="M759" s="11">
        <f>G759*Controls!$B$6</f>
        <v>375</v>
      </c>
      <c r="N759" s="12">
        <f>IF(L759=0,0,SUMIFS('PSI Plan'!$N$6:$N$173,'PSI Plan'!$B$6:$B$173,B759,'PSI Plan'!$C$6:$C$173,I759))</f>
        <v>0</v>
      </c>
      <c r="O759" s="11">
        <f t="shared" si="22"/>
        <v>0</v>
      </c>
      <c r="P759" s="11">
        <f t="shared" si="23"/>
        <v>0</v>
      </c>
      <c r="Q759" s="6"/>
      <c r="R759" s="6"/>
      <c r="S759" s="6"/>
      <c r="T759" s="6"/>
    </row>
    <row r="760" spans="1:20">
      <c r="A760" s="6" t="s">
        <v>906</v>
      </c>
      <c r="B760" s="6" t="s">
        <v>69</v>
      </c>
      <c r="C760" s="6" t="s">
        <v>90</v>
      </c>
      <c r="D760" s="6" t="s">
        <v>119</v>
      </c>
      <c r="E760" s="6" t="s">
        <v>120</v>
      </c>
      <c r="F760" s="7">
        <v>26</v>
      </c>
      <c r="G760" s="7">
        <v>3250</v>
      </c>
      <c r="H760" s="16">
        <v>45240</v>
      </c>
      <c r="I760" s="6">
        <v>45</v>
      </c>
      <c r="J760" s="6" t="s">
        <v>121</v>
      </c>
      <c r="K760" s="6" t="s">
        <v>171</v>
      </c>
      <c r="L760" s="11">
        <f>F760*Controls!$B$6</f>
        <v>26</v>
      </c>
      <c r="M760" s="11">
        <f>G760*Controls!$B$6</f>
        <v>3250</v>
      </c>
      <c r="N760" s="12">
        <f>IF(L760=0,0,SUMIFS('PSI Plan'!$N$6:$N$173,'PSI Plan'!$B$6:$B$173,B760,'PSI Plan'!$C$6:$C$173,I760))</f>
        <v>0</v>
      </c>
      <c r="O760" s="11">
        <f t="shared" si="22"/>
        <v>0</v>
      </c>
      <c r="P760" s="11">
        <f t="shared" si="23"/>
        <v>0</v>
      </c>
      <c r="Q760" s="6"/>
      <c r="R760" s="6"/>
      <c r="S760" s="6"/>
      <c r="T760" s="6"/>
    </row>
    <row r="761" spans="1:20">
      <c r="A761" s="6" t="s">
        <v>907</v>
      </c>
      <c r="B761" s="6" t="s">
        <v>66</v>
      </c>
      <c r="C761" s="6" t="s">
        <v>90</v>
      </c>
      <c r="D761" s="6" t="s">
        <v>119</v>
      </c>
      <c r="E761" s="6" t="s">
        <v>120</v>
      </c>
      <c r="F761" s="7">
        <v>5</v>
      </c>
      <c r="G761" s="7">
        <v>625</v>
      </c>
      <c r="H761" s="16">
        <v>45269</v>
      </c>
      <c r="I761" s="6">
        <v>49</v>
      </c>
      <c r="J761" s="6" t="s">
        <v>121</v>
      </c>
      <c r="K761" s="6" t="s">
        <v>150</v>
      </c>
      <c r="L761" s="11">
        <f>F761*Controls!$B$6</f>
        <v>5</v>
      </c>
      <c r="M761" s="11">
        <f>G761*Controls!$B$6</f>
        <v>625</v>
      </c>
      <c r="N761" s="12">
        <f>IF(L761=0,0,SUMIFS('PSI Plan'!$N$6:$N$173,'PSI Plan'!$B$6:$B$173,B761,'PSI Plan'!$C$6:$C$173,I761))</f>
        <v>0</v>
      </c>
      <c r="O761" s="11">
        <f t="shared" si="22"/>
        <v>0</v>
      </c>
      <c r="P761" s="11">
        <f t="shared" si="23"/>
        <v>0</v>
      </c>
      <c r="Q761" s="6"/>
      <c r="R761" s="6"/>
      <c r="S761" s="6"/>
      <c r="T761" s="6"/>
    </row>
    <row r="762" spans="1:20">
      <c r="A762" s="6" t="s">
        <v>908</v>
      </c>
      <c r="B762" s="6" t="s">
        <v>77</v>
      </c>
      <c r="C762" s="6" t="s">
        <v>90</v>
      </c>
      <c r="D762" s="6" t="s">
        <v>119</v>
      </c>
      <c r="E762" s="6" t="s">
        <v>120</v>
      </c>
      <c r="F762" s="7">
        <v>7</v>
      </c>
      <c r="G762" s="7">
        <v>875</v>
      </c>
      <c r="H762" s="16">
        <v>45273</v>
      </c>
      <c r="I762" s="6">
        <v>50</v>
      </c>
      <c r="J762" s="6" t="s">
        <v>121</v>
      </c>
      <c r="K762" s="6" t="s">
        <v>150</v>
      </c>
      <c r="L762" s="11">
        <f>F762*Controls!$B$6</f>
        <v>7</v>
      </c>
      <c r="M762" s="11">
        <f>G762*Controls!$B$6</f>
        <v>875</v>
      </c>
      <c r="N762" s="12">
        <f>IF(L762=0,0,SUMIFS('PSI Plan'!$N$6:$N$173,'PSI Plan'!$B$6:$B$173,B762,'PSI Plan'!$C$6:$C$173,I762))</f>
        <v>0</v>
      </c>
      <c r="O762" s="11">
        <f t="shared" si="22"/>
        <v>0</v>
      </c>
      <c r="P762" s="11">
        <f t="shared" si="23"/>
        <v>0</v>
      </c>
      <c r="Q762" s="6"/>
      <c r="R762" s="6"/>
      <c r="S762" s="6"/>
      <c r="T762" s="6"/>
    </row>
    <row r="763" spans="1:20">
      <c r="A763" s="6" t="s">
        <v>909</v>
      </c>
      <c r="B763" s="6" t="s">
        <v>76</v>
      </c>
      <c r="C763" s="6" t="s">
        <v>90</v>
      </c>
      <c r="D763" s="6" t="s">
        <v>119</v>
      </c>
      <c r="E763" s="6" t="s">
        <v>120</v>
      </c>
      <c r="F763" s="7">
        <v>2</v>
      </c>
      <c r="G763" s="7">
        <v>250</v>
      </c>
      <c r="H763" s="16">
        <v>45263</v>
      </c>
      <c r="I763" s="6">
        <v>49</v>
      </c>
      <c r="J763" s="6" t="s">
        <v>121</v>
      </c>
      <c r="K763" s="6" t="s">
        <v>150</v>
      </c>
      <c r="L763" s="11">
        <f>F763*Controls!$B$6</f>
        <v>2</v>
      </c>
      <c r="M763" s="11">
        <f>G763*Controls!$B$6</f>
        <v>250</v>
      </c>
      <c r="N763" s="12">
        <f>IF(L763=0,0,SUMIFS('PSI Plan'!$N$6:$N$173,'PSI Plan'!$B$6:$B$173,B763,'PSI Plan'!$C$6:$C$173,I763))</f>
        <v>0</v>
      </c>
      <c r="O763" s="11">
        <f t="shared" si="22"/>
        <v>0</v>
      </c>
      <c r="P763" s="11">
        <f t="shared" si="23"/>
        <v>0</v>
      </c>
      <c r="Q763" s="6"/>
      <c r="R763" s="6"/>
      <c r="S763" s="6"/>
      <c r="T763" s="6"/>
    </row>
    <row r="764" spans="1:20">
      <c r="A764" s="6" t="s">
        <v>910</v>
      </c>
      <c r="B764" s="6" t="s">
        <v>69</v>
      </c>
      <c r="C764" s="6" t="s">
        <v>90</v>
      </c>
      <c r="D764" s="6" t="s">
        <v>119</v>
      </c>
      <c r="E764" s="6" t="s">
        <v>120</v>
      </c>
      <c r="F764" s="7">
        <v>2</v>
      </c>
      <c r="G764" s="7">
        <v>250</v>
      </c>
      <c r="H764" s="16">
        <v>45226</v>
      </c>
      <c r="I764" s="6">
        <v>43</v>
      </c>
      <c r="J764" s="6" t="s">
        <v>121</v>
      </c>
      <c r="K764" s="6" t="s">
        <v>150</v>
      </c>
      <c r="L764" s="11">
        <f>F764*Controls!$B$6</f>
        <v>2</v>
      </c>
      <c r="M764" s="11">
        <f>G764*Controls!$B$6</f>
        <v>250</v>
      </c>
      <c r="N764" s="12">
        <f>IF(L764=0,0,SUMIFS('PSI Plan'!$N$6:$N$173,'PSI Plan'!$B$6:$B$173,B764,'PSI Plan'!$C$6:$C$173,I764))</f>
        <v>0</v>
      </c>
      <c r="O764" s="11">
        <f t="shared" si="22"/>
        <v>0</v>
      </c>
      <c r="P764" s="11">
        <f t="shared" si="23"/>
        <v>0</v>
      </c>
      <c r="Q764" s="6"/>
      <c r="R764" s="6"/>
      <c r="S764" s="6"/>
      <c r="T764" s="6"/>
    </row>
    <row r="765" spans="1:20">
      <c r="A765" s="6" t="s">
        <v>911</v>
      </c>
      <c r="B765" s="6" t="s">
        <v>77</v>
      </c>
      <c r="C765" s="6" t="s">
        <v>90</v>
      </c>
      <c r="D765" s="6" t="s">
        <v>119</v>
      </c>
      <c r="E765" s="6" t="s">
        <v>120</v>
      </c>
      <c r="F765" s="7">
        <v>1</v>
      </c>
      <c r="G765" s="7">
        <v>125</v>
      </c>
      <c r="H765" s="16">
        <v>45268</v>
      </c>
      <c r="I765" s="6">
        <v>49</v>
      </c>
      <c r="J765" s="6" t="s">
        <v>121</v>
      </c>
      <c r="K765" s="6" t="s">
        <v>132</v>
      </c>
      <c r="L765" s="11">
        <f>F765*Controls!$B$6</f>
        <v>1</v>
      </c>
      <c r="M765" s="11">
        <f>G765*Controls!$B$6</f>
        <v>125</v>
      </c>
      <c r="N765" s="12">
        <f>IF(L765=0,0,SUMIFS('PSI Plan'!$N$6:$N$173,'PSI Plan'!$B$6:$B$173,B765,'PSI Plan'!$C$6:$C$173,I765))</f>
        <v>0</v>
      </c>
      <c r="O765" s="11">
        <f t="shared" si="22"/>
        <v>0</v>
      </c>
      <c r="P765" s="11">
        <f t="shared" si="23"/>
        <v>0</v>
      </c>
      <c r="Q765" s="6"/>
      <c r="R765" s="6"/>
      <c r="S765" s="6"/>
      <c r="T765" s="6"/>
    </row>
    <row r="766" spans="1:20">
      <c r="A766" s="6" t="s">
        <v>912</v>
      </c>
      <c r="B766" s="6" t="s">
        <v>69</v>
      </c>
      <c r="C766" s="6" t="s">
        <v>90</v>
      </c>
      <c r="D766" s="6" t="s">
        <v>119</v>
      </c>
      <c r="E766" s="6" t="s">
        <v>120</v>
      </c>
      <c r="F766" s="7">
        <v>8</v>
      </c>
      <c r="G766" s="7">
        <v>1000</v>
      </c>
      <c r="H766" s="16">
        <v>45237</v>
      </c>
      <c r="I766" s="6">
        <v>45</v>
      </c>
      <c r="J766" s="6" t="s">
        <v>121</v>
      </c>
      <c r="K766" s="6" t="s">
        <v>132</v>
      </c>
      <c r="L766" s="11">
        <f>F766*Controls!$B$6</f>
        <v>8</v>
      </c>
      <c r="M766" s="11">
        <f>G766*Controls!$B$6</f>
        <v>1000</v>
      </c>
      <c r="N766" s="12">
        <f>IF(L766=0,0,SUMIFS('PSI Plan'!$N$6:$N$173,'PSI Plan'!$B$6:$B$173,B766,'PSI Plan'!$C$6:$C$173,I766))</f>
        <v>0</v>
      </c>
      <c r="O766" s="11">
        <f t="shared" si="22"/>
        <v>0</v>
      </c>
      <c r="P766" s="11">
        <f t="shared" si="23"/>
        <v>0</v>
      </c>
      <c r="Q766" s="6"/>
      <c r="R766" s="6"/>
      <c r="S766" s="6"/>
      <c r="T766" s="6"/>
    </row>
    <row r="767" spans="1:20">
      <c r="A767" s="6" t="s">
        <v>913</v>
      </c>
      <c r="B767" s="6" t="s">
        <v>66</v>
      </c>
      <c r="C767" s="6" t="s">
        <v>90</v>
      </c>
      <c r="D767" s="6" t="s">
        <v>119</v>
      </c>
      <c r="E767" s="6" t="s">
        <v>120</v>
      </c>
      <c r="F767" s="7">
        <v>1</v>
      </c>
      <c r="G767" s="7">
        <v>125</v>
      </c>
      <c r="H767" s="16">
        <v>45238</v>
      </c>
      <c r="I767" s="6">
        <v>45</v>
      </c>
      <c r="J767" s="6" t="s">
        <v>121</v>
      </c>
      <c r="K767" s="6" t="s">
        <v>298</v>
      </c>
      <c r="L767" s="11">
        <f>F767*Controls!$B$6</f>
        <v>1</v>
      </c>
      <c r="M767" s="11">
        <f>G767*Controls!$B$6</f>
        <v>125</v>
      </c>
      <c r="N767" s="12">
        <f>IF(L767=0,0,SUMIFS('PSI Plan'!$N$6:$N$173,'PSI Plan'!$B$6:$B$173,B767,'PSI Plan'!$C$6:$C$173,I767))</f>
        <v>0</v>
      </c>
      <c r="O767" s="11">
        <f t="shared" si="22"/>
        <v>0</v>
      </c>
      <c r="P767" s="11">
        <f t="shared" si="23"/>
        <v>0</v>
      </c>
      <c r="Q767" s="6"/>
      <c r="R767" s="6"/>
      <c r="S767" s="6"/>
      <c r="T767" s="6"/>
    </row>
    <row r="768" spans="1:20">
      <c r="A768" s="6" t="s">
        <v>914</v>
      </c>
      <c r="B768" s="6" t="s">
        <v>77</v>
      </c>
      <c r="C768" s="6" t="s">
        <v>90</v>
      </c>
      <c r="D768" s="6" t="s">
        <v>119</v>
      </c>
      <c r="E768" s="6" t="s">
        <v>120</v>
      </c>
      <c r="F768" s="7">
        <v>4</v>
      </c>
      <c r="G768" s="7">
        <v>500</v>
      </c>
      <c r="H768" s="16">
        <v>45274</v>
      </c>
      <c r="I768" s="6">
        <v>50</v>
      </c>
      <c r="J768" s="6" t="s">
        <v>121</v>
      </c>
      <c r="K768" s="6" t="s">
        <v>298</v>
      </c>
      <c r="L768" s="11">
        <f>F768*Controls!$B$6</f>
        <v>4</v>
      </c>
      <c r="M768" s="11">
        <f>G768*Controls!$B$6</f>
        <v>500</v>
      </c>
      <c r="N768" s="12">
        <f>IF(L768=0,0,SUMIFS('PSI Plan'!$N$6:$N$173,'PSI Plan'!$B$6:$B$173,B768,'PSI Plan'!$C$6:$C$173,I768))</f>
        <v>0</v>
      </c>
      <c r="O768" s="11">
        <f t="shared" si="22"/>
        <v>0</v>
      </c>
      <c r="P768" s="11">
        <f t="shared" si="23"/>
        <v>0</v>
      </c>
      <c r="Q768" s="6"/>
      <c r="R768" s="6"/>
      <c r="S768" s="6"/>
      <c r="T768" s="6"/>
    </row>
    <row r="769" spans="1:20">
      <c r="A769" s="6" t="s">
        <v>915</v>
      </c>
      <c r="B769" s="6" t="s">
        <v>76</v>
      </c>
      <c r="C769" s="6" t="s">
        <v>90</v>
      </c>
      <c r="D769" s="6" t="s">
        <v>119</v>
      </c>
      <c r="E769" s="6" t="s">
        <v>120</v>
      </c>
      <c r="F769" s="7">
        <v>3</v>
      </c>
      <c r="G769" s="7">
        <v>375</v>
      </c>
      <c r="H769" s="16">
        <v>45243</v>
      </c>
      <c r="I769" s="6">
        <v>46</v>
      </c>
      <c r="J769" s="6" t="s">
        <v>121</v>
      </c>
      <c r="K769" s="6" t="s">
        <v>298</v>
      </c>
      <c r="L769" s="11">
        <f>F769*Controls!$B$6</f>
        <v>3</v>
      </c>
      <c r="M769" s="11">
        <f>G769*Controls!$B$6</f>
        <v>375</v>
      </c>
      <c r="N769" s="12">
        <f>IF(L769=0,0,SUMIFS('PSI Plan'!$N$6:$N$173,'PSI Plan'!$B$6:$B$173,B769,'PSI Plan'!$C$6:$C$173,I769))</f>
        <v>0</v>
      </c>
      <c r="O769" s="11">
        <f t="shared" si="22"/>
        <v>0</v>
      </c>
      <c r="P769" s="11">
        <f t="shared" si="23"/>
        <v>0</v>
      </c>
      <c r="Q769" s="6"/>
      <c r="R769" s="6"/>
      <c r="S769" s="6"/>
      <c r="T769" s="6"/>
    </row>
    <row r="770" spans="1:20">
      <c r="A770" s="6" t="s">
        <v>916</v>
      </c>
      <c r="B770" s="6" t="s">
        <v>66</v>
      </c>
      <c r="C770" s="6" t="s">
        <v>90</v>
      </c>
      <c r="D770" s="6" t="s">
        <v>119</v>
      </c>
      <c r="E770" s="6" t="s">
        <v>120</v>
      </c>
      <c r="F770" s="7">
        <v>52</v>
      </c>
      <c r="G770" s="7">
        <v>6500</v>
      </c>
      <c r="H770" s="16">
        <v>45262</v>
      </c>
      <c r="I770" s="6">
        <v>48</v>
      </c>
      <c r="J770" s="6" t="s">
        <v>121</v>
      </c>
      <c r="K770" s="6" t="s">
        <v>122</v>
      </c>
      <c r="L770" s="11">
        <f>F770*Controls!$B$6</f>
        <v>52</v>
      </c>
      <c r="M770" s="11">
        <f>G770*Controls!$B$6</f>
        <v>6500</v>
      </c>
      <c r="N770" s="12">
        <f>IF(L770=0,0,SUMIFS('PSI Plan'!$N$6:$N$173,'PSI Plan'!$B$6:$B$173,B770,'PSI Plan'!$C$6:$C$173,I770))</f>
        <v>0</v>
      </c>
      <c r="O770" s="11">
        <f t="shared" ref="O770:O833" si="24">L770*N770</f>
        <v>0</v>
      </c>
      <c r="P770" s="11">
        <f t="shared" ref="P770:P833" si="25">M770*N770</f>
        <v>0</v>
      </c>
      <c r="Q770" s="6"/>
      <c r="R770" s="6"/>
      <c r="S770" s="6"/>
      <c r="T770" s="6"/>
    </row>
    <row r="771" spans="1:20">
      <c r="A771" s="6" t="s">
        <v>917</v>
      </c>
      <c r="B771" s="6" t="s">
        <v>77</v>
      </c>
      <c r="C771" s="6" t="s">
        <v>90</v>
      </c>
      <c r="D771" s="6" t="s">
        <v>119</v>
      </c>
      <c r="E771" s="6" t="s">
        <v>120</v>
      </c>
      <c r="F771" s="7">
        <v>26</v>
      </c>
      <c r="G771" s="7">
        <v>3250</v>
      </c>
      <c r="H771" s="16">
        <v>45207</v>
      </c>
      <c r="I771" s="6">
        <v>41</v>
      </c>
      <c r="J771" s="6" t="s">
        <v>121</v>
      </c>
      <c r="K771" s="6" t="s">
        <v>122</v>
      </c>
      <c r="L771" s="11">
        <f>F771*Controls!$B$6</f>
        <v>26</v>
      </c>
      <c r="M771" s="11">
        <f>G771*Controls!$B$6</f>
        <v>3250</v>
      </c>
      <c r="N771" s="12">
        <f>IF(L771=0,0,SUMIFS('PSI Plan'!$N$6:$N$173,'PSI Plan'!$B$6:$B$173,B771,'PSI Plan'!$C$6:$C$173,I771))</f>
        <v>0</v>
      </c>
      <c r="O771" s="11">
        <f t="shared" si="24"/>
        <v>0</v>
      </c>
      <c r="P771" s="11">
        <f t="shared" si="25"/>
        <v>0</v>
      </c>
      <c r="Q771" s="6"/>
      <c r="R771" s="6"/>
      <c r="S771" s="6"/>
      <c r="T771" s="6"/>
    </row>
    <row r="772" spans="1:20">
      <c r="A772" s="6" t="s">
        <v>918</v>
      </c>
      <c r="B772" s="6" t="s">
        <v>76</v>
      </c>
      <c r="C772" s="6" t="s">
        <v>90</v>
      </c>
      <c r="D772" s="6" t="s">
        <v>119</v>
      </c>
      <c r="E772" s="6" t="s">
        <v>120</v>
      </c>
      <c r="F772" s="7">
        <v>26</v>
      </c>
      <c r="G772" s="7">
        <v>3250</v>
      </c>
      <c r="H772" s="16">
        <v>45260</v>
      </c>
      <c r="I772" s="6">
        <v>48</v>
      </c>
      <c r="J772" s="6" t="s">
        <v>121</v>
      </c>
      <c r="K772" s="6" t="s">
        <v>122</v>
      </c>
      <c r="L772" s="11">
        <f>F772*Controls!$B$6</f>
        <v>26</v>
      </c>
      <c r="M772" s="11">
        <f>G772*Controls!$B$6</f>
        <v>3250</v>
      </c>
      <c r="N772" s="12">
        <f>IF(L772=0,0,SUMIFS('PSI Plan'!$N$6:$N$173,'PSI Plan'!$B$6:$B$173,B772,'PSI Plan'!$C$6:$C$173,I772))</f>
        <v>0</v>
      </c>
      <c r="O772" s="11">
        <f t="shared" si="24"/>
        <v>0</v>
      </c>
      <c r="P772" s="11">
        <f t="shared" si="25"/>
        <v>0</v>
      </c>
      <c r="Q772" s="6"/>
      <c r="R772" s="6"/>
      <c r="S772" s="6"/>
      <c r="T772" s="6"/>
    </row>
    <row r="773" spans="1:20">
      <c r="A773" s="6" t="s">
        <v>919</v>
      </c>
      <c r="B773" s="6" t="s">
        <v>67</v>
      </c>
      <c r="C773" s="6" t="s">
        <v>90</v>
      </c>
      <c r="D773" s="6" t="s">
        <v>119</v>
      </c>
      <c r="E773" s="6" t="s">
        <v>120</v>
      </c>
      <c r="F773" s="7">
        <v>52</v>
      </c>
      <c r="G773" s="7">
        <v>6500</v>
      </c>
      <c r="H773" s="16">
        <v>45205</v>
      </c>
      <c r="I773" s="6">
        <v>40</v>
      </c>
      <c r="J773" s="6" t="s">
        <v>121</v>
      </c>
      <c r="K773" s="6" t="s">
        <v>122</v>
      </c>
      <c r="L773" s="11">
        <f>F773*Controls!$B$6</f>
        <v>52</v>
      </c>
      <c r="M773" s="11">
        <f>G773*Controls!$B$6</f>
        <v>6500</v>
      </c>
      <c r="N773" s="12">
        <f>IF(L773=0,0,SUMIFS('PSI Plan'!$N$6:$N$173,'PSI Plan'!$B$6:$B$173,B773,'PSI Plan'!$C$6:$C$173,I773))</f>
        <v>0</v>
      </c>
      <c r="O773" s="11">
        <f t="shared" si="24"/>
        <v>0</v>
      </c>
      <c r="P773" s="11">
        <f t="shared" si="25"/>
        <v>0</v>
      </c>
      <c r="Q773" s="6"/>
      <c r="R773" s="6"/>
      <c r="S773" s="6"/>
      <c r="T773" s="6"/>
    </row>
    <row r="774" spans="1:20">
      <c r="A774" s="6" t="s">
        <v>920</v>
      </c>
      <c r="B774" s="6" t="s">
        <v>77</v>
      </c>
      <c r="C774" s="6" t="s">
        <v>90</v>
      </c>
      <c r="D774" s="6" t="s">
        <v>119</v>
      </c>
      <c r="E774" s="6" t="s">
        <v>120</v>
      </c>
      <c r="F774" s="7">
        <v>15</v>
      </c>
      <c r="G774" s="7">
        <v>1875</v>
      </c>
      <c r="H774" s="16">
        <v>45236</v>
      </c>
      <c r="I774" s="6">
        <v>45</v>
      </c>
      <c r="J774" s="6" t="s">
        <v>121</v>
      </c>
      <c r="K774" s="6" t="s">
        <v>132</v>
      </c>
      <c r="L774" s="11">
        <f>F774*Controls!$B$6</f>
        <v>15</v>
      </c>
      <c r="M774" s="11">
        <f>G774*Controls!$B$6</f>
        <v>1875</v>
      </c>
      <c r="N774" s="12">
        <f>IF(L774=0,0,SUMIFS('PSI Plan'!$N$6:$N$173,'PSI Plan'!$B$6:$B$173,B774,'PSI Plan'!$C$6:$C$173,I774))</f>
        <v>0</v>
      </c>
      <c r="O774" s="11">
        <f t="shared" si="24"/>
        <v>0</v>
      </c>
      <c r="P774" s="11">
        <f t="shared" si="25"/>
        <v>0</v>
      </c>
      <c r="Q774" s="6"/>
      <c r="R774" s="6"/>
      <c r="S774" s="6"/>
      <c r="T774" s="6"/>
    </row>
    <row r="775" spans="1:20">
      <c r="A775" s="6" t="s">
        <v>921</v>
      </c>
      <c r="B775" s="6" t="s">
        <v>66</v>
      </c>
      <c r="C775" s="6" t="s">
        <v>90</v>
      </c>
      <c r="D775" s="6" t="s">
        <v>119</v>
      </c>
      <c r="E775" s="6" t="s">
        <v>120</v>
      </c>
      <c r="F775" s="7">
        <v>78</v>
      </c>
      <c r="G775" s="7">
        <v>9750</v>
      </c>
      <c r="H775" s="16">
        <v>45273</v>
      </c>
      <c r="I775" s="6">
        <v>50</v>
      </c>
      <c r="J775" s="6" t="s">
        <v>121</v>
      </c>
      <c r="K775" s="6" t="s">
        <v>122</v>
      </c>
      <c r="L775" s="11">
        <f>F775*Controls!$B$6</f>
        <v>78</v>
      </c>
      <c r="M775" s="11">
        <f>G775*Controls!$B$6</f>
        <v>9750</v>
      </c>
      <c r="N775" s="12">
        <f>IF(L775=0,0,SUMIFS('PSI Plan'!$N$6:$N$173,'PSI Plan'!$B$6:$B$173,B775,'PSI Plan'!$C$6:$C$173,I775))</f>
        <v>0</v>
      </c>
      <c r="O775" s="11">
        <f t="shared" si="24"/>
        <v>0</v>
      </c>
      <c r="P775" s="11">
        <f t="shared" si="25"/>
        <v>0</v>
      </c>
      <c r="Q775" s="6"/>
      <c r="R775" s="6"/>
      <c r="S775" s="6"/>
      <c r="T775" s="6"/>
    </row>
    <row r="776" spans="1:20">
      <c r="A776" s="6" t="s">
        <v>922</v>
      </c>
      <c r="B776" s="6" t="s">
        <v>77</v>
      </c>
      <c r="C776" s="6" t="s">
        <v>90</v>
      </c>
      <c r="D776" s="6" t="s">
        <v>119</v>
      </c>
      <c r="E776" s="6" t="s">
        <v>120</v>
      </c>
      <c r="F776" s="7">
        <v>104</v>
      </c>
      <c r="G776" s="7">
        <v>13000</v>
      </c>
      <c r="H776" s="16">
        <v>45261</v>
      </c>
      <c r="I776" s="6">
        <v>48</v>
      </c>
      <c r="J776" s="6" t="s">
        <v>121</v>
      </c>
      <c r="K776" s="6" t="s">
        <v>122</v>
      </c>
      <c r="L776" s="11">
        <f>F776*Controls!$B$6</f>
        <v>104</v>
      </c>
      <c r="M776" s="11">
        <f>G776*Controls!$B$6</f>
        <v>13000</v>
      </c>
      <c r="N776" s="12">
        <f>IF(L776=0,0,SUMIFS('PSI Plan'!$N$6:$N$173,'PSI Plan'!$B$6:$B$173,B776,'PSI Plan'!$C$6:$C$173,I776))</f>
        <v>0</v>
      </c>
      <c r="O776" s="11">
        <f t="shared" si="24"/>
        <v>0</v>
      </c>
      <c r="P776" s="11">
        <f t="shared" si="25"/>
        <v>0</v>
      </c>
      <c r="Q776" s="6"/>
      <c r="R776" s="6"/>
      <c r="S776" s="6"/>
      <c r="T776" s="6"/>
    </row>
    <row r="777" spans="1:20">
      <c r="A777" s="6" t="s">
        <v>923</v>
      </c>
      <c r="B777" s="6" t="s">
        <v>76</v>
      </c>
      <c r="C777" s="6" t="s">
        <v>90</v>
      </c>
      <c r="D777" s="6" t="s">
        <v>119</v>
      </c>
      <c r="E777" s="6" t="s">
        <v>120</v>
      </c>
      <c r="F777" s="7">
        <v>78</v>
      </c>
      <c r="G777" s="7">
        <v>9750</v>
      </c>
      <c r="H777" s="16">
        <v>45273</v>
      </c>
      <c r="I777" s="6">
        <v>50</v>
      </c>
      <c r="J777" s="6" t="s">
        <v>121</v>
      </c>
      <c r="K777" s="6" t="s">
        <v>122</v>
      </c>
      <c r="L777" s="11">
        <f>F777*Controls!$B$6</f>
        <v>78</v>
      </c>
      <c r="M777" s="11">
        <f>G777*Controls!$B$6</f>
        <v>9750</v>
      </c>
      <c r="N777" s="12">
        <f>IF(L777=0,0,SUMIFS('PSI Plan'!$N$6:$N$173,'PSI Plan'!$B$6:$B$173,B777,'PSI Plan'!$C$6:$C$173,I777))</f>
        <v>0</v>
      </c>
      <c r="O777" s="11">
        <f t="shared" si="24"/>
        <v>0</v>
      </c>
      <c r="P777" s="11">
        <f t="shared" si="25"/>
        <v>0</v>
      </c>
      <c r="Q777" s="6"/>
      <c r="R777" s="6"/>
      <c r="S777" s="6"/>
      <c r="T777" s="6"/>
    </row>
    <row r="778" spans="1:20">
      <c r="A778" s="6" t="s">
        <v>924</v>
      </c>
      <c r="B778" s="6" t="s">
        <v>67</v>
      </c>
      <c r="C778" s="6" t="s">
        <v>90</v>
      </c>
      <c r="D778" s="6" t="s">
        <v>119</v>
      </c>
      <c r="E778" s="6" t="s">
        <v>120</v>
      </c>
      <c r="F778" s="7">
        <v>104</v>
      </c>
      <c r="G778" s="7">
        <v>13000</v>
      </c>
      <c r="H778" s="16">
        <v>45284</v>
      </c>
      <c r="I778" s="6">
        <v>52</v>
      </c>
      <c r="J778" s="6" t="s">
        <v>121</v>
      </c>
      <c r="K778" s="6" t="s">
        <v>122</v>
      </c>
      <c r="L778" s="11">
        <f>F778*Controls!$B$6</f>
        <v>104</v>
      </c>
      <c r="M778" s="11">
        <f>G778*Controls!$B$6</f>
        <v>13000</v>
      </c>
      <c r="N778" s="12">
        <f>IF(L778=0,0,SUMIFS('PSI Plan'!$N$6:$N$173,'PSI Plan'!$B$6:$B$173,B778,'PSI Plan'!$C$6:$C$173,I778))</f>
        <v>0</v>
      </c>
      <c r="O778" s="11">
        <f t="shared" si="24"/>
        <v>0</v>
      </c>
      <c r="P778" s="11">
        <f t="shared" si="25"/>
        <v>0</v>
      </c>
      <c r="Q778" s="6"/>
      <c r="R778" s="6"/>
      <c r="S778" s="6"/>
      <c r="T778" s="6"/>
    </row>
    <row r="779" spans="1:20">
      <c r="A779" s="6" t="s">
        <v>925</v>
      </c>
      <c r="B779" s="6" t="s">
        <v>69</v>
      </c>
      <c r="C779" s="6" t="s">
        <v>90</v>
      </c>
      <c r="D779" s="6" t="s">
        <v>119</v>
      </c>
      <c r="E779" s="6" t="s">
        <v>120</v>
      </c>
      <c r="F779" s="7">
        <v>104</v>
      </c>
      <c r="G779" s="7">
        <v>13000</v>
      </c>
      <c r="H779" s="16">
        <v>45228</v>
      </c>
      <c r="I779" s="6">
        <v>44</v>
      </c>
      <c r="J779" s="6" t="s">
        <v>121</v>
      </c>
      <c r="K779" s="6" t="s">
        <v>122</v>
      </c>
      <c r="L779" s="11">
        <f>F779*Controls!$B$6</f>
        <v>104</v>
      </c>
      <c r="M779" s="11">
        <f>G779*Controls!$B$6</f>
        <v>13000</v>
      </c>
      <c r="N779" s="12">
        <f>IF(L779=0,0,SUMIFS('PSI Plan'!$N$6:$N$173,'PSI Plan'!$B$6:$B$173,B779,'PSI Plan'!$C$6:$C$173,I779))</f>
        <v>0</v>
      </c>
      <c r="O779" s="11">
        <f t="shared" si="24"/>
        <v>0</v>
      </c>
      <c r="P779" s="11">
        <f t="shared" si="25"/>
        <v>0</v>
      </c>
      <c r="Q779" s="6"/>
      <c r="R779" s="6"/>
      <c r="S779" s="6"/>
      <c r="T779" s="6"/>
    </row>
    <row r="780" spans="1:20">
      <c r="A780" s="6" t="s">
        <v>926</v>
      </c>
      <c r="B780" s="6" t="s">
        <v>77</v>
      </c>
      <c r="C780" s="6" t="s">
        <v>90</v>
      </c>
      <c r="D780" s="6" t="s">
        <v>119</v>
      </c>
      <c r="E780" s="6" t="s">
        <v>120</v>
      </c>
      <c r="F780" s="7">
        <v>5</v>
      </c>
      <c r="G780" s="7">
        <v>625</v>
      </c>
      <c r="H780" s="16">
        <v>45209</v>
      </c>
      <c r="I780" s="6">
        <v>41</v>
      </c>
      <c r="J780" s="6" t="s">
        <v>121</v>
      </c>
      <c r="K780" s="6" t="s">
        <v>725</v>
      </c>
      <c r="L780" s="11">
        <f>F780*Controls!$B$6</f>
        <v>5</v>
      </c>
      <c r="M780" s="11">
        <f>G780*Controls!$B$6</f>
        <v>625</v>
      </c>
      <c r="N780" s="12">
        <f>IF(L780=0,0,SUMIFS('PSI Plan'!$N$6:$N$173,'PSI Plan'!$B$6:$B$173,B780,'PSI Plan'!$C$6:$C$173,I780))</f>
        <v>0</v>
      </c>
      <c r="O780" s="11">
        <f t="shared" si="24"/>
        <v>0</v>
      </c>
      <c r="P780" s="11">
        <f t="shared" si="25"/>
        <v>0</v>
      </c>
      <c r="Q780" s="6"/>
      <c r="R780" s="6"/>
      <c r="S780" s="6"/>
      <c r="T780" s="6"/>
    </row>
    <row r="781" spans="1:20">
      <c r="A781" s="6" t="s">
        <v>927</v>
      </c>
      <c r="B781" s="6" t="s">
        <v>69</v>
      </c>
      <c r="C781" s="6" t="s">
        <v>90</v>
      </c>
      <c r="D781" s="6" t="s">
        <v>119</v>
      </c>
      <c r="E781" s="6" t="s">
        <v>120</v>
      </c>
      <c r="F781" s="7">
        <v>26</v>
      </c>
      <c r="G781" s="7">
        <v>3250</v>
      </c>
      <c r="H781" s="16">
        <v>45270</v>
      </c>
      <c r="I781" s="6">
        <v>50</v>
      </c>
      <c r="J781" s="6" t="s">
        <v>121</v>
      </c>
      <c r="K781" s="6" t="s">
        <v>725</v>
      </c>
      <c r="L781" s="11">
        <f>F781*Controls!$B$6</f>
        <v>26</v>
      </c>
      <c r="M781" s="11">
        <f>G781*Controls!$B$6</f>
        <v>3250</v>
      </c>
      <c r="N781" s="12">
        <f>IF(L781=0,0,SUMIFS('PSI Plan'!$N$6:$N$173,'PSI Plan'!$B$6:$B$173,B781,'PSI Plan'!$C$6:$C$173,I781))</f>
        <v>0</v>
      </c>
      <c r="O781" s="11">
        <f t="shared" si="24"/>
        <v>0</v>
      </c>
      <c r="P781" s="11">
        <f t="shared" si="25"/>
        <v>0</v>
      </c>
      <c r="Q781" s="6"/>
      <c r="R781" s="6"/>
      <c r="S781" s="6"/>
      <c r="T781" s="6"/>
    </row>
    <row r="782" spans="1:20">
      <c r="A782" s="6" t="s">
        <v>928</v>
      </c>
      <c r="B782" s="6" t="s">
        <v>66</v>
      </c>
      <c r="C782" s="6" t="s">
        <v>90</v>
      </c>
      <c r="D782" s="6" t="s">
        <v>119</v>
      </c>
      <c r="E782" s="6" t="s">
        <v>120</v>
      </c>
      <c r="F782" s="7">
        <v>26</v>
      </c>
      <c r="G782" s="7">
        <v>3250</v>
      </c>
      <c r="H782" s="16">
        <v>45225</v>
      </c>
      <c r="I782" s="6">
        <v>43</v>
      </c>
      <c r="J782" s="6" t="s">
        <v>121</v>
      </c>
      <c r="K782" s="6" t="s">
        <v>135</v>
      </c>
      <c r="L782" s="11">
        <f>F782*Controls!$B$6</f>
        <v>26</v>
      </c>
      <c r="M782" s="11">
        <f>G782*Controls!$B$6</f>
        <v>3250</v>
      </c>
      <c r="N782" s="12">
        <f>IF(L782=0,0,SUMIFS('PSI Plan'!$N$6:$N$173,'PSI Plan'!$B$6:$B$173,B782,'PSI Plan'!$C$6:$C$173,I782))</f>
        <v>0</v>
      </c>
      <c r="O782" s="11">
        <f t="shared" si="24"/>
        <v>0</v>
      </c>
      <c r="P782" s="11">
        <f t="shared" si="25"/>
        <v>0</v>
      </c>
      <c r="Q782" s="6"/>
      <c r="R782" s="6"/>
      <c r="S782" s="6"/>
      <c r="T782" s="6"/>
    </row>
    <row r="783" spans="1:20">
      <c r="A783" s="6" t="s">
        <v>929</v>
      </c>
      <c r="B783" s="6" t="s">
        <v>77</v>
      </c>
      <c r="C783" s="6" t="s">
        <v>90</v>
      </c>
      <c r="D783" s="6" t="s">
        <v>119</v>
      </c>
      <c r="E783" s="6" t="s">
        <v>120</v>
      </c>
      <c r="F783" s="7">
        <v>13</v>
      </c>
      <c r="G783" s="7">
        <v>1625</v>
      </c>
      <c r="H783" s="16">
        <v>45214</v>
      </c>
      <c r="I783" s="6">
        <v>42</v>
      </c>
      <c r="J783" s="6" t="s">
        <v>121</v>
      </c>
      <c r="K783" s="6" t="s">
        <v>298</v>
      </c>
      <c r="L783" s="11">
        <f>F783*Controls!$B$6</f>
        <v>13</v>
      </c>
      <c r="M783" s="11">
        <f>G783*Controls!$B$6</f>
        <v>1625</v>
      </c>
      <c r="N783" s="12">
        <f>IF(L783=0,0,SUMIFS('PSI Plan'!$N$6:$N$173,'PSI Plan'!$B$6:$B$173,B783,'PSI Plan'!$C$6:$C$173,I783))</f>
        <v>0</v>
      </c>
      <c r="O783" s="11">
        <f t="shared" si="24"/>
        <v>0</v>
      </c>
      <c r="P783" s="11">
        <f t="shared" si="25"/>
        <v>0</v>
      </c>
      <c r="Q783" s="6"/>
      <c r="R783" s="6"/>
      <c r="S783" s="6"/>
      <c r="T783" s="6"/>
    </row>
    <row r="784" spans="1:20">
      <c r="A784" s="6" t="s">
        <v>930</v>
      </c>
      <c r="B784" s="6" t="s">
        <v>76</v>
      </c>
      <c r="C784" s="6" t="s">
        <v>90</v>
      </c>
      <c r="D784" s="6" t="s">
        <v>119</v>
      </c>
      <c r="E784" s="6" t="s">
        <v>120</v>
      </c>
      <c r="F784" s="7">
        <v>5</v>
      </c>
      <c r="G784" s="7">
        <v>625</v>
      </c>
      <c r="H784" s="16">
        <v>45287</v>
      </c>
      <c r="I784" s="6">
        <v>52</v>
      </c>
      <c r="J784" s="6" t="s">
        <v>121</v>
      </c>
      <c r="K784" s="6" t="s">
        <v>298</v>
      </c>
      <c r="L784" s="11">
        <f>F784*Controls!$B$6</f>
        <v>5</v>
      </c>
      <c r="M784" s="11">
        <f>G784*Controls!$B$6</f>
        <v>625</v>
      </c>
      <c r="N784" s="12">
        <f>IF(L784=0,0,SUMIFS('PSI Plan'!$N$6:$N$173,'PSI Plan'!$B$6:$B$173,B784,'PSI Plan'!$C$6:$C$173,I784))</f>
        <v>0</v>
      </c>
      <c r="O784" s="11">
        <f t="shared" si="24"/>
        <v>0</v>
      </c>
      <c r="P784" s="11">
        <f t="shared" si="25"/>
        <v>0</v>
      </c>
      <c r="Q784" s="6"/>
      <c r="R784" s="6"/>
      <c r="S784" s="6"/>
      <c r="T784" s="6"/>
    </row>
    <row r="785" spans="1:20">
      <c r="A785" s="6" t="s">
        <v>931</v>
      </c>
      <c r="B785" s="6" t="s">
        <v>66</v>
      </c>
      <c r="C785" s="6" t="s">
        <v>99</v>
      </c>
      <c r="D785" s="6" t="s">
        <v>319</v>
      </c>
      <c r="E785" s="6" t="s">
        <v>120</v>
      </c>
      <c r="F785" s="7">
        <v>52</v>
      </c>
      <c r="G785" s="7">
        <v>6500</v>
      </c>
      <c r="H785" s="16">
        <v>45230</v>
      </c>
      <c r="I785" s="6">
        <v>44</v>
      </c>
      <c r="J785" s="6" t="s">
        <v>121</v>
      </c>
      <c r="K785" s="6" t="s">
        <v>347</v>
      </c>
      <c r="L785" s="11">
        <f>F785*Controls!$B$6</f>
        <v>52</v>
      </c>
      <c r="M785" s="11">
        <f>G785*Controls!$B$6</f>
        <v>6500</v>
      </c>
      <c r="N785" s="12">
        <f>IF(L785=0,0,SUMIFS('PSI Plan'!$N$6:$N$173,'PSI Plan'!$B$6:$B$173,B785,'PSI Plan'!$C$6:$C$173,I785))</f>
        <v>0</v>
      </c>
      <c r="O785" s="11">
        <f t="shared" si="24"/>
        <v>0</v>
      </c>
      <c r="P785" s="11">
        <f t="shared" si="25"/>
        <v>0</v>
      </c>
      <c r="Q785" s="6"/>
      <c r="R785" s="6"/>
      <c r="S785" s="6"/>
      <c r="T785" s="6"/>
    </row>
    <row r="786" spans="1:20">
      <c r="A786" s="6" t="s">
        <v>932</v>
      </c>
      <c r="B786" s="6" t="s">
        <v>77</v>
      </c>
      <c r="C786" s="6" t="s">
        <v>99</v>
      </c>
      <c r="D786" s="6" t="s">
        <v>319</v>
      </c>
      <c r="E786" s="6" t="s">
        <v>120</v>
      </c>
      <c r="F786" s="7">
        <v>62</v>
      </c>
      <c r="G786" s="7">
        <v>7750</v>
      </c>
      <c r="H786" s="16">
        <v>45200</v>
      </c>
      <c r="I786" s="6">
        <v>40</v>
      </c>
      <c r="J786" s="6" t="s">
        <v>121</v>
      </c>
      <c r="K786" s="6" t="s">
        <v>347</v>
      </c>
      <c r="L786" s="11">
        <f>F786*Controls!$B$6</f>
        <v>62</v>
      </c>
      <c r="M786" s="11">
        <f>G786*Controls!$B$6</f>
        <v>7750</v>
      </c>
      <c r="N786" s="12">
        <f>IF(L786=0,0,SUMIFS('PSI Plan'!$N$6:$N$173,'PSI Plan'!$B$6:$B$173,B786,'PSI Plan'!$C$6:$C$173,I786))</f>
        <v>0</v>
      </c>
      <c r="O786" s="11">
        <f t="shared" si="24"/>
        <v>0</v>
      </c>
      <c r="P786" s="11">
        <f t="shared" si="25"/>
        <v>0</v>
      </c>
      <c r="Q786" s="6"/>
      <c r="R786" s="6"/>
      <c r="S786" s="6"/>
      <c r="T786" s="6"/>
    </row>
    <row r="787" spans="1:20">
      <c r="A787" s="6" t="s">
        <v>933</v>
      </c>
      <c r="B787" s="6" t="s">
        <v>69</v>
      </c>
      <c r="C787" s="6" t="s">
        <v>99</v>
      </c>
      <c r="D787" s="6" t="s">
        <v>319</v>
      </c>
      <c r="E787" s="6" t="s">
        <v>120</v>
      </c>
      <c r="F787" s="7">
        <v>104</v>
      </c>
      <c r="G787" s="7">
        <v>13000</v>
      </c>
      <c r="H787" s="16">
        <v>45264</v>
      </c>
      <c r="I787" s="6">
        <v>49</v>
      </c>
      <c r="J787" s="6" t="s">
        <v>121</v>
      </c>
      <c r="K787" s="6" t="s">
        <v>347</v>
      </c>
      <c r="L787" s="11">
        <f>F787*Controls!$B$6</f>
        <v>104</v>
      </c>
      <c r="M787" s="11">
        <f>G787*Controls!$B$6</f>
        <v>13000</v>
      </c>
      <c r="N787" s="12">
        <f>IF(L787=0,0,SUMIFS('PSI Plan'!$N$6:$N$173,'PSI Plan'!$B$6:$B$173,B787,'PSI Plan'!$C$6:$C$173,I787))</f>
        <v>0</v>
      </c>
      <c r="O787" s="11">
        <f t="shared" si="24"/>
        <v>0</v>
      </c>
      <c r="P787" s="11">
        <f t="shared" si="25"/>
        <v>0</v>
      </c>
      <c r="Q787" s="6"/>
      <c r="R787" s="6"/>
      <c r="S787" s="6"/>
      <c r="T787" s="6"/>
    </row>
    <row r="788" spans="1:20">
      <c r="A788" s="6" t="s">
        <v>934</v>
      </c>
      <c r="B788" s="6" t="s">
        <v>66</v>
      </c>
      <c r="C788" s="6" t="s">
        <v>100</v>
      </c>
      <c r="D788" s="6" t="s">
        <v>567</v>
      </c>
      <c r="E788" s="6" t="s">
        <v>120</v>
      </c>
      <c r="F788" s="7">
        <v>14</v>
      </c>
      <c r="G788" s="7">
        <v>1750</v>
      </c>
      <c r="H788" s="16">
        <v>45232</v>
      </c>
      <c r="I788" s="6">
        <v>44</v>
      </c>
      <c r="J788" s="6" t="s">
        <v>121</v>
      </c>
      <c r="K788" s="6" t="s">
        <v>781</v>
      </c>
      <c r="L788" s="11">
        <f>F788*Controls!$B$6</f>
        <v>14</v>
      </c>
      <c r="M788" s="11">
        <f>G788*Controls!$B$6</f>
        <v>1750</v>
      </c>
      <c r="N788" s="12">
        <f>IF(L788=0,0,SUMIFS('PSI Plan'!$N$6:$N$173,'PSI Plan'!$B$6:$B$173,B788,'PSI Plan'!$C$6:$C$173,I788))</f>
        <v>0</v>
      </c>
      <c r="O788" s="11">
        <f t="shared" si="24"/>
        <v>0</v>
      </c>
      <c r="P788" s="11">
        <f t="shared" si="25"/>
        <v>0</v>
      </c>
      <c r="Q788" s="6"/>
      <c r="R788" s="6"/>
      <c r="S788" s="6"/>
      <c r="T788" s="6"/>
    </row>
    <row r="789" spans="1:20">
      <c r="A789" s="6" t="s">
        <v>935</v>
      </c>
      <c r="B789" s="6" t="s">
        <v>76</v>
      </c>
      <c r="C789" s="6" t="s">
        <v>100</v>
      </c>
      <c r="D789" s="6" t="s">
        <v>567</v>
      </c>
      <c r="E789" s="6" t="s">
        <v>120</v>
      </c>
      <c r="F789" s="7">
        <v>8</v>
      </c>
      <c r="G789" s="7">
        <v>1000</v>
      </c>
      <c r="H789" s="16">
        <v>45228</v>
      </c>
      <c r="I789" s="6">
        <v>44</v>
      </c>
      <c r="J789" s="6" t="s">
        <v>121</v>
      </c>
      <c r="K789" s="6" t="s">
        <v>781</v>
      </c>
      <c r="L789" s="11">
        <f>F789*Controls!$B$6</f>
        <v>8</v>
      </c>
      <c r="M789" s="11">
        <f>G789*Controls!$B$6</f>
        <v>1000</v>
      </c>
      <c r="N789" s="12">
        <f>IF(L789=0,0,SUMIFS('PSI Plan'!$N$6:$N$173,'PSI Plan'!$B$6:$B$173,B789,'PSI Plan'!$C$6:$C$173,I789))</f>
        <v>0</v>
      </c>
      <c r="O789" s="11">
        <f t="shared" si="24"/>
        <v>0</v>
      </c>
      <c r="P789" s="11">
        <f t="shared" si="25"/>
        <v>0</v>
      </c>
      <c r="Q789" s="6"/>
      <c r="R789" s="6"/>
      <c r="S789" s="6"/>
      <c r="T789" s="6"/>
    </row>
    <row r="790" spans="1:20">
      <c r="A790" s="6" t="s">
        <v>936</v>
      </c>
      <c r="B790" s="6" t="s">
        <v>67</v>
      </c>
      <c r="C790" s="6" t="s">
        <v>100</v>
      </c>
      <c r="D790" s="6" t="s">
        <v>567</v>
      </c>
      <c r="E790" s="6" t="s">
        <v>120</v>
      </c>
      <c r="F790" s="7">
        <v>6</v>
      </c>
      <c r="G790" s="7">
        <v>750</v>
      </c>
      <c r="H790" s="16">
        <v>45243</v>
      </c>
      <c r="I790" s="6">
        <v>46</v>
      </c>
      <c r="J790" s="6" t="s">
        <v>121</v>
      </c>
      <c r="K790" s="6" t="s">
        <v>781</v>
      </c>
      <c r="L790" s="11">
        <f>F790*Controls!$B$6</f>
        <v>6</v>
      </c>
      <c r="M790" s="11">
        <f>G790*Controls!$B$6</f>
        <v>750</v>
      </c>
      <c r="N790" s="12">
        <f>IF(L790=0,0,SUMIFS('PSI Plan'!$N$6:$N$173,'PSI Plan'!$B$6:$B$173,B790,'PSI Plan'!$C$6:$C$173,I790))</f>
        <v>0</v>
      </c>
      <c r="O790" s="11">
        <f t="shared" si="24"/>
        <v>0</v>
      </c>
      <c r="P790" s="11">
        <f t="shared" si="25"/>
        <v>0</v>
      </c>
      <c r="Q790" s="6"/>
      <c r="R790" s="6"/>
      <c r="S790" s="6"/>
      <c r="T790" s="6"/>
    </row>
    <row r="791" spans="1:20">
      <c r="A791" s="6" t="s">
        <v>937</v>
      </c>
      <c r="B791" s="6" t="s">
        <v>69</v>
      </c>
      <c r="C791" s="6" t="s">
        <v>100</v>
      </c>
      <c r="D791" s="6" t="s">
        <v>567</v>
      </c>
      <c r="E791" s="6" t="s">
        <v>120</v>
      </c>
      <c r="F791" s="7">
        <v>8</v>
      </c>
      <c r="G791" s="7">
        <v>1000</v>
      </c>
      <c r="H791" s="16">
        <v>45277</v>
      </c>
      <c r="I791" s="6">
        <v>51</v>
      </c>
      <c r="J791" s="6" t="s">
        <v>121</v>
      </c>
      <c r="K791" s="6" t="s">
        <v>781</v>
      </c>
      <c r="L791" s="11">
        <f>F791*Controls!$B$6</f>
        <v>8</v>
      </c>
      <c r="M791" s="11">
        <f>G791*Controls!$B$6</f>
        <v>1000</v>
      </c>
      <c r="N791" s="12">
        <f>IF(L791=0,0,SUMIFS('PSI Plan'!$N$6:$N$173,'PSI Plan'!$B$6:$B$173,B791,'PSI Plan'!$C$6:$C$173,I791))</f>
        <v>0</v>
      </c>
      <c r="O791" s="11">
        <f t="shared" si="24"/>
        <v>0</v>
      </c>
      <c r="P791" s="11">
        <f t="shared" si="25"/>
        <v>0</v>
      </c>
      <c r="Q791" s="6"/>
      <c r="R791" s="6"/>
      <c r="S791" s="6"/>
      <c r="T791" s="6"/>
    </row>
    <row r="792" spans="1:20">
      <c r="A792" s="6" t="s">
        <v>938</v>
      </c>
      <c r="B792" s="6" t="s">
        <v>66</v>
      </c>
      <c r="C792" s="6" t="s">
        <v>90</v>
      </c>
      <c r="D792" s="6" t="s">
        <v>119</v>
      </c>
      <c r="E792" s="6" t="s">
        <v>120</v>
      </c>
      <c r="F792" s="7">
        <v>52</v>
      </c>
      <c r="G792" s="7">
        <v>6500</v>
      </c>
      <c r="H792" s="16">
        <v>45224</v>
      </c>
      <c r="I792" s="6">
        <v>43</v>
      </c>
      <c r="J792" s="6" t="s">
        <v>121</v>
      </c>
      <c r="K792" s="6" t="s">
        <v>122</v>
      </c>
      <c r="L792" s="11">
        <f>F792*Controls!$B$6</f>
        <v>52</v>
      </c>
      <c r="M792" s="11">
        <f>G792*Controls!$B$6</f>
        <v>6500</v>
      </c>
      <c r="N792" s="12">
        <f>IF(L792=0,0,SUMIFS('PSI Plan'!$N$6:$N$173,'PSI Plan'!$B$6:$B$173,B792,'PSI Plan'!$C$6:$C$173,I792))</f>
        <v>0</v>
      </c>
      <c r="O792" s="11">
        <f t="shared" si="24"/>
        <v>0</v>
      </c>
      <c r="P792" s="11">
        <f t="shared" si="25"/>
        <v>0</v>
      </c>
      <c r="Q792" s="6"/>
      <c r="R792" s="6"/>
      <c r="S792" s="6"/>
      <c r="T792" s="6"/>
    </row>
    <row r="793" spans="1:20">
      <c r="A793" s="6" t="s">
        <v>939</v>
      </c>
      <c r="B793" s="6" t="s">
        <v>76</v>
      </c>
      <c r="C793" s="6" t="s">
        <v>90</v>
      </c>
      <c r="D793" s="6" t="s">
        <v>119</v>
      </c>
      <c r="E793" s="6" t="s">
        <v>120</v>
      </c>
      <c r="F793" s="7">
        <v>78</v>
      </c>
      <c r="G793" s="7">
        <v>9750</v>
      </c>
      <c r="H793" s="16">
        <v>45283</v>
      </c>
      <c r="I793" s="6">
        <v>51</v>
      </c>
      <c r="J793" s="6" t="s">
        <v>121</v>
      </c>
      <c r="K793" s="6" t="s">
        <v>122</v>
      </c>
      <c r="L793" s="11">
        <f>F793*Controls!$B$6</f>
        <v>78</v>
      </c>
      <c r="M793" s="11">
        <f>G793*Controls!$B$6</f>
        <v>9750</v>
      </c>
      <c r="N793" s="12">
        <f>IF(L793=0,0,SUMIFS('PSI Plan'!$N$6:$N$173,'PSI Plan'!$B$6:$B$173,B793,'PSI Plan'!$C$6:$C$173,I793))</f>
        <v>0</v>
      </c>
      <c r="O793" s="11">
        <f t="shared" si="24"/>
        <v>0</v>
      </c>
      <c r="P793" s="11">
        <f t="shared" si="25"/>
        <v>0</v>
      </c>
      <c r="Q793" s="6"/>
      <c r="R793" s="6"/>
      <c r="S793" s="6"/>
      <c r="T793" s="6"/>
    </row>
    <row r="794" spans="1:20">
      <c r="A794" s="6" t="s">
        <v>940</v>
      </c>
      <c r="B794" s="6" t="s">
        <v>77</v>
      </c>
      <c r="C794" s="6" t="s">
        <v>90</v>
      </c>
      <c r="D794" s="6" t="s">
        <v>119</v>
      </c>
      <c r="E794" s="6" t="s">
        <v>120</v>
      </c>
      <c r="F794" s="7">
        <v>104</v>
      </c>
      <c r="G794" s="7">
        <v>13000</v>
      </c>
      <c r="H794" s="16">
        <v>45219</v>
      </c>
      <c r="I794" s="6">
        <v>42</v>
      </c>
      <c r="J794" s="6" t="s">
        <v>121</v>
      </c>
      <c r="K794" s="6" t="s">
        <v>122</v>
      </c>
      <c r="L794" s="11">
        <f>F794*Controls!$B$6</f>
        <v>104</v>
      </c>
      <c r="M794" s="11">
        <f>G794*Controls!$B$6</f>
        <v>13000</v>
      </c>
      <c r="N794" s="12">
        <f>IF(L794=0,0,SUMIFS('PSI Plan'!$N$6:$N$173,'PSI Plan'!$B$6:$B$173,B794,'PSI Plan'!$C$6:$C$173,I794))</f>
        <v>0</v>
      </c>
      <c r="O794" s="11">
        <f t="shared" si="24"/>
        <v>0</v>
      </c>
      <c r="P794" s="11">
        <f t="shared" si="25"/>
        <v>0</v>
      </c>
      <c r="Q794" s="6"/>
      <c r="R794" s="6"/>
      <c r="S794" s="6"/>
      <c r="T794" s="6"/>
    </row>
    <row r="795" spans="1:20">
      <c r="A795" s="6" t="s">
        <v>941</v>
      </c>
      <c r="B795" s="6" t="s">
        <v>67</v>
      </c>
      <c r="C795" s="6" t="s">
        <v>90</v>
      </c>
      <c r="D795" s="6" t="s">
        <v>119</v>
      </c>
      <c r="E795" s="6" t="s">
        <v>120</v>
      </c>
      <c r="F795" s="7">
        <v>52</v>
      </c>
      <c r="G795" s="7">
        <v>6500</v>
      </c>
      <c r="H795" s="16">
        <v>45229</v>
      </c>
      <c r="I795" s="6">
        <v>44</v>
      </c>
      <c r="J795" s="6" t="s">
        <v>121</v>
      </c>
      <c r="K795" s="6" t="s">
        <v>122</v>
      </c>
      <c r="L795" s="11">
        <f>F795*Controls!$B$6</f>
        <v>52</v>
      </c>
      <c r="M795" s="11">
        <f>G795*Controls!$B$6</f>
        <v>6500</v>
      </c>
      <c r="N795" s="12">
        <f>IF(L795=0,0,SUMIFS('PSI Plan'!$N$6:$N$173,'PSI Plan'!$B$6:$B$173,B795,'PSI Plan'!$C$6:$C$173,I795))</f>
        <v>0</v>
      </c>
      <c r="O795" s="11">
        <f t="shared" si="24"/>
        <v>0</v>
      </c>
      <c r="P795" s="11">
        <f t="shared" si="25"/>
        <v>0</v>
      </c>
      <c r="Q795" s="6"/>
      <c r="R795" s="6"/>
      <c r="S795" s="6"/>
      <c r="T795" s="6"/>
    </row>
    <row r="796" spans="1:20">
      <c r="A796" s="6" t="s">
        <v>942</v>
      </c>
      <c r="B796" s="6" t="s">
        <v>69</v>
      </c>
      <c r="C796" s="6" t="s">
        <v>90</v>
      </c>
      <c r="D796" s="6" t="s">
        <v>119</v>
      </c>
      <c r="E796" s="6" t="s">
        <v>120</v>
      </c>
      <c r="F796" s="7">
        <v>78</v>
      </c>
      <c r="G796" s="7">
        <v>9750</v>
      </c>
      <c r="H796" s="16">
        <v>45217</v>
      </c>
      <c r="I796" s="6">
        <v>42</v>
      </c>
      <c r="J796" s="6" t="s">
        <v>121</v>
      </c>
      <c r="K796" s="6" t="s">
        <v>122</v>
      </c>
      <c r="L796" s="11">
        <f>F796*Controls!$B$6</f>
        <v>78</v>
      </c>
      <c r="M796" s="11">
        <f>G796*Controls!$B$6</f>
        <v>9750</v>
      </c>
      <c r="N796" s="12">
        <f>IF(L796=0,0,SUMIFS('PSI Plan'!$N$6:$N$173,'PSI Plan'!$B$6:$B$173,B796,'PSI Plan'!$C$6:$C$173,I796))</f>
        <v>0</v>
      </c>
      <c r="O796" s="11">
        <f t="shared" si="24"/>
        <v>0</v>
      </c>
      <c r="P796" s="11">
        <f t="shared" si="25"/>
        <v>0</v>
      </c>
      <c r="Q796" s="6"/>
      <c r="R796" s="6"/>
      <c r="S796" s="6"/>
      <c r="T796" s="6"/>
    </row>
    <row r="797" spans="1:20">
      <c r="A797" s="6" t="s">
        <v>943</v>
      </c>
      <c r="B797" s="6" t="s">
        <v>66</v>
      </c>
      <c r="C797" s="6" t="s">
        <v>100</v>
      </c>
      <c r="D797" s="6" t="s">
        <v>567</v>
      </c>
      <c r="E797" s="6" t="s">
        <v>120</v>
      </c>
      <c r="F797" s="7">
        <v>10</v>
      </c>
      <c r="G797" s="7">
        <v>1250</v>
      </c>
      <c r="H797" s="16">
        <v>45252</v>
      </c>
      <c r="I797" s="6">
        <v>47</v>
      </c>
      <c r="J797" s="6" t="s">
        <v>121</v>
      </c>
      <c r="K797" s="6" t="s">
        <v>568</v>
      </c>
      <c r="L797" s="11">
        <f>F797*Controls!$B$6</f>
        <v>10</v>
      </c>
      <c r="M797" s="11">
        <f>G797*Controls!$B$6</f>
        <v>1250</v>
      </c>
      <c r="N797" s="12">
        <f>IF(L797=0,0,SUMIFS('PSI Plan'!$N$6:$N$173,'PSI Plan'!$B$6:$B$173,B797,'PSI Plan'!$C$6:$C$173,I797))</f>
        <v>0</v>
      </c>
      <c r="O797" s="11">
        <f t="shared" si="24"/>
        <v>0</v>
      </c>
      <c r="P797" s="11">
        <f t="shared" si="25"/>
        <v>0</v>
      </c>
      <c r="Q797" s="6"/>
      <c r="R797" s="6"/>
      <c r="S797" s="6"/>
      <c r="T797" s="6"/>
    </row>
    <row r="798" spans="1:20">
      <c r="A798" s="6" t="s">
        <v>944</v>
      </c>
      <c r="B798" s="6" t="s">
        <v>77</v>
      </c>
      <c r="C798" s="6" t="s">
        <v>100</v>
      </c>
      <c r="D798" s="6" t="s">
        <v>567</v>
      </c>
      <c r="E798" s="6" t="s">
        <v>120</v>
      </c>
      <c r="F798" s="7">
        <v>5</v>
      </c>
      <c r="G798" s="7">
        <v>625</v>
      </c>
      <c r="H798" s="16">
        <v>45286</v>
      </c>
      <c r="I798" s="6">
        <v>52</v>
      </c>
      <c r="J798" s="6" t="s">
        <v>121</v>
      </c>
      <c r="K798" s="6" t="s">
        <v>568</v>
      </c>
      <c r="L798" s="11">
        <f>F798*Controls!$B$6</f>
        <v>5</v>
      </c>
      <c r="M798" s="11">
        <f>G798*Controls!$B$6</f>
        <v>625</v>
      </c>
      <c r="N798" s="12">
        <f>IF(L798=0,0,SUMIFS('PSI Plan'!$N$6:$N$173,'PSI Plan'!$B$6:$B$173,B798,'PSI Plan'!$C$6:$C$173,I798))</f>
        <v>0</v>
      </c>
      <c r="O798" s="11">
        <f t="shared" si="24"/>
        <v>0</v>
      </c>
      <c r="P798" s="11">
        <f t="shared" si="25"/>
        <v>0</v>
      </c>
      <c r="Q798" s="6"/>
      <c r="R798" s="6"/>
      <c r="S798" s="6"/>
      <c r="T798" s="6"/>
    </row>
    <row r="799" spans="1:20">
      <c r="A799" s="6" t="s">
        <v>945</v>
      </c>
      <c r="B799" s="6" t="s">
        <v>69</v>
      </c>
      <c r="C799" s="6" t="s">
        <v>100</v>
      </c>
      <c r="D799" s="6" t="s">
        <v>567</v>
      </c>
      <c r="E799" s="6" t="s">
        <v>120</v>
      </c>
      <c r="F799" s="7">
        <v>8</v>
      </c>
      <c r="G799" s="7">
        <v>1000</v>
      </c>
      <c r="H799" s="16">
        <v>45262</v>
      </c>
      <c r="I799" s="6">
        <v>48</v>
      </c>
      <c r="J799" s="6" t="s">
        <v>121</v>
      </c>
      <c r="K799" s="6" t="s">
        <v>568</v>
      </c>
      <c r="L799" s="11">
        <f>F799*Controls!$B$6</f>
        <v>8</v>
      </c>
      <c r="M799" s="11">
        <f>G799*Controls!$B$6</f>
        <v>1000</v>
      </c>
      <c r="N799" s="12">
        <f>IF(L799=0,0,SUMIFS('PSI Plan'!$N$6:$N$173,'PSI Plan'!$B$6:$B$173,B799,'PSI Plan'!$C$6:$C$173,I799))</f>
        <v>0</v>
      </c>
      <c r="O799" s="11">
        <f t="shared" si="24"/>
        <v>0</v>
      </c>
      <c r="P799" s="11">
        <f t="shared" si="25"/>
        <v>0</v>
      </c>
      <c r="Q799" s="6"/>
      <c r="R799" s="6"/>
      <c r="S799" s="6"/>
      <c r="T799" s="6"/>
    </row>
    <row r="800" spans="1:20">
      <c r="A800" s="6" t="s">
        <v>946</v>
      </c>
      <c r="B800" s="6" t="s">
        <v>66</v>
      </c>
      <c r="C800" s="6" t="s">
        <v>99</v>
      </c>
      <c r="D800" s="6" t="s">
        <v>319</v>
      </c>
      <c r="E800" s="6" t="s">
        <v>120</v>
      </c>
      <c r="F800" s="7">
        <v>104</v>
      </c>
      <c r="G800" s="7">
        <v>13000</v>
      </c>
      <c r="H800" s="16">
        <v>45210</v>
      </c>
      <c r="I800" s="6">
        <v>41</v>
      </c>
      <c r="J800" s="6" t="s">
        <v>121</v>
      </c>
      <c r="K800" s="6" t="s">
        <v>347</v>
      </c>
      <c r="L800" s="11">
        <f>F800*Controls!$B$6</f>
        <v>104</v>
      </c>
      <c r="M800" s="11">
        <f>G800*Controls!$B$6</f>
        <v>13000</v>
      </c>
      <c r="N800" s="12">
        <f>IF(L800=0,0,SUMIFS('PSI Plan'!$N$6:$N$173,'PSI Plan'!$B$6:$B$173,B800,'PSI Plan'!$C$6:$C$173,I800))</f>
        <v>0.22897465437788017</v>
      </c>
      <c r="O800" s="11">
        <f t="shared" si="24"/>
        <v>23.813364055299537</v>
      </c>
      <c r="P800" s="11">
        <f t="shared" si="25"/>
        <v>2976.6705069124423</v>
      </c>
      <c r="Q800" s="6"/>
      <c r="R800" s="6"/>
      <c r="S800" s="6"/>
      <c r="T800" s="6"/>
    </row>
    <row r="801" spans="1:20">
      <c r="A801" s="6" t="s">
        <v>947</v>
      </c>
      <c r="B801" s="6" t="s">
        <v>77</v>
      </c>
      <c r="C801" s="6" t="s">
        <v>99</v>
      </c>
      <c r="D801" s="6" t="s">
        <v>319</v>
      </c>
      <c r="E801" s="6" t="s">
        <v>120</v>
      </c>
      <c r="F801" s="7">
        <v>52</v>
      </c>
      <c r="G801" s="7">
        <v>6500</v>
      </c>
      <c r="H801" s="16">
        <v>45266</v>
      </c>
      <c r="I801" s="6">
        <v>49</v>
      </c>
      <c r="J801" s="6" t="s">
        <v>121</v>
      </c>
      <c r="K801" s="6" t="s">
        <v>347</v>
      </c>
      <c r="L801" s="11">
        <f>F801*Controls!$B$6</f>
        <v>52</v>
      </c>
      <c r="M801" s="11">
        <f>G801*Controls!$B$6</f>
        <v>6500</v>
      </c>
      <c r="N801" s="12">
        <f>IF(L801=0,0,SUMIFS('PSI Plan'!$N$6:$N$173,'PSI Plan'!$B$6:$B$173,B801,'PSI Plan'!$C$6:$C$173,I801))</f>
        <v>0</v>
      </c>
      <c r="O801" s="11">
        <f t="shared" si="24"/>
        <v>0</v>
      </c>
      <c r="P801" s="11">
        <f t="shared" si="25"/>
        <v>0</v>
      </c>
      <c r="Q801" s="6"/>
      <c r="R801" s="6"/>
      <c r="S801" s="6"/>
      <c r="T801" s="6"/>
    </row>
    <row r="802" spans="1:20">
      <c r="A802" s="6" t="s">
        <v>948</v>
      </c>
      <c r="B802" s="6" t="s">
        <v>69</v>
      </c>
      <c r="C802" s="6" t="s">
        <v>99</v>
      </c>
      <c r="D802" s="6" t="s">
        <v>319</v>
      </c>
      <c r="E802" s="6" t="s">
        <v>120</v>
      </c>
      <c r="F802" s="7">
        <v>52</v>
      </c>
      <c r="G802" s="7">
        <v>6500</v>
      </c>
      <c r="H802" s="16">
        <v>45216</v>
      </c>
      <c r="I802" s="6">
        <v>42</v>
      </c>
      <c r="J802" s="6" t="s">
        <v>121</v>
      </c>
      <c r="K802" s="6" t="s">
        <v>347</v>
      </c>
      <c r="L802" s="11">
        <f>F802*Controls!$B$6</f>
        <v>52</v>
      </c>
      <c r="M802" s="11">
        <f>G802*Controls!$B$6</f>
        <v>6500</v>
      </c>
      <c r="N802" s="12">
        <f>IF(L802=0,0,SUMIFS('PSI Plan'!$N$6:$N$173,'PSI Plan'!$B$6:$B$173,B802,'PSI Plan'!$C$6:$C$173,I802))</f>
        <v>0</v>
      </c>
      <c r="O802" s="11">
        <f t="shared" si="24"/>
        <v>0</v>
      </c>
      <c r="P802" s="11">
        <f t="shared" si="25"/>
        <v>0</v>
      </c>
      <c r="Q802" s="6"/>
      <c r="R802" s="6"/>
      <c r="S802" s="6"/>
      <c r="T802" s="6"/>
    </row>
    <row r="803" spans="1:20">
      <c r="A803" s="6" t="s">
        <v>949</v>
      </c>
      <c r="B803" s="6" t="s">
        <v>69</v>
      </c>
      <c r="C803" s="6" t="s">
        <v>99</v>
      </c>
      <c r="D803" s="6" t="s">
        <v>319</v>
      </c>
      <c r="E803" s="6" t="s">
        <v>120</v>
      </c>
      <c r="F803" s="7">
        <v>4</v>
      </c>
      <c r="G803" s="7">
        <v>500</v>
      </c>
      <c r="H803" s="16">
        <v>45204</v>
      </c>
      <c r="I803" s="6">
        <v>40</v>
      </c>
      <c r="J803" s="6" t="s">
        <v>121</v>
      </c>
      <c r="K803" s="6" t="s">
        <v>459</v>
      </c>
      <c r="L803" s="11">
        <f>F803*Controls!$B$6</f>
        <v>4</v>
      </c>
      <c r="M803" s="11">
        <f>G803*Controls!$B$6</f>
        <v>500</v>
      </c>
      <c r="N803" s="12">
        <f>IF(L803=0,0,SUMIFS('PSI Plan'!$N$6:$N$173,'PSI Plan'!$B$6:$B$173,B803,'PSI Plan'!$C$6:$C$173,I803))</f>
        <v>0</v>
      </c>
      <c r="O803" s="11">
        <f t="shared" si="24"/>
        <v>0</v>
      </c>
      <c r="P803" s="11">
        <f t="shared" si="25"/>
        <v>0</v>
      </c>
      <c r="Q803" s="6"/>
      <c r="R803" s="6"/>
      <c r="S803" s="6"/>
      <c r="T803" s="6"/>
    </row>
    <row r="804" spans="1:20">
      <c r="A804" s="6" t="s">
        <v>950</v>
      </c>
      <c r="B804" s="6" t="s">
        <v>66</v>
      </c>
      <c r="C804" s="6" t="s">
        <v>100</v>
      </c>
      <c r="D804" s="6" t="s">
        <v>567</v>
      </c>
      <c r="E804" s="6" t="s">
        <v>120</v>
      </c>
      <c r="F804" s="7">
        <v>11</v>
      </c>
      <c r="G804" s="7">
        <v>1375</v>
      </c>
      <c r="H804" s="16">
        <v>45266</v>
      </c>
      <c r="I804" s="6">
        <v>49</v>
      </c>
      <c r="J804" s="6" t="s">
        <v>121</v>
      </c>
      <c r="K804" s="6" t="s">
        <v>781</v>
      </c>
      <c r="L804" s="11">
        <f>F804*Controls!$B$6</f>
        <v>11</v>
      </c>
      <c r="M804" s="11">
        <f>G804*Controls!$B$6</f>
        <v>1375</v>
      </c>
      <c r="N804" s="12">
        <f>IF(L804=0,0,SUMIFS('PSI Plan'!$N$6:$N$173,'PSI Plan'!$B$6:$B$173,B804,'PSI Plan'!$C$6:$C$173,I804))</f>
        <v>0</v>
      </c>
      <c r="O804" s="11">
        <f t="shared" si="24"/>
        <v>0</v>
      </c>
      <c r="P804" s="11">
        <f t="shared" si="25"/>
        <v>0</v>
      </c>
      <c r="Q804" s="6"/>
      <c r="R804" s="6"/>
      <c r="S804" s="6"/>
      <c r="T804" s="6"/>
    </row>
    <row r="805" spans="1:20">
      <c r="A805" s="6" t="s">
        <v>951</v>
      </c>
      <c r="B805" s="6" t="s">
        <v>77</v>
      </c>
      <c r="C805" s="6" t="s">
        <v>100</v>
      </c>
      <c r="D805" s="6" t="s">
        <v>567</v>
      </c>
      <c r="E805" s="6" t="s">
        <v>120</v>
      </c>
      <c r="F805" s="7">
        <v>8</v>
      </c>
      <c r="G805" s="7">
        <v>1000</v>
      </c>
      <c r="H805" s="16">
        <v>45263</v>
      </c>
      <c r="I805" s="6">
        <v>49</v>
      </c>
      <c r="J805" s="6" t="s">
        <v>121</v>
      </c>
      <c r="K805" s="6" t="s">
        <v>781</v>
      </c>
      <c r="L805" s="11">
        <f>F805*Controls!$B$6</f>
        <v>8</v>
      </c>
      <c r="M805" s="11">
        <f>G805*Controls!$B$6</f>
        <v>1000</v>
      </c>
      <c r="N805" s="12">
        <f>IF(L805=0,0,SUMIFS('PSI Plan'!$N$6:$N$173,'PSI Plan'!$B$6:$B$173,B805,'PSI Plan'!$C$6:$C$173,I805))</f>
        <v>0</v>
      </c>
      <c r="O805" s="11">
        <f t="shared" si="24"/>
        <v>0</v>
      </c>
      <c r="P805" s="11">
        <f t="shared" si="25"/>
        <v>0</v>
      </c>
      <c r="Q805" s="6"/>
      <c r="R805" s="6"/>
      <c r="S805" s="6"/>
      <c r="T805" s="6"/>
    </row>
    <row r="806" spans="1:20">
      <c r="A806" s="6" t="s">
        <v>952</v>
      </c>
      <c r="B806" s="6" t="s">
        <v>76</v>
      </c>
      <c r="C806" s="6" t="s">
        <v>100</v>
      </c>
      <c r="D806" s="6" t="s">
        <v>567</v>
      </c>
      <c r="E806" s="6" t="s">
        <v>120</v>
      </c>
      <c r="F806" s="7">
        <v>1</v>
      </c>
      <c r="G806" s="7">
        <v>125</v>
      </c>
      <c r="H806" s="16">
        <v>45288</v>
      </c>
      <c r="I806" s="6">
        <v>52</v>
      </c>
      <c r="J806" s="6" t="s">
        <v>121</v>
      </c>
      <c r="K806" s="6" t="s">
        <v>781</v>
      </c>
      <c r="L806" s="11">
        <f>F806*Controls!$B$6</f>
        <v>1</v>
      </c>
      <c r="M806" s="11">
        <f>G806*Controls!$B$6</f>
        <v>125</v>
      </c>
      <c r="N806" s="12">
        <f>IF(L806=0,0,SUMIFS('PSI Plan'!$N$6:$N$173,'PSI Plan'!$B$6:$B$173,B806,'PSI Plan'!$C$6:$C$173,I806))</f>
        <v>0</v>
      </c>
      <c r="O806" s="11">
        <f t="shared" si="24"/>
        <v>0</v>
      </c>
      <c r="P806" s="11">
        <f t="shared" si="25"/>
        <v>0</v>
      </c>
      <c r="Q806" s="6"/>
      <c r="R806" s="6"/>
      <c r="S806" s="6"/>
      <c r="T806" s="6"/>
    </row>
    <row r="807" spans="1:20">
      <c r="A807" s="6" t="s">
        <v>953</v>
      </c>
      <c r="B807" s="6" t="s">
        <v>67</v>
      </c>
      <c r="C807" s="6" t="s">
        <v>100</v>
      </c>
      <c r="D807" s="6" t="s">
        <v>567</v>
      </c>
      <c r="E807" s="6" t="s">
        <v>120</v>
      </c>
      <c r="F807" s="7">
        <v>11</v>
      </c>
      <c r="G807" s="7">
        <v>1375</v>
      </c>
      <c r="H807" s="16">
        <v>45220</v>
      </c>
      <c r="I807" s="6">
        <v>42</v>
      </c>
      <c r="J807" s="6" t="s">
        <v>121</v>
      </c>
      <c r="K807" s="6" t="s">
        <v>781</v>
      </c>
      <c r="L807" s="11">
        <f>F807*Controls!$B$6</f>
        <v>11</v>
      </c>
      <c r="M807" s="11">
        <f>G807*Controls!$B$6</f>
        <v>1375</v>
      </c>
      <c r="N807" s="12">
        <f>IF(L807=0,0,SUMIFS('PSI Plan'!$N$6:$N$173,'PSI Plan'!$B$6:$B$173,B807,'PSI Plan'!$C$6:$C$173,I807))</f>
        <v>0</v>
      </c>
      <c r="O807" s="11">
        <f t="shared" si="24"/>
        <v>0</v>
      </c>
      <c r="P807" s="11">
        <f t="shared" si="25"/>
        <v>0</v>
      </c>
      <c r="Q807" s="6"/>
      <c r="R807" s="6"/>
      <c r="S807" s="6"/>
      <c r="T807" s="6"/>
    </row>
    <row r="808" spans="1:20">
      <c r="A808" s="6" t="s">
        <v>954</v>
      </c>
      <c r="B808" s="6" t="s">
        <v>69</v>
      </c>
      <c r="C808" s="6" t="s">
        <v>100</v>
      </c>
      <c r="D808" s="6" t="s">
        <v>567</v>
      </c>
      <c r="E808" s="6" t="s">
        <v>120</v>
      </c>
      <c r="F808" s="7">
        <v>5</v>
      </c>
      <c r="G808" s="7">
        <v>625</v>
      </c>
      <c r="H808" s="16">
        <v>45250</v>
      </c>
      <c r="I808" s="6">
        <v>47</v>
      </c>
      <c r="J808" s="6" t="s">
        <v>121</v>
      </c>
      <c r="K808" s="6" t="s">
        <v>781</v>
      </c>
      <c r="L808" s="11">
        <f>F808*Controls!$B$6</f>
        <v>5</v>
      </c>
      <c r="M808" s="11">
        <f>G808*Controls!$B$6</f>
        <v>625</v>
      </c>
      <c r="N808" s="12">
        <f>IF(L808=0,0,SUMIFS('PSI Plan'!$N$6:$N$173,'PSI Plan'!$B$6:$B$173,B808,'PSI Plan'!$C$6:$C$173,I808))</f>
        <v>0</v>
      </c>
      <c r="O808" s="11">
        <f t="shared" si="24"/>
        <v>0</v>
      </c>
      <c r="P808" s="11">
        <f t="shared" si="25"/>
        <v>0</v>
      </c>
      <c r="Q808" s="6"/>
      <c r="R808" s="6"/>
      <c r="S808" s="6"/>
      <c r="T808" s="6"/>
    </row>
    <row r="809" spans="1:20">
      <c r="A809" s="6" t="s">
        <v>955</v>
      </c>
      <c r="B809" s="6" t="s">
        <v>77</v>
      </c>
      <c r="C809" s="6" t="s">
        <v>90</v>
      </c>
      <c r="D809" s="6" t="s">
        <v>119</v>
      </c>
      <c r="E809" s="6" t="s">
        <v>120</v>
      </c>
      <c r="F809" s="7">
        <v>26</v>
      </c>
      <c r="G809" s="7">
        <v>3250</v>
      </c>
      <c r="H809" s="16">
        <v>45264</v>
      </c>
      <c r="I809" s="6">
        <v>49</v>
      </c>
      <c r="J809" s="6" t="s">
        <v>121</v>
      </c>
      <c r="K809" s="6" t="s">
        <v>171</v>
      </c>
      <c r="L809" s="11">
        <f>F809*Controls!$B$6</f>
        <v>26</v>
      </c>
      <c r="M809" s="11">
        <f>G809*Controls!$B$6</f>
        <v>3250</v>
      </c>
      <c r="N809" s="12">
        <f>IF(L809=0,0,SUMIFS('PSI Plan'!$N$6:$N$173,'PSI Plan'!$B$6:$B$173,B809,'PSI Plan'!$C$6:$C$173,I809))</f>
        <v>0</v>
      </c>
      <c r="O809" s="11">
        <f t="shared" si="24"/>
        <v>0</v>
      </c>
      <c r="P809" s="11">
        <f t="shared" si="25"/>
        <v>0</v>
      </c>
      <c r="Q809" s="6"/>
      <c r="R809" s="6"/>
      <c r="S809" s="6"/>
      <c r="T809" s="6"/>
    </row>
    <row r="810" spans="1:20">
      <c r="A810" s="6" t="s">
        <v>956</v>
      </c>
      <c r="B810" s="6" t="s">
        <v>67</v>
      </c>
      <c r="C810" s="6" t="s">
        <v>90</v>
      </c>
      <c r="D810" s="6" t="s">
        <v>119</v>
      </c>
      <c r="E810" s="6" t="s">
        <v>120</v>
      </c>
      <c r="F810" s="7">
        <v>16</v>
      </c>
      <c r="G810" s="7">
        <v>2000</v>
      </c>
      <c r="H810" s="16">
        <v>45221</v>
      </c>
      <c r="I810" s="6">
        <v>43</v>
      </c>
      <c r="J810" s="6" t="s">
        <v>121</v>
      </c>
      <c r="K810" s="6" t="s">
        <v>171</v>
      </c>
      <c r="L810" s="11">
        <f>F810*Controls!$B$6</f>
        <v>16</v>
      </c>
      <c r="M810" s="11">
        <f>G810*Controls!$B$6</f>
        <v>2000</v>
      </c>
      <c r="N810" s="12">
        <f>IF(L810=0,0,SUMIFS('PSI Plan'!$N$6:$N$173,'PSI Plan'!$B$6:$B$173,B810,'PSI Plan'!$C$6:$C$173,I810))</f>
        <v>0</v>
      </c>
      <c r="O810" s="11">
        <f t="shared" si="24"/>
        <v>0</v>
      </c>
      <c r="P810" s="11">
        <f t="shared" si="25"/>
        <v>0</v>
      </c>
      <c r="Q810" s="6"/>
      <c r="R810" s="6"/>
      <c r="S810" s="6"/>
      <c r="T810" s="6"/>
    </row>
    <row r="811" spans="1:20">
      <c r="A811" s="6" t="s">
        <v>957</v>
      </c>
      <c r="B811" s="6" t="s">
        <v>69</v>
      </c>
      <c r="C811" s="6" t="s">
        <v>90</v>
      </c>
      <c r="D811" s="6" t="s">
        <v>119</v>
      </c>
      <c r="E811" s="6" t="s">
        <v>120</v>
      </c>
      <c r="F811" s="7">
        <v>26</v>
      </c>
      <c r="G811" s="7">
        <v>3250</v>
      </c>
      <c r="H811" s="16">
        <v>45208</v>
      </c>
      <c r="I811" s="6">
        <v>41</v>
      </c>
      <c r="J811" s="6" t="s">
        <v>121</v>
      </c>
      <c r="K811" s="6" t="s">
        <v>171</v>
      </c>
      <c r="L811" s="11">
        <f>F811*Controls!$B$6</f>
        <v>26</v>
      </c>
      <c r="M811" s="11">
        <f>G811*Controls!$B$6</f>
        <v>3250</v>
      </c>
      <c r="N811" s="12">
        <f>IF(L811=0,0,SUMIFS('PSI Plan'!$N$6:$N$173,'PSI Plan'!$B$6:$B$173,B811,'PSI Plan'!$C$6:$C$173,I811))</f>
        <v>0</v>
      </c>
      <c r="O811" s="11">
        <f t="shared" si="24"/>
        <v>0</v>
      </c>
      <c r="P811" s="11">
        <f t="shared" si="25"/>
        <v>0</v>
      </c>
      <c r="Q811" s="6"/>
      <c r="R811" s="6"/>
      <c r="S811" s="6"/>
      <c r="T811" s="6"/>
    </row>
    <row r="812" spans="1:20">
      <c r="A812" s="6" t="s">
        <v>958</v>
      </c>
      <c r="B812" s="6" t="s">
        <v>66</v>
      </c>
      <c r="C812" s="6" t="s">
        <v>90</v>
      </c>
      <c r="D812" s="6" t="s">
        <v>119</v>
      </c>
      <c r="E812" s="6" t="s">
        <v>120</v>
      </c>
      <c r="F812" s="7">
        <v>78</v>
      </c>
      <c r="G812" s="7">
        <v>9750</v>
      </c>
      <c r="H812" s="16">
        <v>45250</v>
      </c>
      <c r="I812" s="6">
        <v>47</v>
      </c>
      <c r="J812" s="6" t="s">
        <v>121</v>
      </c>
      <c r="K812" s="6" t="s">
        <v>122</v>
      </c>
      <c r="L812" s="11">
        <f>F812*Controls!$B$6</f>
        <v>78</v>
      </c>
      <c r="M812" s="11">
        <f>G812*Controls!$B$6</f>
        <v>9750</v>
      </c>
      <c r="N812" s="12">
        <f>IF(L812=0,0,SUMIFS('PSI Plan'!$N$6:$N$173,'PSI Plan'!$B$6:$B$173,B812,'PSI Plan'!$C$6:$C$173,I812))</f>
        <v>0</v>
      </c>
      <c r="O812" s="11">
        <f t="shared" si="24"/>
        <v>0</v>
      </c>
      <c r="P812" s="11">
        <f t="shared" si="25"/>
        <v>0</v>
      </c>
      <c r="Q812" s="6"/>
      <c r="R812" s="6"/>
      <c r="S812" s="6"/>
      <c r="T812" s="6"/>
    </row>
    <row r="813" spans="1:20">
      <c r="A813" s="6" t="s">
        <v>959</v>
      </c>
      <c r="B813" s="6" t="s">
        <v>76</v>
      </c>
      <c r="C813" s="6" t="s">
        <v>90</v>
      </c>
      <c r="D813" s="6" t="s">
        <v>119</v>
      </c>
      <c r="E813" s="6" t="s">
        <v>120</v>
      </c>
      <c r="F813" s="7">
        <v>26</v>
      </c>
      <c r="G813" s="7">
        <v>3250</v>
      </c>
      <c r="H813" s="16">
        <v>45285</v>
      </c>
      <c r="I813" s="6">
        <v>52</v>
      </c>
      <c r="J813" s="6" t="s">
        <v>121</v>
      </c>
      <c r="K813" s="6" t="s">
        <v>122</v>
      </c>
      <c r="L813" s="11">
        <f>F813*Controls!$B$6</f>
        <v>26</v>
      </c>
      <c r="M813" s="11">
        <f>G813*Controls!$B$6</f>
        <v>3250</v>
      </c>
      <c r="N813" s="12">
        <f>IF(L813=0,0,SUMIFS('PSI Plan'!$N$6:$N$173,'PSI Plan'!$B$6:$B$173,B813,'PSI Plan'!$C$6:$C$173,I813))</f>
        <v>0</v>
      </c>
      <c r="O813" s="11">
        <f t="shared" si="24"/>
        <v>0</v>
      </c>
      <c r="P813" s="11">
        <f t="shared" si="25"/>
        <v>0</v>
      </c>
      <c r="Q813" s="6"/>
      <c r="R813" s="6"/>
      <c r="S813" s="6"/>
      <c r="T813" s="6"/>
    </row>
    <row r="814" spans="1:20">
      <c r="A814" s="6" t="s">
        <v>960</v>
      </c>
      <c r="B814" s="6" t="s">
        <v>77</v>
      </c>
      <c r="C814" s="6" t="s">
        <v>90</v>
      </c>
      <c r="D814" s="6" t="s">
        <v>119</v>
      </c>
      <c r="E814" s="6" t="s">
        <v>120</v>
      </c>
      <c r="F814" s="7">
        <v>78</v>
      </c>
      <c r="G814" s="7">
        <v>9750</v>
      </c>
      <c r="H814" s="16">
        <v>45266</v>
      </c>
      <c r="I814" s="6">
        <v>49</v>
      </c>
      <c r="J814" s="6" t="s">
        <v>121</v>
      </c>
      <c r="K814" s="6" t="s">
        <v>122</v>
      </c>
      <c r="L814" s="11">
        <f>F814*Controls!$B$6</f>
        <v>78</v>
      </c>
      <c r="M814" s="11">
        <f>G814*Controls!$B$6</f>
        <v>9750</v>
      </c>
      <c r="N814" s="12">
        <f>IF(L814=0,0,SUMIFS('PSI Plan'!$N$6:$N$173,'PSI Plan'!$B$6:$B$173,B814,'PSI Plan'!$C$6:$C$173,I814))</f>
        <v>0</v>
      </c>
      <c r="O814" s="11">
        <f t="shared" si="24"/>
        <v>0</v>
      </c>
      <c r="P814" s="11">
        <f t="shared" si="25"/>
        <v>0</v>
      </c>
      <c r="Q814" s="6"/>
      <c r="R814" s="6"/>
      <c r="S814" s="6"/>
      <c r="T814" s="6"/>
    </row>
    <row r="815" spans="1:20">
      <c r="A815" s="6" t="s">
        <v>961</v>
      </c>
      <c r="B815" s="6" t="s">
        <v>67</v>
      </c>
      <c r="C815" s="6" t="s">
        <v>90</v>
      </c>
      <c r="D815" s="6" t="s">
        <v>119</v>
      </c>
      <c r="E815" s="6" t="s">
        <v>120</v>
      </c>
      <c r="F815" s="7">
        <v>52</v>
      </c>
      <c r="G815" s="7">
        <v>6500</v>
      </c>
      <c r="H815" s="16">
        <v>45243</v>
      </c>
      <c r="I815" s="6">
        <v>46</v>
      </c>
      <c r="J815" s="6" t="s">
        <v>121</v>
      </c>
      <c r="K815" s="6" t="s">
        <v>122</v>
      </c>
      <c r="L815" s="11">
        <f>F815*Controls!$B$6</f>
        <v>52</v>
      </c>
      <c r="M815" s="11">
        <f>G815*Controls!$B$6</f>
        <v>6500</v>
      </c>
      <c r="N815" s="12">
        <f>IF(L815=0,0,SUMIFS('PSI Plan'!$N$6:$N$173,'PSI Plan'!$B$6:$B$173,B815,'PSI Plan'!$C$6:$C$173,I815))</f>
        <v>0</v>
      </c>
      <c r="O815" s="11">
        <f t="shared" si="24"/>
        <v>0</v>
      </c>
      <c r="P815" s="11">
        <f t="shared" si="25"/>
        <v>0</v>
      </c>
      <c r="Q815" s="6"/>
      <c r="R815" s="6"/>
      <c r="S815" s="6"/>
      <c r="T815" s="6"/>
    </row>
    <row r="816" spans="1:20">
      <c r="A816" s="6" t="s">
        <v>962</v>
      </c>
      <c r="B816" s="6" t="s">
        <v>69</v>
      </c>
      <c r="C816" s="6" t="s">
        <v>90</v>
      </c>
      <c r="D816" s="6" t="s">
        <v>119</v>
      </c>
      <c r="E816" s="6" t="s">
        <v>120</v>
      </c>
      <c r="F816" s="7">
        <v>52</v>
      </c>
      <c r="G816" s="7">
        <v>6500</v>
      </c>
      <c r="H816" s="16">
        <v>45279</v>
      </c>
      <c r="I816" s="6">
        <v>51</v>
      </c>
      <c r="J816" s="6" t="s">
        <v>121</v>
      </c>
      <c r="K816" s="6" t="s">
        <v>122</v>
      </c>
      <c r="L816" s="11">
        <f>F816*Controls!$B$6</f>
        <v>52</v>
      </c>
      <c r="M816" s="11">
        <f>G816*Controls!$B$6</f>
        <v>6500</v>
      </c>
      <c r="N816" s="12">
        <f>IF(L816=0,0,SUMIFS('PSI Plan'!$N$6:$N$173,'PSI Plan'!$B$6:$B$173,B816,'PSI Plan'!$C$6:$C$173,I816))</f>
        <v>0</v>
      </c>
      <c r="O816" s="11">
        <f t="shared" si="24"/>
        <v>0</v>
      </c>
      <c r="P816" s="11">
        <f t="shared" si="25"/>
        <v>0</v>
      </c>
      <c r="Q816" s="6"/>
      <c r="R816" s="6"/>
      <c r="S816" s="6"/>
      <c r="T816" s="6"/>
    </row>
    <row r="817" spans="1:20">
      <c r="A817" s="6" t="s">
        <v>963</v>
      </c>
      <c r="B817" s="6" t="s">
        <v>66</v>
      </c>
      <c r="C817" s="6" t="s">
        <v>90</v>
      </c>
      <c r="D817" s="6" t="s">
        <v>119</v>
      </c>
      <c r="E817" s="6" t="s">
        <v>120</v>
      </c>
      <c r="F817" s="7">
        <v>6</v>
      </c>
      <c r="G817" s="7">
        <v>750</v>
      </c>
      <c r="H817" s="16">
        <v>45227</v>
      </c>
      <c r="I817" s="6">
        <v>43</v>
      </c>
      <c r="J817" s="6" t="s">
        <v>121</v>
      </c>
      <c r="K817" s="6" t="s">
        <v>298</v>
      </c>
      <c r="L817" s="11">
        <f>F817*Controls!$B$6</f>
        <v>6</v>
      </c>
      <c r="M817" s="11">
        <f>G817*Controls!$B$6</f>
        <v>750</v>
      </c>
      <c r="N817" s="12">
        <f>IF(L817=0,0,SUMIFS('PSI Plan'!$N$6:$N$173,'PSI Plan'!$B$6:$B$173,B817,'PSI Plan'!$C$6:$C$173,I817))</f>
        <v>0</v>
      </c>
      <c r="O817" s="11">
        <f t="shared" si="24"/>
        <v>0</v>
      </c>
      <c r="P817" s="11">
        <f t="shared" si="25"/>
        <v>0</v>
      </c>
      <c r="Q817" s="6"/>
      <c r="R817" s="6"/>
      <c r="S817" s="6"/>
      <c r="T817" s="6"/>
    </row>
    <row r="818" spans="1:20">
      <c r="A818" s="6" t="s">
        <v>964</v>
      </c>
      <c r="B818" s="6" t="s">
        <v>77</v>
      </c>
      <c r="C818" s="6" t="s">
        <v>90</v>
      </c>
      <c r="D818" s="6" t="s">
        <v>119</v>
      </c>
      <c r="E818" s="6" t="s">
        <v>120</v>
      </c>
      <c r="F818" s="7">
        <v>10</v>
      </c>
      <c r="G818" s="7">
        <v>1250</v>
      </c>
      <c r="H818" s="16">
        <v>45275</v>
      </c>
      <c r="I818" s="6">
        <v>50</v>
      </c>
      <c r="J818" s="6" t="s">
        <v>121</v>
      </c>
      <c r="K818" s="6" t="s">
        <v>298</v>
      </c>
      <c r="L818" s="11">
        <f>F818*Controls!$B$6</f>
        <v>10</v>
      </c>
      <c r="M818" s="11">
        <f>G818*Controls!$B$6</f>
        <v>1250</v>
      </c>
      <c r="N818" s="12">
        <f>IF(L818=0,0,SUMIFS('PSI Plan'!$N$6:$N$173,'PSI Plan'!$B$6:$B$173,B818,'PSI Plan'!$C$6:$C$173,I818))</f>
        <v>0</v>
      </c>
      <c r="O818" s="11">
        <f t="shared" si="24"/>
        <v>0</v>
      </c>
      <c r="P818" s="11">
        <f t="shared" si="25"/>
        <v>0</v>
      </c>
      <c r="Q818" s="6"/>
      <c r="R818" s="6"/>
      <c r="S818" s="6"/>
      <c r="T818" s="6"/>
    </row>
    <row r="819" spans="1:20">
      <c r="A819" s="6" t="s">
        <v>965</v>
      </c>
      <c r="B819" s="6" t="s">
        <v>69</v>
      </c>
      <c r="C819" s="6" t="s">
        <v>90</v>
      </c>
      <c r="D819" s="6" t="s">
        <v>119</v>
      </c>
      <c r="E819" s="6" t="s">
        <v>120</v>
      </c>
      <c r="F819" s="7">
        <v>26</v>
      </c>
      <c r="G819" s="7">
        <v>3250</v>
      </c>
      <c r="H819" s="16">
        <v>45240</v>
      </c>
      <c r="I819" s="6">
        <v>45</v>
      </c>
      <c r="J819" s="6" t="s">
        <v>121</v>
      </c>
      <c r="K819" s="6" t="s">
        <v>298</v>
      </c>
      <c r="L819" s="11">
        <f>F819*Controls!$B$6</f>
        <v>26</v>
      </c>
      <c r="M819" s="11">
        <f>G819*Controls!$B$6</f>
        <v>3250</v>
      </c>
      <c r="N819" s="12">
        <f>IF(L819=0,0,SUMIFS('PSI Plan'!$N$6:$N$173,'PSI Plan'!$B$6:$B$173,B819,'PSI Plan'!$C$6:$C$173,I819))</f>
        <v>0</v>
      </c>
      <c r="O819" s="11">
        <f t="shared" si="24"/>
        <v>0</v>
      </c>
      <c r="P819" s="11">
        <f t="shared" si="25"/>
        <v>0</v>
      </c>
      <c r="Q819" s="6"/>
      <c r="R819" s="6"/>
      <c r="S819" s="6"/>
      <c r="T819" s="6"/>
    </row>
    <row r="820" spans="1:20">
      <c r="A820" s="6" t="s">
        <v>966</v>
      </c>
      <c r="B820" s="6" t="s">
        <v>66</v>
      </c>
      <c r="C820" s="6" t="s">
        <v>90</v>
      </c>
      <c r="D820" s="6" t="s">
        <v>119</v>
      </c>
      <c r="E820" s="6" t="s">
        <v>120</v>
      </c>
      <c r="F820" s="7">
        <v>26</v>
      </c>
      <c r="G820" s="7">
        <v>3250</v>
      </c>
      <c r="H820" s="16">
        <v>45210</v>
      </c>
      <c r="I820" s="6">
        <v>41</v>
      </c>
      <c r="J820" s="6" t="s">
        <v>121</v>
      </c>
      <c r="K820" s="6" t="s">
        <v>855</v>
      </c>
      <c r="L820" s="11">
        <f>F820*Controls!$B$6</f>
        <v>26</v>
      </c>
      <c r="M820" s="11">
        <f>G820*Controls!$B$6</f>
        <v>3250</v>
      </c>
      <c r="N820" s="12">
        <f>IF(L820=0,0,SUMIFS('PSI Plan'!$N$6:$N$173,'PSI Plan'!$B$6:$B$173,B820,'PSI Plan'!$C$6:$C$173,I820))</f>
        <v>0.22897465437788017</v>
      </c>
      <c r="O820" s="11">
        <f t="shared" si="24"/>
        <v>5.9533410138248843</v>
      </c>
      <c r="P820" s="11">
        <f t="shared" si="25"/>
        <v>744.16762672811058</v>
      </c>
      <c r="Q820" s="6"/>
      <c r="R820" s="6"/>
      <c r="S820" s="6"/>
      <c r="T820" s="6"/>
    </row>
    <row r="821" spans="1:20">
      <c r="A821" s="6" t="s">
        <v>967</v>
      </c>
      <c r="B821" s="6" t="s">
        <v>76</v>
      </c>
      <c r="C821" s="6" t="s">
        <v>90</v>
      </c>
      <c r="D821" s="6" t="s">
        <v>119</v>
      </c>
      <c r="E821" s="6" t="s">
        <v>120</v>
      </c>
      <c r="F821" s="7">
        <v>26</v>
      </c>
      <c r="G821" s="7">
        <v>3250</v>
      </c>
      <c r="H821" s="16">
        <v>45282</v>
      </c>
      <c r="I821" s="6">
        <v>51</v>
      </c>
      <c r="J821" s="6" t="s">
        <v>121</v>
      </c>
      <c r="K821" s="6" t="s">
        <v>855</v>
      </c>
      <c r="L821" s="11">
        <f>F821*Controls!$B$6</f>
        <v>26</v>
      </c>
      <c r="M821" s="11">
        <f>G821*Controls!$B$6</f>
        <v>3250</v>
      </c>
      <c r="N821" s="12">
        <f>IF(L821=0,0,SUMIFS('PSI Plan'!$N$6:$N$173,'PSI Plan'!$B$6:$B$173,B821,'PSI Plan'!$C$6:$C$173,I821))</f>
        <v>0</v>
      </c>
      <c r="O821" s="11">
        <f t="shared" si="24"/>
        <v>0</v>
      </c>
      <c r="P821" s="11">
        <f t="shared" si="25"/>
        <v>0</v>
      </c>
      <c r="Q821" s="6"/>
      <c r="R821" s="6"/>
      <c r="S821" s="6"/>
      <c r="T821" s="6"/>
    </row>
    <row r="822" spans="1:20">
      <c r="A822" s="6" t="s">
        <v>968</v>
      </c>
      <c r="B822" s="6" t="s">
        <v>77</v>
      </c>
      <c r="C822" s="6" t="s">
        <v>90</v>
      </c>
      <c r="D822" s="6" t="s">
        <v>119</v>
      </c>
      <c r="E822" s="6" t="s">
        <v>120</v>
      </c>
      <c r="F822" s="7">
        <v>26</v>
      </c>
      <c r="G822" s="7">
        <v>3250</v>
      </c>
      <c r="H822" s="16">
        <v>45212</v>
      </c>
      <c r="I822" s="6">
        <v>41</v>
      </c>
      <c r="J822" s="6" t="s">
        <v>121</v>
      </c>
      <c r="K822" s="6" t="s">
        <v>855</v>
      </c>
      <c r="L822" s="11">
        <f>F822*Controls!$B$6</f>
        <v>26</v>
      </c>
      <c r="M822" s="11">
        <f>G822*Controls!$B$6</f>
        <v>3250</v>
      </c>
      <c r="N822" s="12">
        <f>IF(L822=0,0,SUMIFS('PSI Plan'!$N$6:$N$173,'PSI Plan'!$B$6:$B$173,B822,'PSI Plan'!$C$6:$C$173,I822))</f>
        <v>0</v>
      </c>
      <c r="O822" s="11">
        <f t="shared" si="24"/>
        <v>0</v>
      </c>
      <c r="P822" s="11">
        <f t="shared" si="25"/>
        <v>0</v>
      </c>
      <c r="Q822" s="6"/>
      <c r="R822" s="6"/>
      <c r="S822" s="6"/>
      <c r="T822" s="6"/>
    </row>
    <row r="823" spans="1:20">
      <c r="A823" s="6" t="s">
        <v>969</v>
      </c>
      <c r="B823" s="6" t="s">
        <v>69</v>
      </c>
      <c r="C823" s="6" t="s">
        <v>90</v>
      </c>
      <c r="D823" s="6" t="s">
        <v>119</v>
      </c>
      <c r="E823" s="6" t="s">
        <v>120</v>
      </c>
      <c r="F823" s="7">
        <v>26</v>
      </c>
      <c r="G823" s="7">
        <v>3250</v>
      </c>
      <c r="H823" s="16">
        <v>45240</v>
      </c>
      <c r="I823" s="6">
        <v>45</v>
      </c>
      <c r="J823" s="6" t="s">
        <v>121</v>
      </c>
      <c r="K823" s="6" t="s">
        <v>855</v>
      </c>
      <c r="L823" s="11">
        <f>F823*Controls!$B$6</f>
        <v>26</v>
      </c>
      <c r="M823" s="11">
        <f>G823*Controls!$B$6</f>
        <v>3250</v>
      </c>
      <c r="N823" s="12">
        <f>IF(L823=0,0,SUMIFS('PSI Plan'!$N$6:$N$173,'PSI Plan'!$B$6:$B$173,B823,'PSI Plan'!$C$6:$C$173,I823))</f>
        <v>0</v>
      </c>
      <c r="O823" s="11">
        <f t="shared" si="24"/>
        <v>0</v>
      </c>
      <c r="P823" s="11">
        <f t="shared" si="25"/>
        <v>0</v>
      </c>
      <c r="Q823" s="6"/>
      <c r="R823" s="6"/>
      <c r="S823" s="6"/>
      <c r="T823" s="6"/>
    </row>
    <row r="824" spans="1:20">
      <c r="A824" s="6" t="s">
        <v>970</v>
      </c>
      <c r="B824" s="6" t="s">
        <v>66</v>
      </c>
      <c r="C824" s="6" t="s">
        <v>99</v>
      </c>
      <c r="D824" s="6" t="s">
        <v>319</v>
      </c>
      <c r="E824" s="6" t="s">
        <v>120</v>
      </c>
      <c r="F824" s="7">
        <v>104</v>
      </c>
      <c r="G824" s="7">
        <v>13000</v>
      </c>
      <c r="H824" s="16">
        <v>45286</v>
      </c>
      <c r="I824" s="6">
        <v>52</v>
      </c>
      <c r="J824" s="6" t="s">
        <v>121</v>
      </c>
      <c r="K824" s="6" t="s">
        <v>344</v>
      </c>
      <c r="L824" s="11">
        <f>F824*Controls!$B$6</f>
        <v>104</v>
      </c>
      <c r="M824" s="11">
        <f>G824*Controls!$B$6</f>
        <v>13000</v>
      </c>
      <c r="N824" s="12">
        <f>IF(L824=0,0,SUMIFS('PSI Plan'!$N$6:$N$173,'PSI Plan'!$B$6:$B$173,B824,'PSI Plan'!$C$6:$C$173,I824))</f>
        <v>0</v>
      </c>
      <c r="O824" s="11">
        <f t="shared" si="24"/>
        <v>0</v>
      </c>
      <c r="P824" s="11">
        <f t="shared" si="25"/>
        <v>0</v>
      </c>
      <c r="Q824" s="6"/>
      <c r="R824" s="6"/>
      <c r="S824" s="6"/>
      <c r="T824" s="6"/>
    </row>
    <row r="825" spans="1:20">
      <c r="A825" s="6" t="s">
        <v>971</v>
      </c>
      <c r="B825" s="6" t="s">
        <v>77</v>
      </c>
      <c r="C825" s="6" t="s">
        <v>99</v>
      </c>
      <c r="D825" s="6" t="s">
        <v>319</v>
      </c>
      <c r="E825" s="6" t="s">
        <v>120</v>
      </c>
      <c r="F825" s="7">
        <v>104</v>
      </c>
      <c r="G825" s="7">
        <v>13000</v>
      </c>
      <c r="H825" s="16">
        <v>45285</v>
      </c>
      <c r="I825" s="6">
        <v>52</v>
      </c>
      <c r="J825" s="6" t="s">
        <v>121</v>
      </c>
      <c r="K825" s="6" t="s">
        <v>344</v>
      </c>
      <c r="L825" s="11">
        <f>F825*Controls!$B$6</f>
        <v>104</v>
      </c>
      <c r="M825" s="11">
        <f>G825*Controls!$B$6</f>
        <v>13000</v>
      </c>
      <c r="N825" s="12">
        <f>IF(L825=0,0,SUMIFS('PSI Plan'!$N$6:$N$173,'PSI Plan'!$B$6:$B$173,B825,'PSI Plan'!$C$6:$C$173,I825))</f>
        <v>0</v>
      </c>
      <c r="O825" s="11">
        <f t="shared" si="24"/>
        <v>0</v>
      </c>
      <c r="P825" s="11">
        <f t="shared" si="25"/>
        <v>0</v>
      </c>
      <c r="Q825" s="6"/>
      <c r="R825" s="6"/>
      <c r="S825" s="6"/>
      <c r="T825" s="6"/>
    </row>
    <row r="826" spans="1:20">
      <c r="A826" s="6" t="s">
        <v>972</v>
      </c>
      <c r="B826" s="6" t="s">
        <v>69</v>
      </c>
      <c r="C826" s="6" t="s">
        <v>99</v>
      </c>
      <c r="D826" s="6" t="s">
        <v>319</v>
      </c>
      <c r="E826" s="6" t="s">
        <v>120</v>
      </c>
      <c r="F826" s="7">
        <v>104</v>
      </c>
      <c r="G826" s="7">
        <v>13000</v>
      </c>
      <c r="H826" s="16">
        <v>45228</v>
      </c>
      <c r="I826" s="6">
        <v>44</v>
      </c>
      <c r="J826" s="6" t="s">
        <v>121</v>
      </c>
      <c r="K826" s="6" t="s">
        <v>344</v>
      </c>
      <c r="L826" s="11">
        <f>F826*Controls!$B$6</f>
        <v>104</v>
      </c>
      <c r="M826" s="11">
        <f>G826*Controls!$B$6</f>
        <v>13000</v>
      </c>
      <c r="N826" s="12">
        <f>IF(L826=0,0,SUMIFS('PSI Plan'!$N$6:$N$173,'PSI Plan'!$B$6:$B$173,B826,'PSI Plan'!$C$6:$C$173,I826))</f>
        <v>0</v>
      </c>
      <c r="O826" s="11">
        <f t="shared" si="24"/>
        <v>0</v>
      </c>
      <c r="P826" s="11">
        <f t="shared" si="25"/>
        <v>0</v>
      </c>
      <c r="Q826" s="6"/>
      <c r="R826" s="6"/>
      <c r="S826" s="6"/>
      <c r="T826" s="6"/>
    </row>
    <row r="827" spans="1:20">
      <c r="A827" s="6" t="s">
        <v>973</v>
      </c>
      <c r="B827" s="6" t="s">
        <v>66</v>
      </c>
      <c r="C827" s="6" t="s">
        <v>99</v>
      </c>
      <c r="D827" s="6" t="s">
        <v>319</v>
      </c>
      <c r="E827" s="6" t="s">
        <v>120</v>
      </c>
      <c r="F827" s="7">
        <v>80</v>
      </c>
      <c r="G827" s="7">
        <v>10000</v>
      </c>
      <c r="H827" s="16">
        <v>45271</v>
      </c>
      <c r="I827" s="6">
        <v>50</v>
      </c>
      <c r="J827" s="6" t="s">
        <v>121</v>
      </c>
      <c r="K827" s="6" t="s">
        <v>324</v>
      </c>
      <c r="L827" s="11">
        <f>F827*Controls!$B$6</f>
        <v>80</v>
      </c>
      <c r="M827" s="11">
        <f>G827*Controls!$B$6</f>
        <v>10000</v>
      </c>
      <c r="N827" s="12">
        <f>IF(L827=0,0,SUMIFS('PSI Plan'!$N$6:$N$173,'PSI Plan'!$B$6:$B$173,B827,'PSI Plan'!$C$6:$C$173,I827))</f>
        <v>0</v>
      </c>
      <c r="O827" s="11">
        <f t="shared" si="24"/>
        <v>0</v>
      </c>
      <c r="P827" s="11">
        <f t="shared" si="25"/>
        <v>0</v>
      </c>
      <c r="Q827" s="6"/>
      <c r="R827" s="6"/>
      <c r="S827" s="6"/>
      <c r="T827" s="6"/>
    </row>
    <row r="828" spans="1:20">
      <c r="A828" s="6" t="s">
        <v>974</v>
      </c>
      <c r="B828" s="6" t="s">
        <v>77</v>
      </c>
      <c r="C828" s="6" t="s">
        <v>99</v>
      </c>
      <c r="D828" s="6" t="s">
        <v>319</v>
      </c>
      <c r="E828" s="6" t="s">
        <v>120</v>
      </c>
      <c r="F828" s="7">
        <v>55</v>
      </c>
      <c r="G828" s="7">
        <v>6875</v>
      </c>
      <c r="H828" s="16">
        <v>45269</v>
      </c>
      <c r="I828" s="6">
        <v>49</v>
      </c>
      <c r="J828" s="6" t="s">
        <v>121</v>
      </c>
      <c r="K828" s="6" t="s">
        <v>324</v>
      </c>
      <c r="L828" s="11">
        <f>F828*Controls!$B$6</f>
        <v>55</v>
      </c>
      <c r="M828" s="11">
        <f>G828*Controls!$B$6</f>
        <v>6875</v>
      </c>
      <c r="N828" s="12">
        <f>IF(L828=0,0,SUMIFS('PSI Plan'!$N$6:$N$173,'PSI Plan'!$B$6:$B$173,B828,'PSI Plan'!$C$6:$C$173,I828))</f>
        <v>0</v>
      </c>
      <c r="O828" s="11">
        <f t="shared" si="24"/>
        <v>0</v>
      </c>
      <c r="P828" s="11">
        <f t="shared" si="25"/>
        <v>0</v>
      </c>
      <c r="Q828" s="6"/>
      <c r="R828" s="6"/>
      <c r="S828" s="6"/>
      <c r="T828" s="6"/>
    </row>
    <row r="829" spans="1:20">
      <c r="A829" s="6" t="s">
        <v>975</v>
      </c>
      <c r="B829" s="6" t="s">
        <v>69</v>
      </c>
      <c r="C829" s="6" t="s">
        <v>99</v>
      </c>
      <c r="D829" s="6" t="s">
        <v>319</v>
      </c>
      <c r="E829" s="6" t="s">
        <v>120</v>
      </c>
      <c r="F829" s="7">
        <v>71</v>
      </c>
      <c r="G829" s="7">
        <v>8875</v>
      </c>
      <c r="H829" s="16">
        <v>45203</v>
      </c>
      <c r="I829" s="6">
        <v>40</v>
      </c>
      <c r="J829" s="6" t="s">
        <v>121</v>
      </c>
      <c r="K829" s="6" t="s">
        <v>324</v>
      </c>
      <c r="L829" s="11">
        <f>F829*Controls!$B$6</f>
        <v>71</v>
      </c>
      <c r="M829" s="11">
        <f>G829*Controls!$B$6</f>
        <v>8875</v>
      </c>
      <c r="N829" s="12">
        <f>IF(L829=0,0,SUMIFS('PSI Plan'!$N$6:$N$173,'PSI Plan'!$B$6:$B$173,B829,'PSI Plan'!$C$6:$C$173,I829))</f>
        <v>0</v>
      </c>
      <c r="O829" s="11">
        <f t="shared" si="24"/>
        <v>0</v>
      </c>
      <c r="P829" s="11">
        <f t="shared" si="25"/>
        <v>0</v>
      </c>
      <c r="Q829" s="6"/>
      <c r="R829" s="6"/>
      <c r="S829" s="6"/>
      <c r="T829" s="6"/>
    </row>
    <row r="830" spans="1:20">
      <c r="A830" s="6" t="s">
        <v>976</v>
      </c>
      <c r="B830" s="6" t="s">
        <v>66</v>
      </c>
      <c r="C830" s="6" t="s">
        <v>90</v>
      </c>
      <c r="D830" s="6" t="s">
        <v>119</v>
      </c>
      <c r="E830" s="6" t="s">
        <v>120</v>
      </c>
      <c r="F830" s="7">
        <v>4</v>
      </c>
      <c r="G830" s="7">
        <v>500</v>
      </c>
      <c r="H830" s="16">
        <v>45209</v>
      </c>
      <c r="I830" s="6">
        <v>41</v>
      </c>
      <c r="J830" s="6" t="s">
        <v>121</v>
      </c>
      <c r="K830" s="6" t="s">
        <v>298</v>
      </c>
      <c r="L830" s="11">
        <f>F830*Controls!$B$6</f>
        <v>4</v>
      </c>
      <c r="M830" s="11">
        <f>G830*Controls!$B$6</f>
        <v>500</v>
      </c>
      <c r="N830" s="12">
        <f>IF(L830=0,0,SUMIFS('PSI Plan'!$N$6:$N$173,'PSI Plan'!$B$6:$B$173,B830,'PSI Plan'!$C$6:$C$173,I830))</f>
        <v>0.22897465437788017</v>
      </c>
      <c r="O830" s="11">
        <f t="shared" si="24"/>
        <v>0.91589861751152069</v>
      </c>
      <c r="P830" s="11">
        <f t="shared" si="25"/>
        <v>114.48732718894009</v>
      </c>
      <c r="Q830" s="6"/>
      <c r="R830" s="6"/>
      <c r="S830" s="6"/>
      <c r="T830" s="6"/>
    </row>
    <row r="831" spans="1:20">
      <c r="A831" s="6" t="s">
        <v>977</v>
      </c>
      <c r="B831" s="6" t="s">
        <v>76</v>
      </c>
      <c r="C831" s="6" t="s">
        <v>90</v>
      </c>
      <c r="D831" s="6" t="s">
        <v>119</v>
      </c>
      <c r="E831" s="6" t="s">
        <v>120</v>
      </c>
      <c r="F831" s="7">
        <v>5</v>
      </c>
      <c r="G831" s="7">
        <v>625</v>
      </c>
      <c r="H831" s="16">
        <v>45271</v>
      </c>
      <c r="I831" s="6">
        <v>50</v>
      </c>
      <c r="J831" s="6" t="s">
        <v>121</v>
      </c>
      <c r="K831" s="6" t="s">
        <v>298</v>
      </c>
      <c r="L831" s="11">
        <f>F831*Controls!$B$6</f>
        <v>5</v>
      </c>
      <c r="M831" s="11">
        <f>G831*Controls!$B$6</f>
        <v>625</v>
      </c>
      <c r="N831" s="12">
        <f>IF(L831=0,0,SUMIFS('PSI Plan'!$N$6:$N$173,'PSI Plan'!$B$6:$B$173,B831,'PSI Plan'!$C$6:$C$173,I831))</f>
        <v>0</v>
      </c>
      <c r="O831" s="11">
        <f t="shared" si="24"/>
        <v>0</v>
      </c>
      <c r="P831" s="11">
        <f t="shared" si="25"/>
        <v>0</v>
      </c>
      <c r="Q831" s="6"/>
      <c r="R831" s="6"/>
      <c r="S831" s="6"/>
      <c r="T831" s="6"/>
    </row>
    <row r="832" spans="1:20">
      <c r="A832" s="6" t="s">
        <v>978</v>
      </c>
      <c r="B832" s="6" t="s">
        <v>66</v>
      </c>
      <c r="C832" s="6" t="s">
        <v>90</v>
      </c>
      <c r="D832" s="6" t="s">
        <v>119</v>
      </c>
      <c r="E832" s="6" t="s">
        <v>120</v>
      </c>
      <c r="F832" s="7">
        <v>13</v>
      </c>
      <c r="G832" s="7">
        <v>1625</v>
      </c>
      <c r="H832" s="16">
        <v>45228</v>
      </c>
      <c r="I832" s="6">
        <v>44</v>
      </c>
      <c r="J832" s="6" t="s">
        <v>121</v>
      </c>
      <c r="K832" s="6" t="s">
        <v>855</v>
      </c>
      <c r="L832" s="11">
        <f>F832*Controls!$B$6</f>
        <v>13</v>
      </c>
      <c r="M832" s="11">
        <f>G832*Controls!$B$6</f>
        <v>1625</v>
      </c>
      <c r="N832" s="12">
        <f>IF(L832=0,0,SUMIFS('PSI Plan'!$N$6:$N$173,'PSI Plan'!$B$6:$B$173,B832,'PSI Plan'!$C$6:$C$173,I832))</f>
        <v>0</v>
      </c>
      <c r="O832" s="11">
        <f t="shared" si="24"/>
        <v>0</v>
      </c>
      <c r="P832" s="11">
        <f t="shared" si="25"/>
        <v>0</v>
      </c>
      <c r="Q832" s="6"/>
      <c r="R832" s="6"/>
      <c r="S832" s="6"/>
      <c r="T832" s="6"/>
    </row>
    <row r="833" spans="1:20">
      <c r="A833" s="6" t="s">
        <v>979</v>
      </c>
      <c r="B833" s="6" t="s">
        <v>76</v>
      </c>
      <c r="C833" s="6" t="s">
        <v>90</v>
      </c>
      <c r="D833" s="6" t="s">
        <v>119</v>
      </c>
      <c r="E833" s="6" t="s">
        <v>120</v>
      </c>
      <c r="F833" s="7">
        <v>26</v>
      </c>
      <c r="G833" s="7">
        <v>3250</v>
      </c>
      <c r="H833" s="16">
        <v>45254</v>
      </c>
      <c r="I833" s="6">
        <v>47</v>
      </c>
      <c r="J833" s="6" t="s">
        <v>121</v>
      </c>
      <c r="K833" s="6" t="s">
        <v>855</v>
      </c>
      <c r="L833" s="11">
        <f>F833*Controls!$B$6</f>
        <v>26</v>
      </c>
      <c r="M833" s="11">
        <f>G833*Controls!$B$6</f>
        <v>3250</v>
      </c>
      <c r="N833" s="12">
        <f>IF(L833=0,0,SUMIFS('PSI Plan'!$N$6:$N$173,'PSI Plan'!$B$6:$B$173,B833,'PSI Plan'!$C$6:$C$173,I833))</f>
        <v>0</v>
      </c>
      <c r="O833" s="11">
        <f t="shared" si="24"/>
        <v>0</v>
      </c>
      <c r="P833" s="11">
        <f t="shared" si="25"/>
        <v>0</v>
      </c>
      <c r="Q833" s="6"/>
      <c r="R833" s="6"/>
      <c r="S833" s="6"/>
      <c r="T833" s="6"/>
    </row>
    <row r="834" spans="1:20">
      <c r="A834" s="6" t="s">
        <v>980</v>
      </c>
      <c r="B834" s="6" t="s">
        <v>77</v>
      </c>
      <c r="C834" s="6" t="s">
        <v>90</v>
      </c>
      <c r="D834" s="6" t="s">
        <v>119</v>
      </c>
      <c r="E834" s="6" t="s">
        <v>120</v>
      </c>
      <c r="F834" s="7">
        <v>26</v>
      </c>
      <c r="G834" s="7">
        <v>3250</v>
      </c>
      <c r="H834" s="16">
        <v>45284</v>
      </c>
      <c r="I834" s="6">
        <v>52</v>
      </c>
      <c r="J834" s="6" t="s">
        <v>121</v>
      </c>
      <c r="K834" s="6" t="s">
        <v>855</v>
      </c>
      <c r="L834" s="11">
        <f>F834*Controls!$B$6</f>
        <v>26</v>
      </c>
      <c r="M834" s="11">
        <f>G834*Controls!$B$6</f>
        <v>3250</v>
      </c>
      <c r="N834" s="12">
        <f>IF(L834=0,0,SUMIFS('PSI Plan'!$N$6:$N$173,'PSI Plan'!$B$6:$B$173,B834,'PSI Plan'!$C$6:$C$173,I834))</f>
        <v>0</v>
      </c>
      <c r="O834" s="11">
        <f t="shared" ref="O834:O897" si="26">L834*N834</f>
        <v>0</v>
      </c>
      <c r="P834" s="11">
        <f t="shared" ref="P834:P897" si="27">M834*N834</f>
        <v>0</v>
      </c>
      <c r="Q834" s="6"/>
      <c r="R834" s="6"/>
      <c r="S834" s="6"/>
      <c r="T834" s="6"/>
    </row>
    <row r="835" spans="1:20">
      <c r="A835" s="6" t="s">
        <v>981</v>
      </c>
      <c r="B835" s="6" t="s">
        <v>69</v>
      </c>
      <c r="C835" s="6" t="s">
        <v>90</v>
      </c>
      <c r="D835" s="6" t="s">
        <v>119</v>
      </c>
      <c r="E835" s="6" t="s">
        <v>120</v>
      </c>
      <c r="F835" s="7">
        <v>26</v>
      </c>
      <c r="G835" s="7">
        <v>3250</v>
      </c>
      <c r="H835" s="16">
        <v>45244</v>
      </c>
      <c r="I835" s="6">
        <v>46</v>
      </c>
      <c r="J835" s="6" t="s">
        <v>121</v>
      </c>
      <c r="K835" s="6" t="s">
        <v>855</v>
      </c>
      <c r="L835" s="11">
        <f>F835*Controls!$B$6</f>
        <v>26</v>
      </c>
      <c r="M835" s="11">
        <f>G835*Controls!$B$6</f>
        <v>3250</v>
      </c>
      <c r="N835" s="12">
        <f>IF(L835=0,0,SUMIFS('PSI Plan'!$N$6:$N$173,'PSI Plan'!$B$6:$B$173,B835,'PSI Plan'!$C$6:$C$173,I835))</f>
        <v>0</v>
      </c>
      <c r="O835" s="11">
        <f t="shared" si="26"/>
        <v>0</v>
      </c>
      <c r="P835" s="11">
        <f t="shared" si="27"/>
        <v>0</v>
      </c>
      <c r="Q835" s="6"/>
      <c r="R835" s="6"/>
      <c r="S835" s="6"/>
      <c r="T835" s="6"/>
    </row>
    <row r="836" spans="1:20">
      <c r="A836" s="6" t="s">
        <v>982</v>
      </c>
      <c r="B836" s="6" t="s">
        <v>66</v>
      </c>
      <c r="C836" s="6" t="s">
        <v>90</v>
      </c>
      <c r="D836" s="6" t="s">
        <v>119</v>
      </c>
      <c r="E836" s="6" t="s">
        <v>120</v>
      </c>
      <c r="F836" s="7">
        <v>16</v>
      </c>
      <c r="G836" s="7">
        <v>2000</v>
      </c>
      <c r="H836" s="16">
        <v>45211</v>
      </c>
      <c r="I836" s="6">
        <v>41</v>
      </c>
      <c r="J836" s="6" t="s">
        <v>121</v>
      </c>
      <c r="K836" s="6" t="s">
        <v>171</v>
      </c>
      <c r="L836" s="11">
        <f>F836*Controls!$B$6</f>
        <v>16</v>
      </c>
      <c r="M836" s="11">
        <f>G836*Controls!$B$6</f>
        <v>2000</v>
      </c>
      <c r="N836" s="12">
        <f>IF(L836=0,0,SUMIFS('PSI Plan'!$N$6:$N$173,'PSI Plan'!$B$6:$B$173,B836,'PSI Plan'!$C$6:$C$173,I836))</f>
        <v>0.22897465437788017</v>
      </c>
      <c r="O836" s="11">
        <f t="shared" si="26"/>
        <v>3.6635944700460827</v>
      </c>
      <c r="P836" s="11">
        <f t="shared" si="27"/>
        <v>457.94930875576034</v>
      </c>
      <c r="Q836" s="6"/>
      <c r="R836" s="6"/>
      <c r="S836" s="6"/>
      <c r="T836" s="6"/>
    </row>
    <row r="837" spans="1:20">
      <c r="A837" s="6" t="s">
        <v>983</v>
      </c>
      <c r="B837" s="6" t="s">
        <v>77</v>
      </c>
      <c r="C837" s="6" t="s">
        <v>90</v>
      </c>
      <c r="D837" s="6" t="s">
        <v>119</v>
      </c>
      <c r="E837" s="6" t="s">
        <v>120</v>
      </c>
      <c r="F837" s="7">
        <v>78</v>
      </c>
      <c r="G837" s="7">
        <v>9750</v>
      </c>
      <c r="H837" s="16">
        <v>45236</v>
      </c>
      <c r="I837" s="6">
        <v>45</v>
      </c>
      <c r="J837" s="6" t="s">
        <v>121</v>
      </c>
      <c r="K837" s="6" t="s">
        <v>171</v>
      </c>
      <c r="L837" s="11">
        <f>F837*Controls!$B$6</f>
        <v>78</v>
      </c>
      <c r="M837" s="11">
        <f>G837*Controls!$B$6</f>
        <v>9750</v>
      </c>
      <c r="N837" s="12">
        <f>IF(L837=0,0,SUMIFS('PSI Plan'!$N$6:$N$173,'PSI Plan'!$B$6:$B$173,B837,'PSI Plan'!$C$6:$C$173,I837))</f>
        <v>0</v>
      </c>
      <c r="O837" s="11">
        <f t="shared" si="26"/>
        <v>0</v>
      </c>
      <c r="P837" s="11">
        <f t="shared" si="27"/>
        <v>0</v>
      </c>
      <c r="Q837" s="6"/>
      <c r="R837" s="6"/>
      <c r="S837" s="6"/>
      <c r="T837" s="6"/>
    </row>
    <row r="838" spans="1:20">
      <c r="A838" s="6" t="s">
        <v>984</v>
      </c>
      <c r="B838" s="6" t="s">
        <v>76</v>
      </c>
      <c r="C838" s="6" t="s">
        <v>90</v>
      </c>
      <c r="D838" s="6" t="s">
        <v>119</v>
      </c>
      <c r="E838" s="6" t="s">
        <v>120</v>
      </c>
      <c r="F838" s="7">
        <v>5</v>
      </c>
      <c r="G838" s="7">
        <v>625</v>
      </c>
      <c r="H838" s="16">
        <v>45249</v>
      </c>
      <c r="I838" s="6">
        <v>47</v>
      </c>
      <c r="J838" s="6" t="s">
        <v>121</v>
      </c>
      <c r="K838" s="6" t="s">
        <v>171</v>
      </c>
      <c r="L838" s="11">
        <f>F838*Controls!$B$6</f>
        <v>5</v>
      </c>
      <c r="M838" s="11">
        <f>G838*Controls!$B$6</f>
        <v>625</v>
      </c>
      <c r="N838" s="12">
        <f>IF(L838=0,0,SUMIFS('PSI Plan'!$N$6:$N$173,'PSI Plan'!$B$6:$B$173,B838,'PSI Plan'!$C$6:$C$173,I838))</f>
        <v>0</v>
      </c>
      <c r="O838" s="11">
        <f t="shared" si="26"/>
        <v>0</v>
      </c>
      <c r="P838" s="11">
        <f t="shared" si="27"/>
        <v>0</v>
      </c>
      <c r="Q838" s="6"/>
      <c r="R838" s="6"/>
      <c r="S838" s="6"/>
      <c r="T838" s="6"/>
    </row>
    <row r="839" spans="1:20">
      <c r="A839" s="6" t="s">
        <v>985</v>
      </c>
      <c r="B839" s="6" t="s">
        <v>67</v>
      </c>
      <c r="C839" s="6" t="s">
        <v>90</v>
      </c>
      <c r="D839" s="6" t="s">
        <v>119</v>
      </c>
      <c r="E839" s="6" t="s">
        <v>120</v>
      </c>
      <c r="F839" s="7">
        <v>80</v>
      </c>
      <c r="G839" s="7">
        <v>10000</v>
      </c>
      <c r="H839" s="16">
        <v>45215</v>
      </c>
      <c r="I839" s="6">
        <v>42</v>
      </c>
      <c r="J839" s="6" t="s">
        <v>121</v>
      </c>
      <c r="K839" s="6" t="s">
        <v>171</v>
      </c>
      <c r="L839" s="11">
        <f>F839*Controls!$B$6</f>
        <v>80</v>
      </c>
      <c r="M839" s="11">
        <f>G839*Controls!$B$6</f>
        <v>10000</v>
      </c>
      <c r="N839" s="12">
        <f>IF(L839=0,0,SUMIFS('PSI Plan'!$N$6:$N$173,'PSI Plan'!$B$6:$B$173,B839,'PSI Plan'!$C$6:$C$173,I839))</f>
        <v>0</v>
      </c>
      <c r="O839" s="11">
        <f t="shared" si="26"/>
        <v>0</v>
      </c>
      <c r="P839" s="11">
        <f t="shared" si="27"/>
        <v>0</v>
      </c>
      <c r="Q839" s="6"/>
      <c r="R839" s="6"/>
      <c r="S839" s="6"/>
      <c r="T839" s="6"/>
    </row>
    <row r="840" spans="1:20">
      <c r="A840" s="6" t="s">
        <v>986</v>
      </c>
      <c r="B840" s="6" t="s">
        <v>69</v>
      </c>
      <c r="C840" s="6" t="s">
        <v>90</v>
      </c>
      <c r="D840" s="6" t="s">
        <v>119</v>
      </c>
      <c r="E840" s="6" t="s">
        <v>120</v>
      </c>
      <c r="F840" s="7">
        <v>78</v>
      </c>
      <c r="G840" s="7">
        <v>9750</v>
      </c>
      <c r="H840" s="16">
        <v>45214</v>
      </c>
      <c r="I840" s="6">
        <v>42</v>
      </c>
      <c r="J840" s="6" t="s">
        <v>121</v>
      </c>
      <c r="K840" s="6" t="s">
        <v>171</v>
      </c>
      <c r="L840" s="11">
        <f>F840*Controls!$B$6</f>
        <v>78</v>
      </c>
      <c r="M840" s="11">
        <f>G840*Controls!$B$6</f>
        <v>9750</v>
      </c>
      <c r="N840" s="12">
        <f>IF(L840=0,0,SUMIFS('PSI Plan'!$N$6:$N$173,'PSI Plan'!$B$6:$B$173,B840,'PSI Plan'!$C$6:$C$173,I840))</f>
        <v>0</v>
      </c>
      <c r="O840" s="11">
        <f t="shared" si="26"/>
        <v>0</v>
      </c>
      <c r="P840" s="11">
        <f t="shared" si="27"/>
        <v>0</v>
      </c>
      <c r="Q840" s="6"/>
      <c r="R840" s="6"/>
      <c r="S840" s="6"/>
      <c r="T840" s="6"/>
    </row>
    <row r="841" spans="1:20">
      <c r="A841" s="6" t="s">
        <v>987</v>
      </c>
      <c r="B841" s="6" t="s">
        <v>69</v>
      </c>
      <c r="C841" s="6" t="s">
        <v>90</v>
      </c>
      <c r="D841" s="6" t="s">
        <v>119</v>
      </c>
      <c r="E841" s="6" t="s">
        <v>120</v>
      </c>
      <c r="F841" s="7">
        <v>26</v>
      </c>
      <c r="G841" s="7">
        <v>3250</v>
      </c>
      <c r="H841" s="16">
        <v>45213</v>
      </c>
      <c r="I841" s="6">
        <v>41</v>
      </c>
      <c r="J841" s="6" t="s">
        <v>121</v>
      </c>
      <c r="K841" s="6" t="s">
        <v>139</v>
      </c>
      <c r="L841" s="11">
        <f>F841*Controls!$B$6</f>
        <v>26</v>
      </c>
      <c r="M841" s="11">
        <f>G841*Controls!$B$6</f>
        <v>3250</v>
      </c>
      <c r="N841" s="12">
        <f>IF(L841=0,0,SUMIFS('PSI Plan'!$N$6:$N$173,'PSI Plan'!$B$6:$B$173,B841,'PSI Plan'!$C$6:$C$173,I841))</f>
        <v>0</v>
      </c>
      <c r="O841" s="11">
        <f t="shared" si="26"/>
        <v>0</v>
      </c>
      <c r="P841" s="11">
        <f t="shared" si="27"/>
        <v>0</v>
      </c>
      <c r="Q841" s="6"/>
      <c r="R841" s="6"/>
      <c r="S841" s="6"/>
      <c r="T841" s="6"/>
    </row>
    <row r="842" spans="1:20">
      <c r="A842" s="6" t="s">
        <v>988</v>
      </c>
      <c r="B842" s="6" t="s">
        <v>77</v>
      </c>
      <c r="C842" s="6" t="s">
        <v>90</v>
      </c>
      <c r="D842" s="6" t="s">
        <v>119</v>
      </c>
      <c r="E842" s="6" t="s">
        <v>120</v>
      </c>
      <c r="F842" s="7">
        <v>26</v>
      </c>
      <c r="G842" s="7">
        <v>3250</v>
      </c>
      <c r="H842" s="16">
        <v>45270</v>
      </c>
      <c r="I842" s="6">
        <v>50</v>
      </c>
      <c r="J842" s="6" t="s">
        <v>121</v>
      </c>
      <c r="K842" s="6" t="s">
        <v>122</v>
      </c>
      <c r="L842" s="11">
        <f>F842*Controls!$B$6</f>
        <v>26</v>
      </c>
      <c r="M842" s="11">
        <f>G842*Controls!$B$6</f>
        <v>3250</v>
      </c>
      <c r="N842" s="12">
        <f>IF(L842=0,0,SUMIFS('PSI Plan'!$N$6:$N$173,'PSI Plan'!$B$6:$B$173,B842,'PSI Plan'!$C$6:$C$173,I842))</f>
        <v>0</v>
      </c>
      <c r="O842" s="11">
        <f t="shared" si="26"/>
        <v>0</v>
      </c>
      <c r="P842" s="11">
        <f t="shared" si="27"/>
        <v>0</v>
      </c>
      <c r="Q842" s="6"/>
      <c r="R842" s="6"/>
      <c r="S842" s="6"/>
      <c r="T842" s="6"/>
    </row>
    <row r="843" spans="1:20">
      <c r="A843" s="6" t="s">
        <v>989</v>
      </c>
      <c r="B843" s="6" t="s">
        <v>66</v>
      </c>
      <c r="C843" s="6" t="s">
        <v>99</v>
      </c>
      <c r="D843" s="6" t="s">
        <v>319</v>
      </c>
      <c r="E843" s="6" t="s">
        <v>120</v>
      </c>
      <c r="F843" s="7">
        <v>117</v>
      </c>
      <c r="G843" s="7">
        <v>14625</v>
      </c>
      <c r="H843" s="16">
        <v>45210</v>
      </c>
      <c r="I843" s="6">
        <v>41</v>
      </c>
      <c r="J843" s="6" t="s">
        <v>121</v>
      </c>
      <c r="K843" s="6" t="s">
        <v>459</v>
      </c>
      <c r="L843" s="11">
        <f>F843*Controls!$B$6</f>
        <v>117</v>
      </c>
      <c r="M843" s="11">
        <f>G843*Controls!$B$6</f>
        <v>14625</v>
      </c>
      <c r="N843" s="12">
        <f>IF(L843=0,0,SUMIFS('PSI Plan'!$N$6:$N$173,'PSI Plan'!$B$6:$B$173,B843,'PSI Plan'!$C$6:$C$173,I843))</f>
        <v>0.22897465437788017</v>
      </c>
      <c r="O843" s="11">
        <f t="shared" si="26"/>
        <v>26.790034562211979</v>
      </c>
      <c r="P843" s="11">
        <f t="shared" si="27"/>
        <v>3348.7543202764973</v>
      </c>
      <c r="Q843" s="6"/>
      <c r="R843" s="6"/>
      <c r="S843" s="6"/>
      <c r="T843" s="6"/>
    </row>
    <row r="844" spans="1:20">
      <c r="A844" s="6" t="s">
        <v>990</v>
      </c>
      <c r="B844" s="6" t="s">
        <v>77</v>
      </c>
      <c r="C844" s="6" t="s">
        <v>99</v>
      </c>
      <c r="D844" s="6" t="s">
        <v>319</v>
      </c>
      <c r="E844" s="6" t="s">
        <v>120</v>
      </c>
      <c r="F844" s="7">
        <v>171</v>
      </c>
      <c r="G844" s="7">
        <v>21375</v>
      </c>
      <c r="H844" s="16">
        <v>45246</v>
      </c>
      <c r="I844" s="6">
        <v>46</v>
      </c>
      <c r="J844" s="6" t="s">
        <v>121</v>
      </c>
      <c r="K844" s="6" t="s">
        <v>459</v>
      </c>
      <c r="L844" s="11">
        <f>F844*Controls!$B$6</f>
        <v>171</v>
      </c>
      <c r="M844" s="11">
        <f>G844*Controls!$B$6</f>
        <v>21375</v>
      </c>
      <c r="N844" s="12">
        <f>IF(L844=0,0,SUMIFS('PSI Plan'!$N$6:$N$173,'PSI Plan'!$B$6:$B$173,B844,'PSI Plan'!$C$6:$C$173,I844))</f>
        <v>0</v>
      </c>
      <c r="O844" s="11">
        <f t="shared" si="26"/>
        <v>0</v>
      </c>
      <c r="P844" s="11">
        <f t="shared" si="27"/>
        <v>0</v>
      </c>
      <c r="Q844" s="6"/>
      <c r="R844" s="6"/>
      <c r="S844" s="6"/>
      <c r="T844" s="6"/>
    </row>
    <row r="845" spans="1:20">
      <c r="A845" s="6" t="s">
        <v>991</v>
      </c>
      <c r="B845" s="6" t="s">
        <v>69</v>
      </c>
      <c r="C845" s="6" t="s">
        <v>99</v>
      </c>
      <c r="D845" s="6" t="s">
        <v>319</v>
      </c>
      <c r="E845" s="6" t="s">
        <v>120</v>
      </c>
      <c r="F845" s="7">
        <v>156</v>
      </c>
      <c r="G845" s="7">
        <v>19500</v>
      </c>
      <c r="H845" s="16">
        <v>45279</v>
      </c>
      <c r="I845" s="6">
        <v>51</v>
      </c>
      <c r="J845" s="6" t="s">
        <v>121</v>
      </c>
      <c r="K845" s="6" t="s">
        <v>459</v>
      </c>
      <c r="L845" s="11">
        <f>F845*Controls!$B$6</f>
        <v>156</v>
      </c>
      <c r="M845" s="11">
        <f>G845*Controls!$B$6</f>
        <v>19500</v>
      </c>
      <c r="N845" s="12">
        <f>IF(L845=0,0,SUMIFS('PSI Plan'!$N$6:$N$173,'PSI Plan'!$B$6:$B$173,B845,'PSI Plan'!$C$6:$C$173,I845))</f>
        <v>0</v>
      </c>
      <c r="O845" s="11">
        <f t="shared" si="26"/>
        <v>0</v>
      </c>
      <c r="P845" s="11">
        <f t="shared" si="27"/>
        <v>0</v>
      </c>
      <c r="Q845" s="6"/>
      <c r="R845" s="6"/>
      <c r="S845" s="6"/>
      <c r="T845" s="6"/>
    </row>
    <row r="846" spans="1:20">
      <c r="A846" s="6" t="s">
        <v>992</v>
      </c>
      <c r="B846" s="6" t="s">
        <v>66</v>
      </c>
      <c r="C846" s="6" t="s">
        <v>99</v>
      </c>
      <c r="D846" s="6" t="s">
        <v>319</v>
      </c>
      <c r="E846" s="6" t="s">
        <v>120</v>
      </c>
      <c r="F846" s="7">
        <v>42</v>
      </c>
      <c r="G846" s="7">
        <v>5250</v>
      </c>
      <c r="H846" s="16">
        <v>45289</v>
      </c>
      <c r="I846" s="6">
        <v>52</v>
      </c>
      <c r="J846" s="6" t="s">
        <v>121</v>
      </c>
      <c r="K846" s="6" t="s">
        <v>361</v>
      </c>
      <c r="L846" s="11">
        <f>F846*Controls!$B$6</f>
        <v>42</v>
      </c>
      <c r="M846" s="11">
        <f>G846*Controls!$B$6</f>
        <v>5250</v>
      </c>
      <c r="N846" s="12">
        <f>IF(L846=0,0,SUMIFS('PSI Plan'!$N$6:$N$173,'PSI Plan'!$B$6:$B$173,B846,'PSI Plan'!$C$6:$C$173,I846))</f>
        <v>0</v>
      </c>
      <c r="O846" s="11">
        <f t="shared" si="26"/>
        <v>0</v>
      </c>
      <c r="P846" s="11">
        <f t="shared" si="27"/>
        <v>0</v>
      </c>
      <c r="Q846" s="6"/>
      <c r="R846" s="6"/>
      <c r="S846" s="6"/>
      <c r="T846" s="6"/>
    </row>
    <row r="847" spans="1:20">
      <c r="A847" s="6" t="s">
        <v>993</v>
      </c>
      <c r="B847" s="6" t="s">
        <v>77</v>
      </c>
      <c r="C847" s="6" t="s">
        <v>99</v>
      </c>
      <c r="D847" s="6" t="s">
        <v>319</v>
      </c>
      <c r="E847" s="6" t="s">
        <v>120</v>
      </c>
      <c r="F847" s="7">
        <v>67</v>
      </c>
      <c r="G847" s="7">
        <v>8375</v>
      </c>
      <c r="H847" s="16">
        <v>45222</v>
      </c>
      <c r="I847" s="6">
        <v>43</v>
      </c>
      <c r="J847" s="6" t="s">
        <v>121</v>
      </c>
      <c r="K847" s="6" t="s">
        <v>361</v>
      </c>
      <c r="L847" s="11">
        <f>F847*Controls!$B$6</f>
        <v>67</v>
      </c>
      <c r="M847" s="11">
        <f>G847*Controls!$B$6</f>
        <v>8375</v>
      </c>
      <c r="N847" s="12">
        <f>IF(L847=0,0,SUMIFS('PSI Plan'!$N$6:$N$173,'PSI Plan'!$B$6:$B$173,B847,'PSI Plan'!$C$6:$C$173,I847))</f>
        <v>0</v>
      </c>
      <c r="O847" s="11">
        <f t="shared" si="26"/>
        <v>0</v>
      </c>
      <c r="P847" s="11">
        <f t="shared" si="27"/>
        <v>0</v>
      </c>
      <c r="Q847" s="6"/>
      <c r="R847" s="6"/>
      <c r="S847" s="6"/>
      <c r="T847" s="6"/>
    </row>
    <row r="848" spans="1:20">
      <c r="A848" s="6" t="s">
        <v>994</v>
      </c>
      <c r="B848" s="6" t="s">
        <v>69</v>
      </c>
      <c r="C848" s="6" t="s">
        <v>99</v>
      </c>
      <c r="D848" s="6" t="s">
        <v>319</v>
      </c>
      <c r="E848" s="6" t="s">
        <v>120</v>
      </c>
      <c r="F848" s="7">
        <v>71</v>
      </c>
      <c r="G848" s="7">
        <v>8875</v>
      </c>
      <c r="H848" s="16">
        <v>45231</v>
      </c>
      <c r="I848" s="6">
        <v>44</v>
      </c>
      <c r="J848" s="6" t="s">
        <v>121</v>
      </c>
      <c r="K848" s="6" t="s">
        <v>361</v>
      </c>
      <c r="L848" s="11">
        <f>F848*Controls!$B$6</f>
        <v>71</v>
      </c>
      <c r="M848" s="11">
        <f>G848*Controls!$B$6</f>
        <v>8875</v>
      </c>
      <c r="N848" s="12">
        <f>IF(L848=0,0,SUMIFS('PSI Plan'!$N$6:$N$173,'PSI Plan'!$B$6:$B$173,B848,'PSI Plan'!$C$6:$C$173,I848))</f>
        <v>0</v>
      </c>
      <c r="O848" s="11">
        <f t="shared" si="26"/>
        <v>0</v>
      </c>
      <c r="P848" s="11">
        <f t="shared" si="27"/>
        <v>0</v>
      </c>
      <c r="Q848" s="6"/>
      <c r="R848" s="6"/>
      <c r="S848" s="6"/>
      <c r="T848" s="6"/>
    </row>
    <row r="849" spans="1:20">
      <c r="A849" s="6" t="s">
        <v>995</v>
      </c>
      <c r="B849" s="6" t="s">
        <v>66</v>
      </c>
      <c r="C849" s="6" t="s">
        <v>99</v>
      </c>
      <c r="D849" s="6" t="s">
        <v>319</v>
      </c>
      <c r="E849" s="6" t="s">
        <v>120</v>
      </c>
      <c r="F849" s="7">
        <v>372</v>
      </c>
      <c r="G849" s="7">
        <v>46500</v>
      </c>
      <c r="H849" s="16">
        <v>45211</v>
      </c>
      <c r="I849" s="6">
        <v>41</v>
      </c>
      <c r="J849" s="6" t="s">
        <v>121</v>
      </c>
      <c r="K849" s="6" t="s">
        <v>347</v>
      </c>
      <c r="L849" s="11">
        <f>F849*Controls!$B$6</f>
        <v>372</v>
      </c>
      <c r="M849" s="11">
        <f>G849*Controls!$B$6</f>
        <v>46500</v>
      </c>
      <c r="N849" s="12">
        <f>IF(L849=0,0,SUMIFS('PSI Plan'!$N$6:$N$173,'PSI Plan'!$B$6:$B$173,B849,'PSI Plan'!$C$6:$C$173,I849))</f>
        <v>0.22897465437788017</v>
      </c>
      <c r="O849" s="11">
        <f t="shared" si="26"/>
        <v>85.178571428571431</v>
      </c>
      <c r="P849" s="11">
        <f t="shared" si="27"/>
        <v>10647.321428571428</v>
      </c>
      <c r="Q849" s="6"/>
      <c r="R849" s="6"/>
      <c r="S849" s="6"/>
      <c r="T849" s="6"/>
    </row>
    <row r="850" spans="1:20">
      <c r="A850" s="6" t="s">
        <v>996</v>
      </c>
      <c r="B850" s="6" t="s">
        <v>77</v>
      </c>
      <c r="C850" s="6" t="s">
        <v>99</v>
      </c>
      <c r="D850" s="6" t="s">
        <v>319</v>
      </c>
      <c r="E850" s="6" t="s">
        <v>120</v>
      </c>
      <c r="F850" s="7">
        <v>260</v>
      </c>
      <c r="G850" s="7">
        <v>32500</v>
      </c>
      <c r="H850" s="16">
        <v>45204</v>
      </c>
      <c r="I850" s="6">
        <v>40</v>
      </c>
      <c r="J850" s="6" t="s">
        <v>121</v>
      </c>
      <c r="K850" s="6" t="s">
        <v>347</v>
      </c>
      <c r="L850" s="11">
        <f>F850*Controls!$B$6</f>
        <v>260</v>
      </c>
      <c r="M850" s="11">
        <f>G850*Controls!$B$6</f>
        <v>32500</v>
      </c>
      <c r="N850" s="12">
        <f>IF(L850=0,0,SUMIFS('PSI Plan'!$N$6:$N$173,'PSI Plan'!$B$6:$B$173,B850,'PSI Plan'!$C$6:$C$173,I850))</f>
        <v>0</v>
      </c>
      <c r="O850" s="11">
        <f t="shared" si="26"/>
        <v>0</v>
      </c>
      <c r="P850" s="11">
        <f t="shared" si="27"/>
        <v>0</v>
      </c>
      <c r="Q850" s="6"/>
      <c r="R850" s="6"/>
      <c r="S850" s="6"/>
      <c r="T850" s="6"/>
    </row>
    <row r="851" spans="1:20">
      <c r="A851" s="6" t="s">
        <v>997</v>
      </c>
      <c r="B851" s="6" t="s">
        <v>76</v>
      </c>
      <c r="C851" s="6" t="s">
        <v>99</v>
      </c>
      <c r="D851" s="6" t="s">
        <v>319</v>
      </c>
      <c r="E851" s="6" t="s">
        <v>120</v>
      </c>
      <c r="F851" s="7">
        <v>47</v>
      </c>
      <c r="G851" s="7">
        <v>5875</v>
      </c>
      <c r="H851" s="16">
        <v>45224</v>
      </c>
      <c r="I851" s="6">
        <v>43</v>
      </c>
      <c r="J851" s="6" t="s">
        <v>121</v>
      </c>
      <c r="K851" s="6" t="s">
        <v>347</v>
      </c>
      <c r="L851" s="11">
        <f>F851*Controls!$B$6</f>
        <v>47</v>
      </c>
      <c r="M851" s="11">
        <f>G851*Controls!$B$6</f>
        <v>5875</v>
      </c>
      <c r="N851" s="12">
        <f>IF(L851=0,0,SUMIFS('PSI Plan'!$N$6:$N$173,'PSI Plan'!$B$6:$B$173,B851,'PSI Plan'!$C$6:$C$173,I851))</f>
        <v>0</v>
      </c>
      <c r="O851" s="11">
        <f t="shared" si="26"/>
        <v>0</v>
      </c>
      <c r="P851" s="11">
        <f t="shared" si="27"/>
        <v>0</v>
      </c>
      <c r="Q851" s="6"/>
      <c r="R851" s="6"/>
      <c r="S851" s="6"/>
      <c r="T851" s="6"/>
    </row>
    <row r="852" spans="1:20">
      <c r="A852" s="6" t="s">
        <v>998</v>
      </c>
      <c r="B852" s="6" t="s">
        <v>69</v>
      </c>
      <c r="C852" s="6" t="s">
        <v>99</v>
      </c>
      <c r="D852" s="6" t="s">
        <v>319</v>
      </c>
      <c r="E852" s="6" t="s">
        <v>120</v>
      </c>
      <c r="F852" s="7">
        <v>468</v>
      </c>
      <c r="G852" s="7">
        <v>58500</v>
      </c>
      <c r="H852" s="16">
        <v>45277</v>
      </c>
      <c r="I852" s="6">
        <v>51</v>
      </c>
      <c r="J852" s="6" t="s">
        <v>121</v>
      </c>
      <c r="K852" s="6" t="s">
        <v>347</v>
      </c>
      <c r="L852" s="11">
        <f>F852*Controls!$B$6</f>
        <v>468</v>
      </c>
      <c r="M852" s="11">
        <f>G852*Controls!$B$6</f>
        <v>58500</v>
      </c>
      <c r="N852" s="12">
        <f>IF(L852=0,0,SUMIFS('PSI Plan'!$N$6:$N$173,'PSI Plan'!$B$6:$B$173,B852,'PSI Plan'!$C$6:$C$173,I852))</f>
        <v>0</v>
      </c>
      <c r="O852" s="11">
        <f t="shared" si="26"/>
        <v>0</v>
      </c>
      <c r="P852" s="11">
        <f t="shared" si="27"/>
        <v>0</v>
      </c>
      <c r="Q852" s="6"/>
      <c r="R852" s="6"/>
      <c r="S852" s="6"/>
      <c r="T852" s="6"/>
    </row>
    <row r="853" spans="1:20">
      <c r="A853" s="6" t="s">
        <v>999</v>
      </c>
      <c r="B853" s="6" t="s">
        <v>77</v>
      </c>
      <c r="C853" s="6" t="s">
        <v>102</v>
      </c>
      <c r="D853" s="6" t="s">
        <v>571</v>
      </c>
      <c r="E853" s="6" t="s">
        <v>120</v>
      </c>
      <c r="F853" s="7">
        <v>262</v>
      </c>
      <c r="G853" s="7">
        <v>32750</v>
      </c>
      <c r="H853" s="16">
        <v>45255</v>
      </c>
      <c r="I853" s="6">
        <v>47</v>
      </c>
      <c r="J853" s="6" t="s">
        <v>121</v>
      </c>
      <c r="K853" s="6" t="s">
        <v>1000</v>
      </c>
      <c r="L853" s="11">
        <f>F853*Controls!$B$6</f>
        <v>262</v>
      </c>
      <c r="M853" s="11">
        <f>G853*Controls!$B$6</f>
        <v>32750</v>
      </c>
      <c r="N853" s="12">
        <f>IF(L853=0,0,SUMIFS('PSI Plan'!$N$6:$N$173,'PSI Plan'!$B$6:$B$173,B853,'PSI Plan'!$C$6:$C$173,I853))</f>
        <v>0</v>
      </c>
      <c r="O853" s="11">
        <f t="shared" si="26"/>
        <v>0</v>
      </c>
      <c r="P853" s="11">
        <f t="shared" si="27"/>
        <v>0</v>
      </c>
      <c r="Q853" s="6"/>
      <c r="R853" s="6"/>
      <c r="S853" s="6"/>
      <c r="T853" s="6"/>
    </row>
    <row r="854" spans="1:20">
      <c r="A854" s="6" t="s">
        <v>1001</v>
      </c>
      <c r="B854" s="6" t="s">
        <v>76</v>
      </c>
      <c r="C854" s="6" t="s">
        <v>102</v>
      </c>
      <c r="D854" s="6" t="s">
        <v>571</v>
      </c>
      <c r="E854" s="6" t="s">
        <v>120</v>
      </c>
      <c r="F854" s="7">
        <v>577</v>
      </c>
      <c r="G854" s="7">
        <v>72125</v>
      </c>
      <c r="H854" s="16">
        <v>45238</v>
      </c>
      <c r="I854" s="6">
        <v>45</v>
      </c>
      <c r="J854" s="6" t="s">
        <v>121</v>
      </c>
      <c r="K854" s="6" t="s">
        <v>1000</v>
      </c>
      <c r="L854" s="11">
        <f>F854*Controls!$B$6</f>
        <v>577</v>
      </c>
      <c r="M854" s="11">
        <f>G854*Controls!$B$6</f>
        <v>72125</v>
      </c>
      <c r="N854" s="12">
        <f>IF(L854=0,0,SUMIFS('PSI Plan'!$N$6:$N$173,'PSI Plan'!$B$6:$B$173,B854,'PSI Plan'!$C$6:$C$173,I854))</f>
        <v>0</v>
      </c>
      <c r="O854" s="11">
        <f t="shared" si="26"/>
        <v>0</v>
      </c>
      <c r="P854" s="11">
        <f t="shared" si="27"/>
        <v>0</v>
      </c>
      <c r="Q854" s="6"/>
      <c r="R854" s="6"/>
      <c r="S854" s="6"/>
      <c r="T854" s="6"/>
    </row>
    <row r="855" spans="1:20">
      <c r="A855" s="6" t="s">
        <v>1002</v>
      </c>
      <c r="B855" s="6" t="s">
        <v>67</v>
      </c>
      <c r="C855" s="6" t="s">
        <v>102</v>
      </c>
      <c r="D855" s="6" t="s">
        <v>571</v>
      </c>
      <c r="E855" s="6" t="s">
        <v>120</v>
      </c>
      <c r="F855" s="7">
        <v>336</v>
      </c>
      <c r="G855" s="7">
        <v>42000</v>
      </c>
      <c r="H855" s="16">
        <v>45281</v>
      </c>
      <c r="I855" s="6">
        <v>51</v>
      </c>
      <c r="J855" s="6" t="s">
        <v>121</v>
      </c>
      <c r="K855" s="6" t="s">
        <v>1000</v>
      </c>
      <c r="L855" s="11">
        <f>F855*Controls!$B$6</f>
        <v>336</v>
      </c>
      <c r="M855" s="11">
        <f>G855*Controls!$B$6</f>
        <v>42000</v>
      </c>
      <c r="N855" s="12">
        <f>IF(L855=0,0,SUMIFS('PSI Plan'!$N$6:$N$173,'PSI Plan'!$B$6:$B$173,B855,'PSI Plan'!$C$6:$C$173,I855))</f>
        <v>0</v>
      </c>
      <c r="O855" s="11">
        <f t="shared" si="26"/>
        <v>0</v>
      </c>
      <c r="P855" s="11">
        <f t="shared" si="27"/>
        <v>0</v>
      </c>
      <c r="Q855" s="6"/>
      <c r="R855" s="6"/>
      <c r="S855" s="6"/>
      <c r="T855" s="6"/>
    </row>
    <row r="856" spans="1:20">
      <c r="A856" s="6" t="s">
        <v>1003</v>
      </c>
      <c r="B856" s="6" t="s">
        <v>66</v>
      </c>
      <c r="C856" s="6" t="s">
        <v>99</v>
      </c>
      <c r="D856" s="6" t="s">
        <v>319</v>
      </c>
      <c r="E856" s="6" t="s">
        <v>120</v>
      </c>
      <c r="F856" s="7">
        <v>104</v>
      </c>
      <c r="G856" s="7">
        <v>13000</v>
      </c>
      <c r="H856" s="16">
        <v>45226</v>
      </c>
      <c r="I856" s="6">
        <v>43</v>
      </c>
      <c r="J856" s="6" t="s">
        <v>121</v>
      </c>
      <c r="K856" s="6" t="s">
        <v>344</v>
      </c>
      <c r="L856" s="11">
        <f>F856*Controls!$B$6</f>
        <v>104</v>
      </c>
      <c r="M856" s="11">
        <f>G856*Controls!$B$6</f>
        <v>13000</v>
      </c>
      <c r="N856" s="12">
        <f>IF(L856=0,0,SUMIFS('PSI Plan'!$N$6:$N$173,'PSI Plan'!$B$6:$B$173,B856,'PSI Plan'!$C$6:$C$173,I856))</f>
        <v>0</v>
      </c>
      <c r="O856" s="11">
        <f t="shared" si="26"/>
        <v>0</v>
      </c>
      <c r="P856" s="11">
        <f t="shared" si="27"/>
        <v>0</v>
      </c>
      <c r="Q856" s="6"/>
      <c r="R856" s="6"/>
      <c r="S856" s="6"/>
      <c r="T856" s="6"/>
    </row>
    <row r="857" spans="1:20">
      <c r="A857" s="6" t="s">
        <v>1004</v>
      </c>
      <c r="B857" s="6" t="s">
        <v>77</v>
      </c>
      <c r="C857" s="6" t="s">
        <v>99</v>
      </c>
      <c r="D857" s="6" t="s">
        <v>319</v>
      </c>
      <c r="E857" s="6" t="s">
        <v>120</v>
      </c>
      <c r="F857" s="7">
        <v>52</v>
      </c>
      <c r="G857" s="7">
        <v>6500</v>
      </c>
      <c r="H857" s="16">
        <v>45250</v>
      </c>
      <c r="I857" s="6">
        <v>47</v>
      </c>
      <c r="J857" s="6" t="s">
        <v>121</v>
      </c>
      <c r="K857" s="6" t="s">
        <v>344</v>
      </c>
      <c r="L857" s="11">
        <f>F857*Controls!$B$6</f>
        <v>52</v>
      </c>
      <c r="M857" s="11">
        <f>G857*Controls!$B$6</f>
        <v>6500</v>
      </c>
      <c r="N857" s="12">
        <f>IF(L857=0,0,SUMIFS('PSI Plan'!$N$6:$N$173,'PSI Plan'!$B$6:$B$173,B857,'PSI Plan'!$C$6:$C$173,I857))</f>
        <v>0</v>
      </c>
      <c r="O857" s="11">
        <f t="shared" si="26"/>
        <v>0</v>
      </c>
      <c r="P857" s="11">
        <f t="shared" si="27"/>
        <v>0</v>
      </c>
      <c r="Q857" s="6"/>
      <c r="R857" s="6"/>
      <c r="S857" s="6"/>
      <c r="T857" s="6"/>
    </row>
    <row r="858" spans="1:20">
      <c r="A858" s="6" t="s">
        <v>1005</v>
      </c>
      <c r="B858" s="6" t="s">
        <v>69</v>
      </c>
      <c r="C858" s="6" t="s">
        <v>99</v>
      </c>
      <c r="D858" s="6" t="s">
        <v>319</v>
      </c>
      <c r="E858" s="6" t="s">
        <v>120</v>
      </c>
      <c r="F858" s="7">
        <v>52</v>
      </c>
      <c r="G858" s="7">
        <v>6500</v>
      </c>
      <c r="H858" s="16">
        <v>45270</v>
      </c>
      <c r="I858" s="6">
        <v>50</v>
      </c>
      <c r="J858" s="6" t="s">
        <v>121</v>
      </c>
      <c r="K858" s="6" t="s">
        <v>344</v>
      </c>
      <c r="L858" s="11">
        <f>F858*Controls!$B$6</f>
        <v>52</v>
      </c>
      <c r="M858" s="11">
        <f>G858*Controls!$B$6</f>
        <v>6500</v>
      </c>
      <c r="N858" s="12">
        <f>IF(L858=0,0,SUMIFS('PSI Plan'!$N$6:$N$173,'PSI Plan'!$B$6:$B$173,B858,'PSI Plan'!$C$6:$C$173,I858))</f>
        <v>0</v>
      </c>
      <c r="O858" s="11">
        <f t="shared" si="26"/>
        <v>0</v>
      </c>
      <c r="P858" s="11">
        <f t="shared" si="27"/>
        <v>0</v>
      </c>
      <c r="Q858" s="6"/>
      <c r="R858" s="6"/>
      <c r="S858" s="6"/>
      <c r="T858" s="6"/>
    </row>
    <row r="859" spans="1:20">
      <c r="A859" s="6" t="s">
        <v>1006</v>
      </c>
      <c r="B859" s="6" t="s">
        <v>66</v>
      </c>
      <c r="C859" s="6" t="s">
        <v>100</v>
      </c>
      <c r="D859" s="6" t="s">
        <v>567</v>
      </c>
      <c r="E859" s="6" t="s">
        <v>120</v>
      </c>
      <c r="F859" s="7">
        <v>5</v>
      </c>
      <c r="G859" s="7">
        <v>625</v>
      </c>
      <c r="H859" s="16">
        <v>45252</v>
      </c>
      <c r="I859" s="6">
        <v>47</v>
      </c>
      <c r="J859" s="6" t="s">
        <v>121</v>
      </c>
      <c r="K859" s="6" t="s">
        <v>781</v>
      </c>
      <c r="L859" s="11">
        <f>F859*Controls!$B$6</f>
        <v>5</v>
      </c>
      <c r="M859" s="11">
        <f>G859*Controls!$B$6</f>
        <v>625</v>
      </c>
      <c r="N859" s="12">
        <f>IF(L859=0,0,SUMIFS('PSI Plan'!$N$6:$N$173,'PSI Plan'!$B$6:$B$173,B859,'PSI Plan'!$C$6:$C$173,I859))</f>
        <v>0</v>
      </c>
      <c r="O859" s="11">
        <f t="shared" si="26"/>
        <v>0</v>
      </c>
      <c r="P859" s="11">
        <f t="shared" si="27"/>
        <v>0</v>
      </c>
      <c r="Q859" s="6"/>
      <c r="R859" s="6"/>
      <c r="S859" s="6"/>
      <c r="T859" s="6"/>
    </row>
    <row r="860" spans="1:20">
      <c r="A860" s="6" t="s">
        <v>1007</v>
      </c>
      <c r="B860" s="6" t="s">
        <v>77</v>
      </c>
      <c r="C860" s="6" t="s">
        <v>100</v>
      </c>
      <c r="D860" s="6" t="s">
        <v>567</v>
      </c>
      <c r="E860" s="6" t="s">
        <v>120</v>
      </c>
      <c r="F860" s="7">
        <v>4</v>
      </c>
      <c r="G860" s="7">
        <v>500</v>
      </c>
      <c r="H860" s="16">
        <v>45274</v>
      </c>
      <c r="I860" s="6">
        <v>50</v>
      </c>
      <c r="J860" s="6" t="s">
        <v>121</v>
      </c>
      <c r="K860" s="6" t="s">
        <v>781</v>
      </c>
      <c r="L860" s="11">
        <f>F860*Controls!$B$6</f>
        <v>4</v>
      </c>
      <c r="M860" s="11">
        <f>G860*Controls!$B$6</f>
        <v>500</v>
      </c>
      <c r="N860" s="12">
        <f>IF(L860=0,0,SUMIFS('PSI Plan'!$N$6:$N$173,'PSI Plan'!$B$6:$B$173,B860,'PSI Plan'!$C$6:$C$173,I860))</f>
        <v>0</v>
      </c>
      <c r="O860" s="11">
        <f t="shared" si="26"/>
        <v>0</v>
      </c>
      <c r="P860" s="11">
        <f t="shared" si="27"/>
        <v>0</v>
      </c>
      <c r="Q860" s="6"/>
      <c r="R860" s="6"/>
      <c r="S860" s="6"/>
      <c r="T860" s="6"/>
    </row>
    <row r="861" spans="1:20">
      <c r="A861" s="6" t="s">
        <v>1008</v>
      </c>
      <c r="B861" s="6" t="s">
        <v>67</v>
      </c>
      <c r="C861" s="6" t="s">
        <v>100</v>
      </c>
      <c r="D861" s="6" t="s">
        <v>567</v>
      </c>
      <c r="E861" s="6" t="s">
        <v>120</v>
      </c>
      <c r="F861" s="7">
        <v>5</v>
      </c>
      <c r="G861" s="7">
        <v>625</v>
      </c>
      <c r="H861" s="16">
        <v>45237</v>
      </c>
      <c r="I861" s="6">
        <v>45</v>
      </c>
      <c r="J861" s="6" t="s">
        <v>121</v>
      </c>
      <c r="K861" s="6" t="s">
        <v>781</v>
      </c>
      <c r="L861" s="11">
        <f>F861*Controls!$B$6</f>
        <v>5</v>
      </c>
      <c r="M861" s="11">
        <f>G861*Controls!$B$6</f>
        <v>625</v>
      </c>
      <c r="N861" s="12">
        <f>IF(L861=0,0,SUMIFS('PSI Plan'!$N$6:$N$173,'PSI Plan'!$B$6:$B$173,B861,'PSI Plan'!$C$6:$C$173,I861))</f>
        <v>0</v>
      </c>
      <c r="O861" s="11">
        <f t="shared" si="26"/>
        <v>0</v>
      </c>
      <c r="P861" s="11">
        <f t="shared" si="27"/>
        <v>0</v>
      </c>
      <c r="Q861" s="6"/>
      <c r="R861" s="6"/>
      <c r="S861" s="6"/>
      <c r="T861" s="6"/>
    </row>
    <row r="862" spans="1:20">
      <c r="A862" s="6" t="s">
        <v>1009</v>
      </c>
      <c r="B862" s="6" t="s">
        <v>69</v>
      </c>
      <c r="C862" s="6" t="s">
        <v>100</v>
      </c>
      <c r="D862" s="6" t="s">
        <v>567</v>
      </c>
      <c r="E862" s="6" t="s">
        <v>120</v>
      </c>
      <c r="F862" s="7">
        <v>4</v>
      </c>
      <c r="G862" s="7">
        <v>500</v>
      </c>
      <c r="H862" s="16">
        <v>45256</v>
      </c>
      <c r="I862" s="6">
        <v>48</v>
      </c>
      <c r="J862" s="6" t="s">
        <v>121</v>
      </c>
      <c r="K862" s="6" t="s">
        <v>781</v>
      </c>
      <c r="L862" s="11">
        <f>F862*Controls!$B$6</f>
        <v>4</v>
      </c>
      <c r="M862" s="11">
        <f>G862*Controls!$B$6</f>
        <v>500</v>
      </c>
      <c r="N862" s="12">
        <f>IF(L862=0,0,SUMIFS('PSI Plan'!$N$6:$N$173,'PSI Plan'!$B$6:$B$173,B862,'PSI Plan'!$C$6:$C$173,I862))</f>
        <v>0</v>
      </c>
      <c r="O862" s="11">
        <f t="shared" si="26"/>
        <v>0</v>
      </c>
      <c r="P862" s="11">
        <f t="shared" si="27"/>
        <v>0</v>
      </c>
      <c r="Q862" s="6"/>
      <c r="R862" s="6"/>
      <c r="S862" s="6"/>
      <c r="T862" s="6"/>
    </row>
    <row r="863" spans="1:20">
      <c r="A863" s="6" t="s">
        <v>1010</v>
      </c>
      <c r="B863" s="6" t="s">
        <v>66</v>
      </c>
      <c r="C863" s="6" t="s">
        <v>99</v>
      </c>
      <c r="D863" s="6" t="s">
        <v>319</v>
      </c>
      <c r="E863" s="6" t="s">
        <v>120</v>
      </c>
      <c r="F863" s="7">
        <v>6</v>
      </c>
      <c r="G863" s="7">
        <v>750</v>
      </c>
      <c r="H863" s="16">
        <v>45220</v>
      </c>
      <c r="I863" s="6">
        <v>42</v>
      </c>
      <c r="J863" s="6" t="s">
        <v>121</v>
      </c>
      <c r="K863" s="6" t="s">
        <v>324</v>
      </c>
      <c r="L863" s="11">
        <f>F863*Controls!$B$6</f>
        <v>6</v>
      </c>
      <c r="M863" s="11">
        <f>G863*Controls!$B$6</f>
        <v>750</v>
      </c>
      <c r="N863" s="12">
        <f>IF(L863=0,0,SUMIFS('PSI Plan'!$N$6:$N$173,'PSI Plan'!$B$6:$B$173,B863,'PSI Plan'!$C$6:$C$173,I863))</f>
        <v>0.59807073954983925</v>
      </c>
      <c r="O863" s="11">
        <f t="shared" si="26"/>
        <v>3.5884244372990355</v>
      </c>
      <c r="P863" s="11">
        <f t="shared" si="27"/>
        <v>448.55305466237945</v>
      </c>
      <c r="Q863" s="6"/>
      <c r="R863" s="6"/>
      <c r="S863" s="6"/>
      <c r="T863" s="6"/>
    </row>
    <row r="864" spans="1:20">
      <c r="A864" s="6" t="s">
        <v>1011</v>
      </c>
      <c r="B864" s="6" t="s">
        <v>77</v>
      </c>
      <c r="C864" s="6" t="s">
        <v>99</v>
      </c>
      <c r="D864" s="6" t="s">
        <v>319</v>
      </c>
      <c r="E864" s="6" t="s">
        <v>120</v>
      </c>
      <c r="F864" s="7">
        <v>34</v>
      </c>
      <c r="G864" s="7">
        <v>4250</v>
      </c>
      <c r="H864" s="16">
        <v>45209</v>
      </c>
      <c r="I864" s="6">
        <v>41</v>
      </c>
      <c r="J864" s="6" t="s">
        <v>121</v>
      </c>
      <c r="K864" s="6" t="s">
        <v>324</v>
      </c>
      <c r="L864" s="11">
        <f>F864*Controls!$B$6</f>
        <v>34</v>
      </c>
      <c r="M864" s="11">
        <f>G864*Controls!$B$6</f>
        <v>4250</v>
      </c>
      <c r="N864" s="12">
        <f>IF(L864=0,0,SUMIFS('PSI Plan'!$N$6:$N$173,'PSI Plan'!$B$6:$B$173,B864,'PSI Plan'!$C$6:$C$173,I864))</f>
        <v>0</v>
      </c>
      <c r="O864" s="11">
        <f t="shared" si="26"/>
        <v>0</v>
      </c>
      <c r="P864" s="11">
        <f t="shared" si="27"/>
        <v>0</v>
      </c>
      <c r="Q864" s="6"/>
      <c r="R864" s="6"/>
      <c r="S864" s="6"/>
      <c r="T864" s="6"/>
    </row>
    <row r="865" spans="1:20">
      <c r="A865" s="6" t="s">
        <v>1012</v>
      </c>
      <c r="B865" s="6" t="s">
        <v>69</v>
      </c>
      <c r="C865" s="6" t="s">
        <v>99</v>
      </c>
      <c r="D865" s="6" t="s">
        <v>319</v>
      </c>
      <c r="E865" s="6" t="s">
        <v>120</v>
      </c>
      <c r="F865" s="7">
        <v>17</v>
      </c>
      <c r="G865" s="7">
        <v>2125</v>
      </c>
      <c r="H865" s="16">
        <v>45285</v>
      </c>
      <c r="I865" s="6">
        <v>52</v>
      </c>
      <c r="J865" s="6" t="s">
        <v>121</v>
      </c>
      <c r="K865" s="6" t="s">
        <v>324</v>
      </c>
      <c r="L865" s="11">
        <f>F865*Controls!$B$6</f>
        <v>17</v>
      </c>
      <c r="M865" s="11">
        <f>G865*Controls!$B$6</f>
        <v>2125</v>
      </c>
      <c r="N865" s="12">
        <f>IF(L865=0,0,SUMIFS('PSI Plan'!$N$6:$N$173,'PSI Plan'!$B$6:$B$173,B865,'PSI Plan'!$C$6:$C$173,I865))</f>
        <v>0</v>
      </c>
      <c r="O865" s="11">
        <f t="shared" si="26"/>
        <v>0</v>
      </c>
      <c r="P865" s="11">
        <f t="shared" si="27"/>
        <v>0</v>
      </c>
      <c r="Q865" s="6"/>
      <c r="R865" s="6"/>
      <c r="S865" s="6"/>
      <c r="T865" s="6"/>
    </row>
    <row r="866" spans="1:20">
      <c r="A866" s="6" t="s">
        <v>1013</v>
      </c>
      <c r="B866" s="6" t="s">
        <v>66</v>
      </c>
      <c r="C866" s="6" t="s">
        <v>90</v>
      </c>
      <c r="D866" s="6" t="s">
        <v>119</v>
      </c>
      <c r="E866" s="6" t="s">
        <v>120</v>
      </c>
      <c r="F866" s="7">
        <v>13</v>
      </c>
      <c r="G866" s="7">
        <v>1625</v>
      </c>
      <c r="H866" s="16">
        <v>45285</v>
      </c>
      <c r="I866" s="6">
        <v>52</v>
      </c>
      <c r="J866" s="6" t="s">
        <v>121</v>
      </c>
      <c r="K866" s="6" t="s">
        <v>855</v>
      </c>
      <c r="L866" s="11">
        <f>F866*Controls!$B$6</f>
        <v>13</v>
      </c>
      <c r="M866" s="11">
        <f>G866*Controls!$B$6</f>
        <v>1625</v>
      </c>
      <c r="N866" s="12">
        <f>IF(L866=0,0,SUMIFS('PSI Plan'!$N$6:$N$173,'PSI Plan'!$B$6:$B$173,B866,'PSI Plan'!$C$6:$C$173,I866))</f>
        <v>0</v>
      </c>
      <c r="O866" s="11">
        <f t="shared" si="26"/>
        <v>0</v>
      </c>
      <c r="P866" s="11">
        <f t="shared" si="27"/>
        <v>0</v>
      </c>
      <c r="Q866" s="6"/>
      <c r="R866" s="6"/>
      <c r="S866" s="6"/>
      <c r="T866" s="6"/>
    </row>
    <row r="867" spans="1:20">
      <c r="A867" s="6" t="s">
        <v>1014</v>
      </c>
      <c r="B867" s="6" t="s">
        <v>76</v>
      </c>
      <c r="C867" s="6" t="s">
        <v>90</v>
      </c>
      <c r="D867" s="6" t="s">
        <v>119</v>
      </c>
      <c r="E867" s="6" t="s">
        <v>120</v>
      </c>
      <c r="F867" s="7">
        <v>26</v>
      </c>
      <c r="G867" s="7">
        <v>3250</v>
      </c>
      <c r="H867" s="16">
        <v>45250</v>
      </c>
      <c r="I867" s="6">
        <v>47</v>
      </c>
      <c r="J867" s="6" t="s">
        <v>121</v>
      </c>
      <c r="K867" s="6" t="s">
        <v>855</v>
      </c>
      <c r="L867" s="11">
        <f>F867*Controls!$B$6</f>
        <v>26</v>
      </c>
      <c r="M867" s="11">
        <f>G867*Controls!$B$6</f>
        <v>3250</v>
      </c>
      <c r="N867" s="12">
        <f>IF(L867=0,0,SUMIFS('PSI Plan'!$N$6:$N$173,'PSI Plan'!$B$6:$B$173,B867,'PSI Plan'!$C$6:$C$173,I867))</f>
        <v>0</v>
      </c>
      <c r="O867" s="11">
        <f t="shared" si="26"/>
        <v>0</v>
      </c>
      <c r="P867" s="11">
        <f t="shared" si="27"/>
        <v>0</v>
      </c>
      <c r="Q867" s="6"/>
      <c r="R867" s="6"/>
      <c r="S867" s="6"/>
      <c r="T867" s="6"/>
    </row>
    <row r="868" spans="1:20">
      <c r="A868" s="6" t="s">
        <v>1015</v>
      </c>
      <c r="B868" s="6" t="s">
        <v>69</v>
      </c>
      <c r="C868" s="6" t="s">
        <v>90</v>
      </c>
      <c r="D868" s="6" t="s">
        <v>119</v>
      </c>
      <c r="E868" s="6" t="s">
        <v>120</v>
      </c>
      <c r="F868" s="7">
        <v>26</v>
      </c>
      <c r="G868" s="7">
        <v>3250</v>
      </c>
      <c r="H868" s="16">
        <v>45268</v>
      </c>
      <c r="I868" s="6">
        <v>49</v>
      </c>
      <c r="J868" s="6" t="s">
        <v>121</v>
      </c>
      <c r="K868" s="6" t="s">
        <v>855</v>
      </c>
      <c r="L868" s="11">
        <f>F868*Controls!$B$6</f>
        <v>26</v>
      </c>
      <c r="M868" s="11">
        <f>G868*Controls!$B$6</f>
        <v>3250</v>
      </c>
      <c r="N868" s="12">
        <f>IF(L868=0,0,SUMIFS('PSI Plan'!$N$6:$N$173,'PSI Plan'!$B$6:$B$173,B868,'PSI Plan'!$C$6:$C$173,I868))</f>
        <v>0</v>
      </c>
      <c r="O868" s="11">
        <f t="shared" si="26"/>
        <v>0</v>
      </c>
      <c r="P868" s="11">
        <f t="shared" si="27"/>
        <v>0</v>
      </c>
      <c r="Q868" s="6"/>
      <c r="R868" s="6"/>
      <c r="S868" s="6"/>
      <c r="T868" s="6"/>
    </row>
    <row r="869" spans="1:20">
      <c r="A869" s="6" t="s">
        <v>1016</v>
      </c>
      <c r="B869" s="6" t="s">
        <v>77</v>
      </c>
      <c r="C869" s="6" t="s">
        <v>90</v>
      </c>
      <c r="D869" s="6" t="s">
        <v>119</v>
      </c>
      <c r="E869" s="6" t="s">
        <v>120</v>
      </c>
      <c r="F869" s="7">
        <v>26</v>
      </c>
      <c r="G869" s="7">
        <v>3250</v>
      </c>
      <c r="H869" s="16">
        <v>45237</v>
      </c>
      <c r="I869" s="6">
        <v>45</v>
      </c>
      <c r="J869" s="6" t="s">
        <v>121</v>
      </c>
      <c r="K869" s="6" t="s">
        <v>171</v>
      </c>
      <c r="L869" s="11">
        <f>F869*Controls!$B$6</f>
        <v>26</v>
      </c>
      <c r="M869" s="11">
        <f>G869*Controls!$B$6</f>
        <v>3250</v>
      </c>
      <c r="N869" s="12">
        <f>IF(L869=0,0,SUMIFS('PSI Plan'!$N$6:$N$173,'PSI Plan'!$B$6:$B$173,B869,'PSI Plan'!$C$6:$C$173,I869))</f>
        <v>0</v>
      </c>
      <c r="O869" s="11">
        <f t="shared" si="26"/>
        <v>0</v>
      </c>
      <c r="P869" s="11">
        <f t="shared" si="27"/>
        <v>0</v>
      </c>
      <c r="Q869" s="6"/>
      <c r="R869" s="6"/>
      <c r="S869" s="6"/>
      <c r="T869" s="6"/>
    </row>
    <row r="870" spans="1:20">
      <c r="A870" s="6" t="s">
        <v>1017</v>
      </c>
      <c r="B870" s="6" t="s">
        <v>67</v>
      </c>
      <c r="C870" s="6" t="s">
        <v>90</v>
      </c>
      <c r="D870" s="6" t="s">
        <v>119</v>
      </c>
      <c r="E870" s="6" t="s">
        <v>120</v>
      </c>
      <c r="F870" s="7">
        <v>16</v>
      </c>
      <c r="G870" s="7">
        <v>2000</v>
      </c>
      <c r="H870" s="16">
        <v>45223</v>
      </c>
      <c r="I870" s="6">
        <v>43</v>
      </c>
      <c r="J870" s="6" t="s">
        <v>121</v>
      </c>
      <c r="K870" s="6" t="s">
        <v>171</v>
      </c>
      <c r="L870" s="11">
        <f>F870*Controls!$B$6</f>
        <v>16</v>
      </c>
      <c r="M870" s="11">
        <f>G870*Controls!$B$6</f>
        <v>2000</v>
      </c>
      <c r="N870" s="12">
        <f>IF(L870=0,0,SUMIFS('PSI Plan'!$N$6:$N$173,'PSI Plan'!$B$6:$B$173,B870,'PSI Plan'!$C$6:$C$173,I870))</f>
        <v>0</v>
      </c>
      <c r="O870" s="11">
        <f t="shared" si="26"/>
        <v>0</v>
      </c>
      <c r="P870" s="11">
        <f t="shared" si="27"/>
        <v>0</v>
      </c>
      <c r="Q870" s="6"/>
      <c r="R870" s="6"/>
      <c r="S870" s="6"/>
      <c r="T870" s="6"/>
    </row>
    <row r="871" spans="1:20">
      <c r="A871" s="6" t="s">
        <v>1018</v>
      </c>
      <c r="B871" s="6" t="s">
        <v>69</v>
      </c>
      <c r="C871" s="6" t="s">
        <v>90</v>
      </c>
      <c r="D871" s="6" t="s">
        <v>119</v>
      </c>
      <c r="E871" s="6" t="s">
        <v>120</v>
      </c>
      <c r="F871" s="7">
        <v>52</v>
      </c>
      <c r="G871" s="7">
        <v>6500</v>
      </c>
      <c r="H871" s="16">
        <v>45238</v>
      </c>
      <c r="I871" s="6">
        <v>45</v>
      </c>
      <c r="J871" s="6" t="s">
        <v>121</v>
      </c>
      <c r="K871" s="6" t="s">
        <v>171</v>
      </c>
      <c r="L871" s="11">
        <f>F871*Controls!$B$6</f>
        <v>52</v>
      </c>
      <c r="M871" s="11">
        <f>G871*Controls!$B$6</f>
        <v>6500</v>
      </c>
      <c r="N871" s="12">
        <f>IF(L871=0,0,SUMIFS('PSI Plan'!$N$6:$N$173,'PSI Plan'!$B$6:$B$173,B871,'PSI Plan'!$C$6:$C$173,I871))</f>
        <v>0</v>
      </c>
      <c r="O871" s="11">
        <f t="shared" si="26"/>
        <v>0</v>
      </c>
      <c r="P871" s="11">
        <f t="shared" si="27"/>
        <v>0</v>
      </c>
      <c r="Q871" s="6"/>
      <c r="R871" s="6"/>
      <c r="S871" s="6"/>
      <c r="T871" s="6"/>
    </row>
    <row r="872" spans="1:20">
      <c r="A872" s="6" t="s">
        <v>1019</v>
      </c>
      <c r="B872" s="6" t="s">
        <v>76</v>
      </c>
      <c r="C872" s="6" t="s">
        <v>90</v>
      </c>
      <c r="D872" s="6" t="s">
        <v>119</v>
      </c>
      <c r="E872" s="6" t="s">
        <v>120</v>
      </c>
      <c r="F872" s="7">
        <v>1</v>
      </c>
      <c r="G872" s="7">
        <v>125</v>
      </c>
      <c r="H872" s="16">
        <v>45283</v>
      </c>
      <c r="I872" s="6">
        <v>51</v>
      </c>
      <c r="J872" s="6" t="s">
        <v>121</v>
      </c>
      <c r="K872" s="6" t="s">
        <v>298</v>
      </c>
      <c r="L872" s="11">
        <f>F872*Controls!$B$6</f>
        <v>1</v>
      </c>
      <c r="M872" s="11">
        <f>G872*Controls!$B$6</f>
        <v>125</v>
      </c>
      <c r="N872" s="12">
        <f>IF(L872=0,0,SUMIFS('PSI Plan'!$N$6:$N$173,'PSI Plan'!$B$6:$B$173,B872,'PSI Plan'!$C$6:$C$173,I872))</f>
        <v>0</v>
      </c>
      <c r="O872" s="11">
        <f t="shared" si="26"/>
        <v>0</v>
      </c>
      <c r="P872" s="11">
        <f t="shared" si="27"/>
        <v>0</v>
      </c>
      <c r="Q872" s="6"/>
      <c r="R872" s="6"/>
      <c r="S872" s="6"/>
      <c r="T872" s="6"/>
    </row>
    <row r="873" spans="1:20">
      <c r="A873" s="6" t="s">
        <v>1020</v>
      </c>
      <c r="B873" s="6" t="s">
        <v>77</v>
      </c>
      <c r="C873" s="6" t="s">
        <v>90</v>
      </c>
      <c r="D873" s="6" t="s">
        <v>119</v>
      </c>
      <c r="E873" s="6" t="s">
        <v>120</v>
      </c>
      <c r="F873" s="7">
        <v>11</v>
      </c>
      <c r="G873" s="7">
        <v>1375</v>
      </c>
      <c r="H873" s="16">
        <v>45266</v>
      </c>
      <c r="I873" s="6">
        <v>49</v>
      </c>
      <c r="J873" s="6" t="s">
        <v>121</v>
      </c>
      <c r="K873" s="6" t="s">
        <v>298</v>
      </c>
      <c r="L873" s="11">
        <f>F873*Controls!$B$6</f>
        <v>11</v>
      </c>
      <c r="M873" s="11">
        <f>G873*Controls!$B$6</f>
        <v>1375</v>
      </c>
      <c r="N873" s="12">
        <f>IF(L873=0,0,SUMIFS('PSI Plan'!$N$6:$N$173,'PSI Plan'!$B$6:$B$173,B873,'PSI Plan'!$C$6:$C$173,I873))</f>
        <v>0</v>
      </c>
      <c r="O873" s="11">
        <f t="shared" si="26"/>
        <v>0</v>
      </c>
      <c r="P873" s="11">
        <f t="shared" si="27"/>
        <v>0</v>
      </c>
      <c r="Q873" s="6"/>
      <c r="R873" s="6"/>
      <c r="S873" s="6"/>
      <c r="T873" s="6"/>
    </row>
    <row r="874" spans="1:20">
      <c r="A874" s="6" t="s">
        <v>1021</v>
      </c>
      <c r="B874" s="6" t="s">
        <v>69</v>
      </c>
      <c r="C874" s="6" t="s">
        <v>90</v>
      </c>
      <c r="D874" s="6" t="s">
        <v>119</v>
      </c>
      <c r="E874" s="6" t="s">
        <v>120</v>
      </c>
      <c r="F874" s="7">
        <v>26</v>
      </c>
      <c r="G874" s="7">
        <v>3250</v>
      </c>
      <c r="H874" s="16">
        <v>45244</v>
      </c>
      <c r="I874" s="6">
        <v>46</v>
      </c>
      <c r="J874" s="6" t="s">
        <v>121</v>
      </c>
      <c r="K874" s="6" t="s">
        <v>298</v>
      </c>
      <c r="L874" s="11">
        <f>F874*Controls!$B$6</f>
        <v>26</v>
      </c>
      <c r="M874" s="11">
        <f>G874*Controls!$B$6</f>
        <v>3250</v>
      </c>
      <c r="N874" s="12">
        <f>IF(L874=0,0,SUMIFS('PSI Plan'!$N$6:$N$173,'PSI Plan'!$B$6:$B$173,B874,'PSI Plan'!$C$6:$C$173,I874))</f>
        <v>0</v>
      </c>
      <c r="O874" s="11">
        <f t="shared" si="26"/>
        <v>0</v>
      </c>
      <c r="P874" s="11">
        <f t="shared" si="27"/>
        <v>0</v>
      </c>
      <c r="Q874" s="6"/>
      <c r="R874" s="6"/>
      <c r="S874" s="6"/>
      <c r="T874" s="6"/>
    </row>
    <row r="875" spans="1:20">
      <c r="A875" s="6" t="s">
        <v>1022</v>
      </c>
      <c r="B875" s="6" t="s">
        <v>76</v>
      </c>
      <c r="C875" s="6" t="s">
        <v>90</v>
      </c>
      <c r="D875" s="6" t="s">
        <v>119</v>
      </c>
      <c r="E875" s="6" t="s">
        <v>120</v>
      </c>
      <c r="F875" s="7">
        <v>26</v>
      </c>
      <c r="G875" s="7">
        <v>3250</v>
      </c>
      <c r="H875" s="16">
        <v>45257</v>
      </c>
      <c r="I875" s="6">
        <v>48</v>
      </c>
      <c r="J875" s="6" t="s">
        <v>121</v>
      </c>
      <c r="K875" s="6" t="s">
        <v>139</v>
      </c>
      <c r="L875" s="11">
        <f>F875*Controls!$B$6</f>
        <v>26</v>
      </c>
      <c r="M875" s="11">
        <f>G875*Controls!$B$6</f>
        <v>3250</v>
      </c>
      <c r="N875" s="12">
        <f>IF(L875=0,0,SUMIFS('PSI Plan'!$N$6:$N$173,'PSI Plan'!$B$6:$B$173,B875,'PSI Plan'!$C$6:$C$173,I875))</f>
        <v>0</v>
      </c>
      <c r="O875" s="11">
        <f t="shared" si="26"/>
        <v>0</v>
      </c>
      <c r="P875" s="11">
        <f t="shared" si="27"/>
        <v>0</v>
      </c>
      <c r="Q875" s="6"/>
      <c r="R875" s="6"/>
      <c r="S875" s="6"/>
      <c r="T875" s="6"/>
    </row>
    <row r="876" spans="1:20">
      <c r="A876" s="6" t="s">
        <v>1023</v>
      </c>
      <c r="B876" s="6" t="s">
        <v>66</v>
      </c>
      <c r="C876" s="6" t="s">
        <v>90</v>
      </c>
      <c r="D876" s="6" t="s">
        <v>119</v>
      </c>
      <c r="E876" s="6" t="s">
        <v>120</v>
      </c>
      <c r="F876" s="7">
        <v>52</v>
      </c>
      <c r="G876" s="7">
        <v>6500</v>
      </c>
      <c r="H876" s="16">
        <v>45225</v>
      </c>
      <c r="I876" s="6">
        <v>43</v>
      </c>
      <c r="J876" s="6" t="s">
        <v>121</v>
      </c>
      <c r="K876" s="6" t="s">
        <v>122</v>
      </c>
      <c r="L876" s="11">
        <f>F876*Controls!$B$6</f>
        <v>52</v>
      </c>
      <c r="M876" s="11">
        <f>G876*Controls!$B$6</f>
        <v>6500</v>
      </c>
      <c r="N876" s="12">
        <f>IF(L876=0,0,SUMIFS('PSI Plan'!$N$6:$N$173,'PSI Plan'!$B$6:$B$173,B876,'PSI Plan'!$C$6:$C$173,I876))</f>
        <v>0</v>
      </c>
      <c r="O876" s="11">
        <f t="shared" si="26"/>
        <v>0</v>
      </c>
      <c r="P876" s="11">
        <f t="shared" si="27"/>
        <v>0</v>
      </c>
      <c r="Q876" s="6"/>
      <c r="R876" s="6"/>
      <c r="S876" s="6"/>
      <c r="T876" s="6"/>
    </row>
    <row r="877" spans="1:20">
      <c r="A877" s="6" t="s">
        <v>1024</v>
      </c>
      <c r="B877" s="6" t="s">
        <v>77</v>
      </c>
      <c r="C877" s="6" t="s">
        <v>90</v>
      </c>
      <c r="D877" s="6" t="s">
        <v>119</v>
      </c>
      <c r="E877" s="6" t="s">
        <v>120</v>
      </c>
      <c r="F877" s="7">
        <v>78</v>
      </c>
      <c r="G877" s="7">
        <v>9750</v>
      </c>
      <c r="H877" s="16">
        <v>45265</v>
      </c>
      <c r="I877" s="6">
        <v>49</v>
      </c>
      <c r="J877" s="6" t="s">
        <v>121</v>
      </c>
      <c r="K877" s="6" t="s">
        <v>122</v>
      </c>
      <c r="L877" s="11">
        <f>F877*Controls!$B$6</f>
        <v>78</v>
      </c>
      <c r="M877" s="11">
        <f>G877*Controls!$B$6</f>
        <v>9750</v>
      </c>
      <c r="N877" s="12">
        <f>IF(L877=0,0,SUMIFS('PSI Plan'!$N$6:$N$173,'PSI Plan'!$B$6:$B$173,B877,'PSI Plan'!$C$6:$C$173,I877))</f>
        <v>0</v>
      </c>
      <c r="O877" s="11">
        <f t="shared" si="26"/>
        <v>0</v>
      </c>
      <c r="P877" s="11">
        <f t="shared" si="27"/>
        <v>0</v>
      </c>
      <c r="Q877" s="6"/>
      <c r="R877" s="6"/>
      <c r="S877" s="6"/>
      <c r="T877" s="6"/>
    </row>
    <row r="878" spans="1:20">
      <c r="A878" s="6" t="s">
        <v>1025</v>
      </c>
      <c r="B878" s="6" t="s">
        <v>76</v>
      </c>
      <c r="C878" s="6" t="s">
        <v>90</v>
      </c>
      <c r="D878" s="6" t="s">
        <v>119</v>
      </c>
      <c r="E878" s="6" t="s">
        <v>120</v>
      </c>
      <c r="F878" s="7">
        <v>104</v>
      </c>
      <c r="G878" s="7">
        <v>13000</v>
      </c>
      <c r="H878" s="16">
        <v>45235</v>
      </c>
      <c r="I878" s="6">
        <v>45</v>
      </c>
      <c r="J878" s="6" t="s">
        <v>121</v>
      </c>
      <c r="K878" s="6" t="s">
        <v>122</v>
      </c>
      <c r="L878" s="11">
        <f>F878*Controls!$B$6</f>
        <v>104</v>
      </c>
      <c r="M878" s="11">
        <f>G878*Controls!$B$6</f>
        <v>13000</v>
      </c>
      <c r="N878" s="12">
        <f>IF(L878=0,0,SUMIFS('PSI Plan'!$N$6:$N$173,'PSI Plan'!$B$6:$B$173,B878,'PSI Plan'!$C$6:$C$173,I878))</f>
        <v>0</v>
      </c>
      <c r="O878" s="11">
        <f t="shared" si="26"/>
        <v>0</v>
      </c>
      <c r="P878" s="11">
        <f t="shared" si="27"/>
        <v>0</v>
      </c>
      <c r="Q878" s="6"/>
      <c r="R878" s="6"/>
      <c r="S878" s="6"/>
      <c r="T878" s="6"/>
    </row>
    <row r="879" spans="1:20">
      <c r="A879" s="6" t="s">
        <v>1026</v>
      </c>
      <c r="B879" s="6" t="s">
        <v>67</v>
      </c>
      <c r="C879" s="6" t="s">
        <v>90</v>
      </c>
      <c r="D879" s="6" t="s">
        <v>119</v>
      </c>
      <c r="E879" s="6" t="s">
        <v>120</v>
      </c>
      <c r="F879" s="7">
        <v>52</v>
      </c>
      <c r="G879" s="7">
        <v>6500</v>
      </c>
      <c r="H879" s="16">
        <v>45249</v>
      </c>
      <c r="I879" s="6">
        <v>47</v>
      </c>
      <c r="J879" s="6" t="s">
        <v>121</v>
      </c>
      <c r="K879" s="6" t="s">
        <v>122</v>
      </c>
      <c r="L879" s="11">
        <f>F879*Controls!$B$6</f>
        <v>52</v>
      </c>
      <c r="M879" s="11">
        <f>G879*Controls!$B$6</f>
        <v>6500</v>
      </c>
      <c r="N879" s="12">
        <f>IF(L879=0,0,SUMIFS('PSI Plan'!$N$6:$N$173,'PSI Plan'!$B$6:$B$173,B879,'PSI Plan'!$C$6:$C$173,I879))</f>
        <v>0</v>
      </c>
      <c r="O879" s="11">
        <f t="shared" si="26"/>
        <v>0</v>
      </c>
      <c r="P879" s="11">
        <f t="shared" si="27"/>
        <v>0</v>
      </c>
      <c r="Q879" s="6"/>
      <c r="R879" s="6"/>
      <c r="S879" s="6"/>
      <c r="T879" s="6"/>
    </row>
    <row r="880" spans="1:20">
      <c r="A880" s="6" t="s">
        <v>1027</v>
      </c>
      <c r="B880" s="6" t="s">
        <v>69</v>
      </c>
      <c r="C880" s="6" t="s">
        <v>90</v>
      </c>
      <c r="D880" s="6" t="s">
        <v>119</v>
      </c>
      <c r="E880" s="6" t="s">
        <v>120</v>
      </c>
      <c r="F880" s="7">
        <v>156</v>
      </c>
      <c r="G880" s="7">
        <v>19500</v>
      </c>
      <c r="H880" s="16">
        <v>45224</v>
      </c>
      <c r="I880" s="6">
        <v>43</v>
      </c>
      <c r="J880" s="6" t="s">
        <v>121</v>
      </c>
      <c r="K880" s="6" t="s">
        <v>122</v>
      </c>
      <c r="L880" s="11">
        <f>F880*Controls!$B$6</f>
        <v>156</v>
      </c>
      <c r="M880" s="11">
        <f>G880*Controls!$B$6</f>
        <v>19500</v>
      </c>
      <c r="N880" s="12">
        <f>IF(L880=0,0,SUMIFS('PSI Plan'!$N$6:$N$173,'PSI Plan'!$B$6:$B$173,B880,'PSI Plan'!$C$6:$C$173,I880))</f>
        <v>0</v>
      </c>
      <c r="O880" s="11">
        <f t="shared" si="26"/>
        <v>0</v>
      </c>
      <c r="P880" s="11">
        <f t="shared" si="27"/>
        <v>0</v>
      </c>
      <c r="Q880" s="6"/>
      <c r="R880" s="6"/>
      <c r="S880" s="6"/>
      <c r="T880" s="6"/>
    </row>
    <row r="881" spans="1:20">
      <c r="A881" s="6" t="s">
        <v>1028</v>
      </c>
      <c r="B881" s="6" t="s">
        <v>77</v>
      </c>
      <c r="C881" s="6" t="s">
        <v>90</v>
      </c>
      <c r="D881" s="6" t="s">
        <v>119</v>
      </c>
      <c r="E881" s="6" t="s">
        <v>120</v>
      </c>
      <c r="F881" s="7">
        <v>7</v>
      </c>
      <c r="G881" s="7">
        <v>875</v>
      </c>
      <c r="H881" s="16">
        <v>45279</v>
      </c>
      <c r="I881" s="6">
        <v>51</v>
      </c>
      <c r="J881" s="6" t="s">
        <v>121</v>
      </c>
      <c r="K881" s="6" t="s">
        <v>132</v>
      </c>
      <c r="L881" s="11">
        <f>F881*Controls!$B$6</f>
        <v>7</v>
      </c>
      <c r="M881" s="11">
        <f>G881*Controls!$B$6</f>
        <v>875</v>
      </c>
      <c r="N881" s="12">
        <f>IF(L881=0,0,SUMIFS('PSI Plan'!$N$6:$N$173,'PSI Plan'!$B$6:$B$173,B881,'PSI Plan'!$C$6:$C$173,I881))</f>
        <v>0</v>
      </c>
      <c r="O881" s="11">
        <f t="shared" si="26"/>
        <v>0</v>
      </c>
      <c r="P881" s="11">
        <f t="shared" si="27"/>
        <v>0</v>
      </c>
      <c r="Q881" s="6"/>
      <c r="R881" s="6"/>
      <c r="S881" s="6"/>
      <c r="T881" s="6"/>
    </row>
    <row r="882" spans="1:20">
      <c r="A882" s="6" t="s">
        <v>1029</v>
      </c>
      <c r="B882" s="6" t="s">
        <v>69</v>
      </c>
      <c r="C882" s="6" t="s">
        <v>90</v>
      </c>
      <c r="D882" s="6" t="s">
        <v>119</v>
      </c>
      <c r="E882" s="6" t="s">
        <v>120</v>
      </c>
      <c r="F882" s="7">
        <v>11</v>
      </c>
      <c r="G882" s="7">
        <v>1375</v>
      </c>
      <c r="H882" s="16">
        <v>45216</v>
      </c>
      <c r="I882" s="6">
        <v>42</v>
      </c>
      <c r="J882" s="6" t="s">
        <v>121</v>
      </c>
      <c r="K882" s="6" t="s">
        <v>132</v>
      </c>
      <c r="L882" s="11">
        <f>F882*Controls!$B$6</f>
        <v>11</v>
      </c>
      <c r="M882" s="11">
        <f>G882*Controls!$B$6</f>
        <v>1375</v>
      </c>
      <c r="N882" s="12">
        <f>IF(L882=0,0,SUMIFS('PSI Plan'!$N$6:$N$173,'PSI Plan'!$B$6:$B$173,B882,'PSI Plan'!$C$6:$C$173,I882))</f>
        <v>0</v>
      </c>
      <c r="O882" s="11">
        <f t="shared" si="26"/>
        <v>0</v>
      </c>
      <c r="P882" s="11">
        <f t="shared" si="27"/>
        <v>0</v>
      </c>
      <c r="Q882" s="6"/>
      <c r="R882" s="6"/>
      <c r="S882" s="6"/>
      <c r="T882" s="6"/>
    </row>
    <row r="883" spans="1:20">
      <c r="A883" s="6" t="s">
        <v>1030</v>
      </c>
      <c r="B883" s="6" t="s">
        <v>66</v>
      </c>
      <c r="C883" s="6" t="s">
        <v>99</v>
      </c>
      <c r="D883" s="6" t="s">
        <v>319</v>
      </c>
      <c r="E883" s="6" t="s">
        <v>120</v>
      </c>
      <c r="F883" s="7">
        <v>58</v>
      </c>
      <c r="G883" s="7">
        <v>7250</v>
      </c>
      <c r="H883" s="16">
        <v>45236</v>
      </c>
      <c r="I883" s="6">
        <v>45</v>
      </c>
      <c r="J883" s="6" t="s">
        <v>121</v>
      </c>
      <c r="K883" s="6" t="s">
        <v>459</v>
      </c>
      <c r="L883" s="11">
        <f>F883*Controls!$B$6</f>
        <v>58</v>
      </c>
      <c r="M883" s="11">
        <f>G883*Controls!$B$6</f>
        <v>7250</v>
      </c>
      <c r="N883" s="12">
        <f>IF(L883=0,0,SUMIFS('PSI Plan'!$N$6:$N$173,'PSI Plan'!$B$6:$B$173,B883,'PSI Plan'!$C$6:$C$173,I883))</f>
        <v>0</v>
      </c>
      <c r="O883" s="11">
        <f t="shared" si="26"/>
        <v>0</v>
      </c>
      <c r="P883" s="11">
        <f t="shared" si="27"/>
        <v>0</v>
      </c>
      <c r="Q883" s="6"/>
      <c r="R883" s="6"/>
      <c r="S883" s="6"/>
      <c r="T883" s="6"/>
    </row>
    <row r="884" spans="1:20">
      <c r="A884" s="6" t="s">
        <v>1031</v>
      </c>
      <c r="B884" s="6" t="s">
        <v>77</v>
      </c>
      <c r="C884" s="6" t="s">
        <v>99</v>
      </c>
      <c r="D884" s="6" t="s">
        <v>319</v>
      </c>
      <c r="E884" s="6" t="s">
        <v>120</v>
      </c>
      <c r="F884" s="7">
        <v>52</v>
      </c>
      <c r="G884" s="7">
        <v>6500</v>
      </c>
      <c r="H884" s="16">
        <v>45240</v>
      </c>
      <c r="I884" s="6">
        <v>45</v>
      </c>
      <c r="J884" s="6" t="s">
        <v>121</v>
      </c>
      <c r="K884" s="6" t="s">
        <v>459</v>
      </c>
      <c r="L884" s="11">
        <f>F884*Controls!$B$6</f>
        <v>52</v>
      </c>
      <c r="M884" s="11">
        <f>G884*Controls!$B$6</f>
        <v>6500</v>
      </c>
      <c r="N884" s="12">
        <f>IF(L884=0,0,SUMIFS('PSI Plan'!$N$6:$N$173,'PSI Plan'!$B$6:$B$173,B884,'PSI Plan'!$C$6:$C$173,I884))</f>
        <v>0</v>
      </c>
      <c r="O884" s="11">
        <f t="shared" si="26"/>
        <v>0</v>
      </c>
      <c r="P884" s="11">
        <f t="shared" si="27"/>
        <v>0</v>
      </c>
      <c r="Q884" s="6"/>
      <c r="R884" s="6"/>
      <c r="S884" s="6"/>
      <c r="T884" s="6"/>
    </row>
    <row r="885" spans="1:20">
      <c r="A885" s="6" t="s">
        <v>1032</v>
      </c>
      <c r="B885" s="6" t="s">
        <v>69</v>
      </c>
      <c r="C885" s="6" t="s">
        <v>99</v>
      </c>
      <c r="D885" s="6" t="s">
        <v>319</v>
      </c>
      <c r="E885" s="6" t="s">
        <v>120</v>
      </c>
      <c r="F885" s="7">
        <v>33</v>
      </c>
      <c r="G885" s="7">
        <v>4125</v>
      </c>
      <c r="H885" s="16">
        <v>45222</v>
      </c>
      <c r="I885" s="6">
        <v>43</v>
      </c>
      <c r="J885" s="6" t="s">
        <v>121</v>
      </c>
      <c r="K885" s="6" t="s">
        <v>459</v>
      </c>
      <c r="L885" s="11">
        <f>F885*Controls!$B$6</f>
        <v>33</v>
      </c>
      <c r="M885" s="11">
        <f>G885*Controls!$B$6</f>
        <v>4125</v>
      </c>
      <c r="N885" s="12">
        <f>IF(L885=0,0,SUMIFS('PSI Plan'!$N$6:$N$173,'PSI Plan'!$B$6:$B$173,B885,'PSI Plan'!$C$6:$C$173,I885))</f>
        <v>0</v>
      </c>
      <c r="O885" s="11">
        <f t="shared" si="26"/>
        <v>0</v>
      </c>
      <c r="P885" s="11">
        <f t="shared" si="27"/>
        <v>0</v>
      </c>
      <c r="Q885" s="6"/>
      <c r="R885" s="6"/>
      <c r="S885" s="6"/>
      <c r="T885" s="6"/>
    </row>
    <row r="886" spans="1:20">
      <c r="A886" s="6" t="s">
        <v>1033</v>
      </c>
      <c r="B886" s="6" t="s">
        <v>66</v>
      </c>
      <c r="C886" s="6" t="s">
        <v>90</v>
      </c>
      <c r="D886" s="6" t="s">
        <v>119</v>
      </c>
      <c r="E886" s="6" t="s">
        <v>120</v>
      </c>
      <c r="F886" s="7">
        <v>26</v>
      </c>
      <c r="G886" s="7">
        <v>3250</v>
      </c>
      <c r="H886" s="16">
        <v>45280</v>
      </c>
      <c r="I886" s="6">
        <v>51</v>
      </c>
      <c r="J886" s="6" t="s">
        <v>121</v>
      </c>
      <c r="K886" s="6" t="s">
        <v>135</v>
      </c>
      <c r="L886" s="11">
        <f>F886*Controls!$B$6</f>
        <v>26</v>
      </c>
      <c r="M886" s="11">
        <f>G886*Controls!$B$6</f>
        <v>3250</v>
      </c>
      <c r="N886" s="12">
        <f>IF(L886=0,0,SUMIFS('PSI Plan'!$N$6:$N$173,'PSI Plan'!$B$6:$B$173,B886,'PSI Plan'!$C$6:$C$173,I886))</f>
        <v>0</v>
      </c>
      <c r="O886" s="11">
        <f t="shared" si="26"/>
        <v>0</v>
      </c>
      <c r="P886" s="11">
        <f t="shared" si="27"/>
        <v>0</v>
      </c>
      <c r="Q886" s="6"/>
      <c r="R886" s="6"/>
      <c r="S886" s="6"/>
      <c r="T886" s="6"/>
    </row>
    <row r="887" spans="1:20">
      <c r="A887" s="6" t="s">
        <v>1034</v>
      </c>
      <c r="B887" s="6" t="s">
        <v>77</v>
      </c>
      <c r="C887" s="6" t="s">
        <v>90</v>
      </c>
      <c r="D887" s="6" t="s">
        <v>119</v>
      </c>
      <c r="E887" s="6" t="s">
        <v>120</v>
      </c>
      <c r="F887" s="7">
        <v>52</v>
      </c>
      <c r="G887" s="7">
        <v>6500</v>
      </c>
      <c r="H887" s="16">
        <v>45217</v>
      </c>
      <c r="I887" s="6">
        <v>42</v>
      </c>
      <c r="J887" s="6" t="s">
        <v>121</v>
      </c>
      <c r="K887" s="6" t="s">
        <v>135</v>
      </c>
      <c r="L887" s="11">
        <f>F887*Controls!$B$6</f>
        <v>52</v>
      </c>
      <c r="M887" s="11">
        <f>G887*Controls!$B$6</f>
        <v>6500</v>
      </c>
      <c r="N887" s="12">
        <f>IF(L887=0,0,SUMIFS('PSI Plan'!$N$6:$N$173,'PSI Plan'!$B$6:$B$173,B887,'PSI Plan'!$C$6:$C$173,I887))</f>
        <v>0</v>
      </c>
      <c r="O887" s="11">
        <f t="shared" si="26"/>
        <v>0</v>
      </c>
      <c r="P887" s="11">
        <f t="shared" si="27"/>
        <v>0</v>
      </c>
      <c r="Q887" s="6"/>
      <c r="R887" s="6"/>
      <c r="S887" s="6"/>
      <c r="T887" s="6"/>
    </row>
    <row r="888" spans="1:20">
      <c r="A888" s="6" t="s">
        <v>1035</v>
      </c>
      <c r="B888" s="6" t="s">
        <v>69</v>
      </c>
      <c r="C888" s="6" t="s">
        <v>90</v>
      </c>
      <c r="D888" s="6" t="s">
        <v>119</v>
      </c>
      <c r="E888" s="6" t="s">
        <v>120</v>
      </c>
      <c r="F888" s="7">
        <v>50</v>
      </c>
      <c r="G888" s="7">
        <v>6250</v>
      </c>
      <c r="H888" s="16">
        <v>45264</v>
      </c>
      <c r="I888" s="6">
        <v>49</v>
      </c>
      <c r="J888" s="6" t="s">
        <v>121</v>
      </c>
      <c r="K888" s="6" t="s">
        <v>135</v>
      </c>
      <c r="L888" s="11">
        <f>F888*Controls!$B$6</f>
        <v>50</v>
      </c>
      <c r="M888" s="11">
        <f>G888*Controls!$B$6</f>
        <v>6250</v>
      </c>
      <c r="N888" s="12">
        <f>IF(L888=0,0,SUMIFS('PSI Plan'!$N$6:$N$173,'PSI Plan'!$B$6:$B$173,B888,'PSI Plan'!$C$6:$C$173,I888))</f>
        <v>0</v>
      </c>
      <c r="O888" s="11">
        <f t="shared" si="26"/>
        <v>0</v>
      </c>
      <c r="P888" s="11">
        <f t="shared" si="27"/>
        <v>0</v>
      </c>
      <c r="Q888" s="6"/>
      <c r="R888" s="6"/>
      <c r="S888" s="6"/>
      <c r="T888" s="6"/>
    </row>
    <row r="889" spans="1:20">
      <c r="A889" s="6" t="s">
        <v>1036</v>
      </c>
      <c r="B889" s="6" t="s">
        <v>66</v>
      </c>
      <c r="C889" s="6" t="s">
        <v>100</v>
      </c>
      <c r="D889" s="6" t="s">
        <v>567</v>
      </c>
      <c r="E889" s="6" t="s">
        <v>120</v>
      </c>
      <c r="F889" s="7">
        <v>1</v>
      </c>
      <c r="G889" s="7">
        <v>125</v>
      </c>
      <c r="H889" s="16">
        <v>45268</v>
      </c>
      <c r="I889" s="6">
        <v>49</v>
      </c>
      <c r="J889" s="6" t="s">
        <v>121</v>
      </c>
      <c r="K889" s="6" t="s">
        <v>568</v>
      </c>
      <c r="L889" s="11">
        <f>F889*Controls!$B$6</f>
        <v>1</v>
      </c>
      <c r="M889" s="11">
        <f>G889*Controls!$B$6</f>
        <v>125</v>
      </c>
      <c r="N889" s="12">
        <f>IF(L889=0,0,SUMIFS('PSI Plan'!$N$6:$N$173,'PSI Plan'!$B$6:$B$173,B889,'PSI Plan'!$C$6:$C$173,I889))</f>
        <v>0</v>
      </c>
      <c r="O889" s="11">
        <f t="shared" si="26"/>
        <v>0</v>
      </c>
      <c r="P889" s="11">
        <f t="shared" si="27"/>
        <v>0</v>
      </c>
      <c r="Q889" s="6"/>
      <c r="R889" s="6"/>
      <c r="S889" s="6"/>
      <c r="T889" s="6"/>
    </row>
    <row r="890" spans="1:20">
      <c r="A890" s="6" t="s">
        <v>1037</v>
      </c>
      <c r="B890" s="6" t="s">
        <v>77</v>
      </c>
      <c r="C890" s="6" t="s">
        <v>100</v>
      </c>
      <c r="D890" s="6" t="s">
        <v>567</v>
      </c>
      <c r="E890" s="6" t="s">
        <v>120</v>
      </c>
      <c r="F890" s="7">
        <v>2</v>
      </c>
      <c r="G890" s="7">
        <v>250</v>
      </c>
      <c r="H890" s="16">
        <v>45264</v>
      </c>
      <c r="I890" s="6">
        <v>49</v>
      </c>
      <c r="J890" s="6" t="s">
        <v>121</v>
      </c>
      <c r="K890" s="6" t="s">
        <v>568</v>
      </c>
      <c r="L890" s="11">
        <f>F890*Controls!$B$6</f>
        <v>2</v>
      </c>
      <c r="M890" s="11">
        <f>G890*Controls!$B$6</f>
        <v>250</v>
      </c>
      <c r="N890" s="12">
        <f>IF(L890=0,0,SUMIFS('PSI Plan'!$N$6:$N$173,'PSI Plan'!$B$6:$B$173,B890,'PSI Plan'!$C$6:$C$173,I890))</f>
        <v>0</v>
      </c>
      <c r="O890" s="11">
        <f t="shared" si="26"/>
        <v>0</v>
      </c>
      <c r="P890" s="11">
        <f t="shared" si="27"/>
        <v>0</v>
      </c>
      <c r="Q890" s="6"/>
      <c r="R890" s="6"/>
      <c r="S890" s="6"/>
      <c r="T890" s="6"/>
    </row>
    <row r="891" spans="1:20">
      <c r="A891" s="6" t="s">
        <v>1038</v>
      </c>
      <c r="B891" s="6" t="s">
        <v>76</v>
      </c>
      <c r="C891" s="6" t="s">
        <v>100</v>
      </c>
      <c r="D891" s="6" t="s">
        <v>567</v>
      </c>
      <c r="E891" s="6" t="s">
        <v>120</v>
      </c>
      <c r="F891" s="7">
        <v>5</v>
      </c>
      <c r="G891" s="7">
        <v>625</v>
      </c>
      <c r="H891" s="16">
        <v>45257</v>
      </c>
      <c r="I891" s="6">
        <v>48</v>
      </c>
      <c r="J891" s="6" t="s">
        <v>121</v>
      </c>
      <c r="K891" s="6" t="s">
        <v>568</v>
      </c>
      <c r="L891" s="11">
        <f>F891*Controls!$B$6</f>
        <v>5</v>
      </c>
      <c r="M891" s="11">
        <f>G891*Controls!$B$6</f>
        <v>625</v>
      </c>
      <c r="N891" s="12">
        <f>IF(L891=0,0,SUMIFS('PSI Plan'!$N$6:$N$173,'PSI Plan'!$B$6:$B$173,B891,'PSI Plan'!$C$6:$C$173,I891))</f>
        <v>0</v>
      </c>
      <c r="O891" s="11">
        <f t="shared" si="26"/>
        <v>0</v>
      </c>
      <c r="P891" s="11">
        <f t="shared" si="27"/>
        <v>0</v>
      </c>
      <c r="Q891" s="6"/>
      <c r="R891" s="6"/>
      <c r="S891" s="6"/>
      <c r="T891" s="6"/>
    </row>
    <row r="892" spans="1:20">
      <c r="A892" s="6" t="s">
        <v>1039</v>
      </c>
      <c r="B892" s="6" t="s">
        <v>67</v>
      </c>
      <c r="C892" s="6" t="s">
        <v>100</v>
      </c>
      <c r="D892" s="6" t="s">
        <v>567</v>
      </c>
      <c r="E892" s="6" t="s">
        <v>120</v>
      </c>
      <c r="F892" s="7">
        <v>4</v>
      </c>
      <c r="G892" s="7">
        <v>500</v>
      </c>
      <c r="H892" s="16">
        <v>45218</v>
      </c>
      <c r="I892" s="6">
        <v>42</v>
      </c>
      <c r="J892" s="6" t="s">
        <v>121</v>
      </c>
      <c r="K892" s="6" t="s">
        <v>568</v>
      </c>
      <c r="L892" s="11">
        <f>F892*Controls!$B$6</f>
        <v>4</v>
      </c>
      <c r="M892" s="11">
        <f>G892*Controls!$B$6</f>
        <v>500</v>
      </c>
      <c r="N892" s="12">
        <f>IF(L892=0,0,SUMIFS('PSI Plan'!$N$6:$N$173,'PSI Plan'!$B$6:$B$173,B892,'PSI Plan'!$C$6:$C$173,I892))</f>
        <v>0</v>
      </c>
      <c r="O892" s="11">
        <f t="shared" si="26"/>
        <v>0</v>
      </c>
      <c r="P892" s="11">
        <f t="shared" si="27"/>
        <v>0</v>
      </c>
      <c r="Q892" s="6"/>
      <c r="R892" s="6"/>
      <c r="S892" s="6"/>
      <c r="T892" s="6"/>
    </row>
    <row r="893" spans="1:20">
      <c r="A893" s="6" t="s">
        <v>1040</v>
      </c>
      <c r="B893" s="6" t="s">
        <v>66</v>
      </c>
      <c r="C893" s="6" t="s">
        <v>99</v>
      </c>
      <c r="D893" s="6" t="s">
        <v>319</v>
      </c>
      <c r="E893" s="6" t="s">
        <v>120</v>
      </c>
      <c r="F893" s="7">
        <v>33</v>
      </c>
      <c r="G893" s="7">
        <v>4125</v>
      </c>
      <c r="H893" s="16">
        <v>45267</v>
      </c>
      <c r="I893" s="6">
        <v>49</v>
      </c>
      <c r="J893" s="6" t="s">
        <v>121</v>
      </c>
      <c r="K893" s="6" t="s">
        <v>361</v>
      </c>
      <c r="L893" s="11">
        <f>F893*Controls!$B$6</f>
        <v>33</v>
      </c>
      <c r="M893" s="11">
        <f>G893*Controls!$B$6</f>
        <v>4125</v>
      </c>
      <c r="N893" s="12">
        <f>IF(L893=0,0,SUMIFS('PSI Plan'!$N$6:$N$173,'PSI Plan'!$B$6:$B$173,B893,'PSI Plan'!$C$6:$C$173,I893))</f>
        <v>0</v>
      </c>
      <c r="O893" s="11">
        <f t="shared" si="26"/>
        <v>0</v>
      </c>
      <c r="P893" s="11">
        <f t="shared" si="27"/>
        <v>0</v>
      </c>
      <c r="Q893" s="6"/>
      <c r="R893" s="6"/>
      <c r="S893" s="6"/>
      <c r="T893" s="6"/>
    </row>
    <row r="894" spans="1:20">
      <c r="A894" s="6" t="s">
        <v>1041</v>
      </c>
      <c r="B894" s="6" t="s">
        <v>77</v>
      </c>
      <c r="C894" s="6" t="s">
        <v>99</v>
      </c>
      <c r="D894" s="6" t="s">
        <v>319</v>
      </c>
      <c r="E894" s="6" t="s">
        <v>120</v>
      </c>
      <c r="F894" s="7">
        <v>39</v>
      </c>
      <c r="G894" s="7">
        <v>4875</v>
      </c>
      <c r="H894" s="16">
        <v>45216</v>
      </c>
      <c r="I894" s="6">
        <v>42</v>
      </c>
      <c r="J894" s="6" t="s">
        <v>121</v>
      </c>
      <c r="K894" s="6" t="s">
        <v>361</v>
      </c>
      <c r="L894" s="11">
        <f>F894*Controls!$B$6</f>
        <v>39</v>
      </c>
      <c r="M894" s="11">
        <f>G894*Controls!$B$6</f>
        <v>4875</v>
      </c>
      <c r="N894" s="12">
        <f>IF(L894=0,0,SUMIFS('PSI Plan'!$N$6:$N$173,'PSI Plan'!$B$6:$B$173,B894,'PSI Plan'!$C$6:$C$173,I894))</f>
        <v>0</v>
      </c>
      <c r="O894" s="11">
        <f t="shared" si="26"/>
        <v>0</v>
      </c>
      <c r="P894" s="11">
        <f t="shared" si="27"/>
        <v>0</v>
      </c>
      <c r="Q894" s="6"/>
      <c r="R894" s="6"/>
      <c r="S894" s="6"/>
      <c r="T894" s="6"/>
    </row>
    <row r="895" spans="1:20">
      <c r="A895" s="6" t="s">
        <v>1042</v>
      </c>
      <c r="B895" s="6" t="s">
        <v>69</v>
      </c>
      <c r="C895" s="6" t="s">
        <v>99</v>
      </c>
      <c r="D895" s="6" t="s">
        <v>319</v>
      </c>
      <c r="E895" s="6" t="s">
        <v>120</v>
      </c>
      <c r="F895" s="7">
        <v>42</v>
      </c>
      <c r="G895" s="7">
        <v>5250</v>
      </c>
      <c r="H895" s="16">
        <v>45227</v>
      </c>
      <c r="I895" s="6">
        <v>43</v>
      </c>
      <c r="J895" s="6" t="s">
        <v>121</v>
      </c>
      <c r="K895" s="6" t="s">
        <v>361</v>
      </c>
      <c r="L895" s="11">
        <f>F895*Controls!$B$6</f>
        <v>42</v>
      </c>
      <c r="M895" s="11">
        <f>G895*Controls!$B$6</f>
        <v>5250</v>
      </c>
      <c r="N895" s="12">
        <f>IF(L895=0,0,SUMIFS('PSI Plan'!$N$6:$N$173,'PSI Plan'!$B$6:$B$173,B895,'PSI Plan'!$C$6:$C$173,I895))</f>
        <v>0</v>
      </c>
      <c r="O895" s="11">
        <f t="shared" si="26"/>
        <v>0</v>
      </c>
      <c r="P895" s="11">
        <f t="shared" si="27"/>
        <v>0</v>
      </c>
      <c r="Q895" s="6"/>
      <c r="R895" s="6"/>
      <c r="S895" s="6"/>
      <c r="T895" s="6"/>
    </row>
    <row r="896" spans="1:20">
      <c r="A896" s="6" t="s">
        <v>1043</v>
      </c>
      <c r="B896" s="6" t="s">
        <v>66</v>
      </c>
      <c r="C896" s="6" t="s">
        <v>99</v>
      </c>
      <c r="D896" s="6" t="s">
        <v>319</v>
      </c>
      <c r="E896" s="6" t="s">
        <v>120</v>
      </c>
      <c r="F896" s="7">
        <v>76</v>
      </c>
      <c r="G896" s="7">
        <v>9500</v>
      </c>
      <c r="H896" s="16">
        <v>45287</v>
      </c>
      <c r="I896" s="6">
        <v>52</v>
      </c>
      <c r="J896" s="6" t="s">
        <v>121</v>
      </c>
      <c r="K896" s="6" t="s">
        <v>347</v>
      </c>
      <c r="L896" s="11">
        <f>F896*Controls!$B$6</f>
        <v>76</v>
      </c>
      <c r="M896" s="11">
        <f>G896*Controls!$B$6</f>
        <v>9500</v>
      </c>
      <c r="N896" s="12">
        <f>IF(L896=0,0,SUMIFS('PSI Plan'!$N$6:$N$173,'PSI Plan'!$B$6:$B$173,B896,'PSI Plan'!$C$6:$C$173,I896))</f>
        <v>0</v>
      </c>
      <c r="O896" s="11">
        <f t="shared" si="26"/>
        <v>0</v>
      </c>
      <c r="P896" s="11">
        <f t="shared" si="27"/>
        <v>0</v>
      </c>
      <c r="Q896" s="6"/>
      <c r="R896" s="6"/>
      <c r="S896" s="6"/>
      <c r="T896" s="6"/>
    </row>
    <row r="897" spans="1:20">
      <c r="A897" s="6" t="s">
        <v>1044</v>
      </c>
      <c r="B897" s="6" t="s">
        <v>77</v>
      </c>
      <c r="C897" s="6" t="s">
        <v>99</v>
      </c>
      <c r="D897" s="6" t="s">
        <v>319</v>
      </c>
      <c r="E897" s="6" t="s">
        <v>120</v>
      </c>
      <c r="F897" s="7">
        <v>104</v>
      </c>
      <c r="G897" s="7">
        <v>13000</v>
      </c>
      <c r="H897" s="16">
        <v>45261</v>
      </c>
      <c r="I897" s="6">
        <v>48</v>
      </c>
      <c r="J897" s="6" t="s">
        <v>121</v>
      </c>
      <c r="K897" s="6" t="s">
        <v>347</v>
      </c>
      <c r="L897" s="11">
        <f>F897*Controls!$B$6</f>
        <v>104</v>
      </c>
      <c r="M897" s="11">
        <f>G897*Controls!$B$6</f>
        <v>13000</v>
      </c>
      <c r="N897" s="12">
        <f>IF(L897=0,0,SUMIFS('PSI Plan'!$N$6:$N$173,'PSI Plan'!$B$6:$B$173,B897,'PSI Plan'!$C$6:$C$173,I897))</f>
        <v>0</v>
      </c>
      <c r="O897" s="11">
        <f t="shared" si="26"/>
        <v>0</v>
      </c>
      <c r="P897" s="11">
        <f t="shared" si="27"/>
        <v>0</v>
      </c>
      <c r="Q897" s="6"/>
      <c r="R897" s="6"/>
      <c r="S897" s="6"/>
      <c r="T897" s="6"/>
    </row>
    <row r="898" spans="1:20">
      <c r="A898" s="6" t="s">
        <v>1045</v>
      </c>
      <c r="B898" s="6" t="s">
        <v>69</v>
      </c>
      <c r="C898" s="6" t="s">
        <v>99</v>
      </c>
      <c r="D898" s="6" t="s">
        <v>319</v>
      </c>
      <c r="E898" s="6" t="s">
        <v>120</v>
      </c>
      <c r="F898" s="7">
        <v>104</v>
      </c>
      <c r="G898" s="7">
        <v>13000</v>
      </c>
      <c r="H898" s="16">
        <v>45267</v>
      </c>
      <c r="I898" s="6">
        <v>49</v>
      </c>
      <c r="J898" s="6" t="s">
        <v>121</v>
      </c>
      <c r="K898" s="6" t="s">
        <v>347</v>
      </c>
      <c r="L898" s="11">
        <f>F898*Controls!$B$6</f>
        <v>104</v>
      </c>
      <c r="M898" s="11">
        <f>G898*Controls!$B$6</f>
        <v>13000</v>
      </c>
      <c r="N898" s="12">
        <f>IF(L898=0,0,SUMIFS('PSI Plan'!$N$6:$N$173,'PSI Plan'!$B$6:$B$173,B898,'PSI Plan'!$C$6:$C$173,I898))</f>
        <v>0</v>
      </c>
      <c r="O898" s="11">
        <f t="shared" ref="O898:O961" si="28">L898*N898</f>
        <v>0</v>
      </c>
      <c r="P898" s="11">
        <f t="shared" ref="P898:P961" si="29">M898*N898</f>
        <v>0</v>
      </c>
      <c r="Q898" s="6"/>
      <c r="R898" s="6"/>
      <c r="S898" s="6"/>
      <c r="T898" s="6"/>
    </row>
    <row r="899" spans="1:20">
      <c r="A899" s="6" t="s">
        <v>1046</v>
      </c>
      <c r="B899" s="6" t="s">
        <v>66</v>
      </c>
      <c r="C899" s="6" t="s">
        <v>99</v>
      </c>
      <c r="D899" s="6" t="s">
        <v>319</v>
      </c>
      <c r="E899" s="6" t="s">
        <v>120</v>
      </c>
      <c r="F899" s="7">
        <v>52</v>
      </c>
      <c r="G899" s="7">
        <v>6500</v>
      </c>
      <c r="H899" s="16">
        <v>45255</v>
      </c>
      <c r="I899" s="6">
        <v>47</v>
      </c>
      <c r="J899" s="6" t="s">
        <v>121</v>
      </c>
      <c r="K899" s="6" t="s">
        <v>347</v>
      </c>
      <c r="L899" s="11">
        <f>F899*Controls!$B$6</f>
        <v>52</v>
      </c>
      <c r="M899" s="11">
        <f>G899*Controls!$B$6</f>
        <v>6500</v>
      </c>
      <c r="N899" s="12">
        <f>IF(L899=0,0,SUMIFS('PSI Plan'!$N$6:$N$173,'PSI Plan'!$B$6:$B$173,B899,'PSI Plan'!$C$6:$C$173,I899))</f>
        <v>0</v>
      </c>
      <c r="O899" s="11">
        <f t="shared" si="28"/>
        <v>0</v>
      </c>
      <c r="P899" s="11">
        <f t="shared" si="29"/>
        <v>0</v>
      </c>
      <c r="Q899" s="6"/>
      <c r="R899" s="6"/>
      <c r="S899" s="6"/>
      <c r="T899" s="6"/>
    </row>
    <row r="900" spans="1:20">
      <c r="A900" s="6" t="s">
        <v>1047</v>
      </c>
      <c r="B900" s="6" t="s">
        <v>77</v>
      </c>
      <c r="C900" s="6" t="s">
        <v>99</v>
      </c>
      <c r="D900" s="6" t="s">
        <v>319</v>
      </c>
      <c r="E900" s="6" t="s">
        <v>120</v>
      </c>
      <c r="F900" s="7">
        <v>52</v>
      </c>
      <c r="G900" s="7">
        <v>6500</v>
      </c>
      <c r="H900" s="16">
        <v>45220</v>
      </c>
      <c r="I900" s="6">
        <v>42</v>
      </c>
      <c r="J900" s="6" t="s">
        <v>121</v>
      </c>
      <c r="K900" s="6" t="s">
        <v>347</v>
      </c>
      <c r="L900" s="11">
        <f>F900*Controls!$B$6</f>
        <v>52</v>
      </c>
      <c r="M900" s="11">
        <f>G900*Controls!$B$6</f>
        <v>6500</v>
      </c>
      <c r="N900" s="12">
        <f>IF(L900=0,0,SUMIFS('PSI Plan'!$N$6:$N$173,'PSI Plan'!$B$6:$B$173,B900,'PSI Plan'!$C$6:$C$173,I900))</f>
        <v>0</v>
      </c>
      <c r="O900" s="11">
        <f t="shared" si="28"/>
        <v>0</v>
      </c>
      <c r="P900" s="11">
        <f t="shared" si="29"/>
        <v>0</v>
      </c>
      <c r="Q900" s="6"/>
      <c r="R900" s="6"/>
      <c r="S900" s="6"/>
      <c r="T900" s="6"/>
    </row>
    <row r="901" spans="1:20">
      <c r="A901" s="6" t="s">
        <v>1048</v>
      </c>
      <c r="B901" s="6" t="s">
        <v>76</v>
      </c>
      <c r="C901" s="6" t="s">
        <v>99</v>
      </c>
      <c r="D901" s="6" t="s">
        <v>319</v>
      </c>
      <c r="E901" s="6" t="s">
        <v>120</v>
      </c>
      <c r="F901" s="7">
        <v>1</v>
      </c>
      <c r="G901" s="7">
        <v>125</v>
      </c>
      <c r="H901" s="16">
        <v>45224</v>
      </c>
      <c r="I901" s="6">
        <v>43</v>
      </c>
      <c r="J901" s="6" t="s">
        <v>121</v>
      </c>
      <c r="K901" s="6" t="s">
        <v>347</v>
      </c>
      <c r="L901" s="11">
        <f>F901*Controls!$B$6</f>
        <v>1</v>
      </c>
      <c r="M901" s="11">
        <f>G901*Controls!$B$6</f>
        <v>125</v>
      </c>
      <c r="N901" s="12">
        <f>IF(L901=0,0,SUMIFS('PSI Plan'!$N$6:$N$173,'PSI Plan'!$B$6:$B$173,B901,'PSI Plan'!$C$6:$C$173,I901))</f>
        <v>0</v>
      </c>
      <c r="O901" s="11">
        <f t="shared" si="28"/>
        <v>0</v>
      </c>
      <c r="P901" s="11">
        <f t="shared" si="29"/>
        <v>0</v>
      </c>
      <c r="Q901" s="6"/>
      <c r="R901" s="6"/>
      <c r="S901" s="6"/>
      <c r="T901" s="6"/>
    </row>
    <row r="902" spans="1:20">
      <c r="A902" s="6" t="s">
        <v>1049</v>
      </c>
      <c r="B902" s="6" t="s">
        <v>69</v>
      </c>
      <c r="C902" s="6" t="s">
        <v>99</v>
      </c>
      <c r="D902" s="6" t="s">
        <v>319</v>
      </c>
      <c r="E902" s="6" t="s">
        <v>120</v>
      </c>
      <c r="F902" s="7">
        <v>76</v>
      </c>
      <c r="G902" s="7">
        <v>9500</v>
      </c>
      <c r="H902" s="16">
        <v>45270</v>
      </c>
      <c r="I902" s="6">
        <v>50</v>
      </c>
      <c r="J902" s="6" t="s">
        <v>121</v>
      </c>
      <c r="K902" s="6" t="s">
        <v>347</v>
      </c>
      <c r="L902" s="11">
        <f>F902*Controls!$B$6</f>
        <v>76</v>
      </c>
      <c r="M902" s="11">
        <f>G902*Controls!$B$6</f>
        <v>9500</v>
      </c>
      <c r="N902" s="12">
        <f>IF(L902=0,0,SUMIFS('PSI Plan'!$N$6:$N$173,'PSI Plan'!$B$6:$B$173,B902,'PSI Plan'!$C$6:$C$173,I902))</f>
        <v>0</v>
      </c>
      <c r="O902" s="11">
        <f t="shared" si="28"/>
        <v>0</v>
      </c>
      <c r="P902" s="11">
        <f t="shared" si="29"/>
        <v>0</v>
      </c>
      <c r="Q902" s="6"/>
      <c r="R902" s="6"/>
      <c r="S902" s="6"/>
      <c r="T902" s="6"/>
    </row>
    <row r="903" spans="1:20">
      <c r="A903" s="6" t="s">
        <v>1050</v>
      </c>
      <c r="B903" s="6" t="s">
        <v>77</v>
      </c>
      <c r="C903" s="6" t="s">
        <v>99</v>
      </c>
      <c r="D903" s="6" t="s">
        <v>319</v>
      </c>
      <c r="E903" s="6" t="s">
        <v>120</v>
      </c>
      <c r="F903" s="7">
        <v>52</v>
      </c>
      <c r="G903" s="7">
        <v>6500</v>
      </c>
      <c r="H903" s="16">
        <v>45250</v>
      </c>
      <c r="I903" s="6">
        <v>47</v>
      </c>
      <c r="J903" s="6" t="s">
        <v>121</v>
      </c>
      <c r="K903" s="6" t="s">
        <v>344</v>
      </c>
      <c r="L903" s="11">
        <f>F903*Controls!$B$6</f>
        <v>52</v>
      </c>
      <c r="M903" s="11">
        <f>G903*Controls!$B$6</f>
        <v>6500</v>
      </c>
      <c r="N903" s="12">
        <f>IF(L903=0,0,SUMIFS('PSI Plan'!$N$6:$N$173,'PSI Plan'!$B$6:$B$173,B903,'PSI Plan'!$C$6:$C$173,I903))</f>
        <v>0</v>
      </c>
      <c r="O903" s="11">
        <f t="shared" si="28"/>
        <v>0</v>
      </c>
      <c r="P903" s="11">
        <f t="shared" si="29"/>
        <v>0</v>
      </c>
      <c r="Q903" s="6"/>
      <c r="R903" s="6"/>
      <c r="S903" s="6"/>
      <c r="T903" s="6"/>
    </row>
    <row r="904" spans="1:20">
      <c r="A904" s="6" t="s">
        <v>1051</v>
      </c>
      <c r="B904" s="6" t="s">
        <v>69</v>
      </c>
      <c r="C904" s="6" t="s">
        <v>99</v>
      </c>
      <c r="D904" s="6" t="s">
        <v>319</v>
      </c>
      <c r="E904" s="6" t="s">
        <v>120</v>
      </c>
      <c r="F904" s="7">
        <v>104</v>
      </c>
      <c r="G904" s="7">
        <v>13000</v>
      </c>
      <c r="H904" s="16">
        <v>45275</v>
      </c>
      <c r="I904" s="6">
        <v>50</v>
      </c>
      <c r="J904" s="6" t="s">
        <v>121</v>
      </c>
      <c r="K904" s="6" t="s">
        <v>344</v>
      </c>
      <c r="L904" s="11">
        <f>F904*Controls!$B$6</f>
        <v>104</v>
      </c>
      <c r="M904" s="11">
        <f>G904*Controls!$B$6</f>
        <v>13000</v>
      </c>
      <c r="N904" s="12">
        <f>IF(L904=0,0,SUMIFS('PSI Plan'!$N$6:$N$173,'PSI Plan'!$B$6:$B$173,B904,'PSI Plan'!$C$6:$C$173,I904))</f>
        <v>0</v>
      </c>
      <c r="O904" s="11">
        <f t="shared" si="28"/>
        <v>0</v>
      </c>
      <c r="P904" s="11">
        <f t="shared" si="29"/>
        <v>0</v>
      </c>
      <c r="Q904" s="6"/>
      <c r="R904" s="6"/>
      <c r="S904" s="6"/>
      <c r="T904" s="6"/>
    </row>
    <row r="905" spans="1:20">
      <c r="A905" s="6" t="s">
        <v>1052</v>
      </c>
      <c r="B905" s="6" t="s">
        <v>69</v>
      </c>
      <c r="C905" s="6" t="s">
        <v>90</v>
      </c>
      <c r="D905" s="6" t="s">
        <v>119</v>
      </c>
      <c r="E905" s="6" t="s">
        <v>120</v>
      </c>
      <c r="F905" s="7">
        <v>26</v>
      </c>
      <c r="G905" s="7">
        <v>3250</v>
      </c>
      <c r="H905" s="16">
        <v>45279</v>
      </c>
      <c r="I905" s="6">
        <v>51</v>
      </c>
      <c r="J905" s="6" t="s">
        <v>121</v>
      </c>
      <c r="K905" s="6" t="s">
        <v>855</v>
      </c>
      <c r="L905" s="11">
        <f>F905*Controls!$B$6</f>
        <v>26</v>
      </c>
      <c r="M905" s="11">
        <f>G905*Controls!$B$6</f>
        <v>3250</v>
      </c>
      <c r="N905" s="12">
        <f>IF(L905=0,0,SUMIFS('PSI Plan'!$N$6:$N$173,'PSI Plan'!$B$6:$B$173,B905,'PSI Plan'!$C$6:$C$173,I905))</f>
        <v>0</v>
      </c>
      <c r="O905" s="11">
        <f t="shared" si="28"/>
        <v>0</v>
      </c>
      <c r="P905" s="11">
        <f t="shared" si="29"/>
        <v>0</v>
      </c>
      <c r="Q905" s="6"/>
      <c r="R905" s="6"/>
      <c r="S905" s="6"/>
      <c r="T905" s="6"/>
    </row>
    <row r="906" spans="1:20">
      <c r="A906" s="6" t="s">
        <v>1053</v>
      </c>
      <c r="B906" s="6" t="s">
        <v>67</v>
      </c>
      <c r="C906" s="6" t="s">
        <v>90</v>
      </c>
      <c r="D906" s="6" t="s">
        <v>119</v>
      </c>
      <c r="E906" s="6" t="s">
        <v>120</v>
      </c>
      <c r="F906" s="7">
        <v>16</v>
      </c>
      <c r="G906" s="7">
        <v>2000</v>
      </c>
      <c r="H906" s="16">
        <v>45274</v>
      </c>
      <c r="I906" s="6">
        <v>50</v>
      </c>
      <c r="J906" s="6" t="s">
        <v>121</v>
      </c>
      <c r="K906" s="6" t="s">
        <v>171</v>
      </c>
      <c r="L906" s="11">
        <f>F906*Controls!$B$6</f>
        <v>16</v>
      </c>
      <c r="M906" s="11">
        <f>G906*Controls!$B$6</f>
        <v>2000</v>
      </c>
      <c r="N906" s="12">
        <f>IF(L906=0,0,SUMIFS('PSI Plan'!$N$6:$N$173,'PSI Plan'!$B$6:$B$173,B906,'PSI Plan'!$C$6:$C$173,I906))</f>
        <v>0</v>
      </c>
      <c r="O906" s="11">
        <f t="shared" si="28"/>
        <v>0</v>
      </c>
      <c r="P906" s="11">
        <f t="shared" si="29"/>
        <v>0</v>
      </c>
      <c r="Q906" s="6"/>
      <c r="R906" s="6"/>
      <c r="S906" s="6"/>
      <c r="T906" s="6"/>
    </row>
    <row r="907" spans="1:20">
      <c r="A907" s="6" t="s">
        <v>1054</v>
      </c>
      <c r="B907" s="6" t="s">
        <v>66</v>
      </c>
      <c r="C907" s="6" t="s">
        <v>90</v>
      </c>
      <c r="D907" s="6" t="s">
        <v>119</v>
      </c>
      <c r="E907" s="6" t="s">
        <v>120</v>
      </c>
      <c r="F907" s="7">
        <v>26</v>
      </c>
      <c r="G907" s="7">
        <v>3250</v>
      </c>
      <c r="H907" s="16">
        <v>45243</v>
      </c>
      <c r="I907" s="6">
        <v>46</v>
      </c>
      <c r="J907" s="6" t="s">
        <v>121</v>
      </c>
      <c r="K907" s="6" t="s">
        <v>139</v>
      </c>
      <c r="L907" s="11">
        <f>F907*Controls!$B$6</f>
        <v>26</v>
      </c>
      <c r="M907" s="11">
        <f>G907*Controls!$B$6</f>
        <v>3250</v>
      </c>
      <c r="N907" s="12">
        <f>IF(L907=0,0,SUMIFS('PSI Plan'!$N$6:$N$173,'PSI Plan'!$B$6:$B$173,B907,'PSI Plan'!$C$6:$C$173,I907))</f>
        <v>0</v>
      </c>
      <c r="O907" s="11">
        <f t="shared" si="28"/>
        <v>0</v>
      </c>
      <c r="P907" s="11">
        <f t="shared" si="29"/>
        <v>0</v>
      </c>
      <c r="Q907" s="6"/>
      <c r="R907" s="6"/>
      <c r="S907" s="6"/>
      <c r="T907" s="6"/>
    </row>
    <row r="908" spans="1:20">
      <c r="A908" s="6" t="s">
        <v>1055</v>
      </c>
      <c r="B908" s="6" t="s">
        <v>77</v>
      </c>
      <c r="C908" s="6" t="s">
        <v>90</v>
      </c>
      <c r="D908" s="6" t="s">
        <v>119</v>
      </c>
      <c r="E908" s="6" t="s">
        <v>120</v>
      </c>
      <c r="F908" s="7">
        <v>26</v>
      </c>
      <c r="G908" s="7">
        <v>3250</v>
      </c>
      <c r="H908" s="16">
        <v>45251</v>
      </c>
      <c r="I908" s="6">
        <v>47</v>
      </c>
      <c r="J908" s="6" t="s">
        <v>121</v>
      </c>
      <c r="K908" s="6" t="s">
        <v>139</v>
      </c>
      <c r="L908" s="11">
        <f>F908*Controls!$B$6</f>
        <v>26</v>
      </c>
      <c r="M908" s="11">
        <f>G908*Controls!$B$6</f>
        <v>3250</v>
      </c>
      <c r="N908" s="12">
        <f>IF(L908=0,0,SUMIFS('PSI Plan'!$N$6:$N$173,'PSI Plan'!$B$6:$B$173,B908,'PSI Plan'!$C$6:$C$173,I908))</f>
        <v>0</v>
      </c>
      <c r="O908" s="11">
        <f t="shared" si="28"/>
        <v>0</v>
      </c>
      <c r="P908" s="11">
        <f t="shared" si="29"/>
        <v>0</v>
      </c>
      <c r="Q908" s="6"/>
      <c r="R908" s="6"/>
      <c r="S908" s="6"/>
      <c r="T908" s="6"/>
    </row>
    <row r="909" spans="1:20">
      <c r="A909" s="6" t="s">
        <v>1056</v>
      </c>
      <c r="B909" s="6" t="s">
        <v>69</v>
      </c>
      <c r="C909" s="6" t="s">
        <v>90</v>
      </c>
      <c r="D909" s="6" t="s">
        <v>119</v>
      </c>
      <c r="E909" s="6" t="s">
        <v>120</v>
      </c>
      <c r="F909" s="7">
        <v>26</v>
      </c>
      <c r="G909" s="7">
        <v>3250</v>
      </c>
      <c r="H909" s="16">
        <v>45258</v>
      </c>
      <c r="I909" s="6">
        <v>48</v>
      </c>
      <c r="J909" s="6" t="s">
        <v>121</v>
      </c>
      <c r="K909" s="6" t="s">
        <v>139</v>
      </c>
      <c r="L909" s="11">
        <f>F909*Controls!$B$6</f>
        <v>26</v>
      </c>
      <c r="M909" s="11">
        <f>G909*Controls!$B$6</f>
        <v>3250</v>
      </c>
      <c r="N909" s="12">
        <f>IF(L909=0,0,SUMIFS('PSI Plan'!$N$6:$N$173,'PSI Plan'!$B$6:$B$173,B909,'PSI Plan'!$C$6:$C$173,I909))</f>
        <v>0</v>
      </c>
      <c r="O909" s="11">
        <f t="shared" si="28"/>
        <v>0</v>
      </c>
      <c r="P909" s="11">
        <f t="shared" si="29"/>
        <v>0</v>
      </c>
      <c r="Q909" s="6"/>
      <c r="R909" s="6"/>
      <c r="S909" s="6"/>
      <c r="T909" s="6"/>
    </row>
    <row r="910" spans="1:20">
      <c r="A910" s="6" t="s">
        <v>1057</v>
      </c>
      <c r="B910" s="6" t="s">
        <v>66</v>
      </c>
      <c r="C910" s="6" t="s">
        <v>90</v>
      </c>
      <c r="D910" s="6" t="s">
        <v>119</v>
      </c>
      <c r="E910" s="6" t="s">
        <v>120</v>
      </c>
      <c r="F910" s="7">
        <v>78</v>
      </c>
      <c r="G910" s="7">
        <v>9750</v>
      </c>
      <c r="H910" s="16">
        <v>45275</v>
      </c>
      <c r="I910" s="6">
        <v>50</v>
      </c>
      <c r="J910" s="6" t="s">
        <v>121</v>
      </c>
      <c r="K910" s="6" t="s">
        <v>135</v>
      </c>
      <c r="L910" s="11">
        <f>F910*Controls!$B$6</f>
        <v>78</v>
      </c>
      <c r="M910" s="11">
        <f>G910*Controls!$B$6</f>
        <v>9750</v>
      </c>
      <c r="N910" s="12">
        <f>IF(L910=0,0,SUMIFS('PSI Plan'!$N$6:$N$173,'PSI Plan'!$B$6:$B$173,B910,'PSI Plan'!$C$6:$C$173,I910))</f>
        <v>0</v>
      </c>
      <c r="O910" s="11">
        <f t="shared" si="28"/>
        <v>0</v>
      </c>
      <c r="P910" s="11">
        <f t="shared" si="29"/>
        <v>0</v>
      </c>
      <c r="Q910" s="6"/>
      <c r="R910" s="6"/>
      <c r="S910" s="6"/>
      <c r="T910" s="6"/>
    </row>
    <row r="911" spans="1:20">
      <c r="A911" s="6" t="s">
        <v>1058</v>
      </c>
      <c r="B911" s="6" t="s">
        <v>77</v>
      </c>
      <c r="C911" s="6" t="s">
        <v>90</v>
      </c>
      <c r="D911" s="6" t="s">
        <v>119</v>
      </c>
      <c r="E911" s="6" t="s">
        <v>120</v>
      </c>
      <c r="F911" s="7">
        <v>104</v>
      </c>
      <c r="G911" s="7">
        <v>13000</v>
      </c>
      <c r="H911" s="16">
        <v>45271</v>
      </c>
      <c r="I911" s="6">
        <v>50</v>
      </c>
      <c r="J911" s="6" t="s">
        <v>121</v>
      </c>
      <c r="K911" s="6" t="s">
        <v>135</v>
      </c>
      <c r="L911" s="11">
        <f>F911*Controls!$B$6</f>
        <v>104</v>
      </c>
      <c r="M911" s="11">
        <f>G911*Controls!$B$6</f>
        <v>13000</v>
      </c>
      <c r="N911" s="12">
        <f>IF(L911=0,0,SUMIFS('PSI Plan'!$N$6:$N$173,'PSI Plan'!$B$6:$B$173,B911,'PSI Plan'!$C$6:$C$173,I911))</f>
        <v>0</v>
      </c>
      <c r="O911" s="11">
        <f t="shared" si="28"/>
        <v>0</v>
      </c>
      <c r="P911" s="11">
        <f t="shared" si="29"/>
        <v>0</v>
      </c>
      <c r="Q911" s="6"/>
      <c r="R911" s="6"/>
      <c r="S911" s="6"/>
      <c r="T911" s="6"/>
    </row>
    <row r="912" spans="1:20">
      <c r="A912" s="6" t="s">
        <v>1059</v>
      </c>
      <c r="B912" s="6" t="s">
        <v>69</v>
      </c>
      <c r="C912" s="6" t="s">
        <v>90</v>
      </c>
      <c r="D912" s="6" t="s">
        <v>119</v>
      </c>
      <c r="E912" s="6" t="s">
        <v>120</v>
      </c>
      <c r="F912" s="7">
        <v>104</v>
      </c>
      <c r="G912" s="7">
        <v>13000</v>
      </c>
      <c r="H912" s="16">
        <v>45217</v>
      </c>
      <c r="I912" s="6">
        <v>42</v>
      </c>
      <c r="J912" s="6" t="s">
        <v>121</v>
      </c>
      <c r="K912" s="6" t="s">
        <v>135</v>
      </c>
      <c r="L912" s="11">
        <f>F912*Controls!$B$6</f>
        <v>104</v>
      </c>
      <c r="M912" s="11">
        <f>G912*Controls!$B$6</f>
        <v>13000</v>
      </c>
      <c r="N912" s="12">
        <f>IF(L912=0,0,SUMIFS('PSI Plan'!$N$6:$N$173,'PSI Plan'!$B$6:$B$173,B912,'PSI Plan'!$C$6:$C$173,I912))</f>
        <v>0</v>
      </c>
      <c r="O912" s="11">
        <f t="shared" si="28"/>
        <v>0</v>
      </c>
      <c r="P912" s="11">
        <f t="shared" si="29"/>
        <v>0</v>
      </c>
      <c r="Q912" s="6"/>
      <c r="R912" s="6"/>
      <c r="S912" s="6"/>
      <c r="T912" s="6"/>
    </row>
    <row r="913" spans="1:20">
      <c r="A913" s="6" t="s">
        <v>1060</v>
      </c>
      <c r="B913" s="6" t="s">
        <v>66</v>
      </c>
      <c r="C913" s="6" t="s">
        <v>99</v>
      </c>
      <c r="D913" s="6" t="s">
        <v>319</v>
      </c>
      <c r="E913" s="6" t="s">
        <v>120</v>
      </c>
      <c r="F913" s="7">
        <v>45</v>
      </c>
      <c r="G913" s="7">
        <v>5625</v>
      </c>
      <c r="H913" s="16">
        <v>45228</v>
      </c>
      <c r="I913" s="6">
        <v>44</v>
      </c>
      <c r="J913" s="6" t="s">
        <v>121</v>
      </c>
      <c r="K913" s="6" t="s">
        <v>459</v>
      </c>
      <c r="L913" s="11">
        <f>F913*Controls!$B$6</f>
        <v>45</v>
      </c>
      <c r="M913" s="11">
        <f>G913*Controls!$B$6</f>
        <v>5625</v>
      </c>
      <c r="N913" s="12">
        <f>IF(L913=0,0,SUMIFS('PSI Plan'!$N$6:$N$173,'PSI Plan'!$B$6:$B$173,B913,'PSI Plan'!$C$6:$C$173,I913))</f>
        <v>0</v>
      </c>
      <c r="O913" s="11">
        <f t="shared" si="28"/>
        <v>0</v>
      </c>
      <c r="P913" s="11">
        <f t="shared" si="29"/>
        <v>0</v>
      </c>
      <c r="Q913" s="6"/>
      <c r="R913" s="6"/>
      <c r="S913" s="6"/>
      <c r="T913" s="6"/>
    </row>
    <row r="914" spans="1:20">
      <c r="A914" s="6" t="s">
        <v>1061</v>
      </c>
      <c r="B914" s="6" t="s">
        <v>77</v>
      </c>
      <c r="C914" s="6" t="s">
        <v>99</v>
      </c>
      <c r="D914" s="6" t="s">
        <v>319</v>
      </c>
      <c r="E914" s="6" t="s">
        <v>120</v>
      </c>
      <c r="F914" s="7">
        <v>38</v>
      </c>
      <c r="G914" s="7">
        <v>4750</v>
      </c>
      <c r="H914" s="16">
        <v>45249</v>
      </c>
      <c r="I914" s="6">
        <v>47</v>
      </c>
      <c r="J914" s="6" t="s">
        <v>121</v>
      </c>
      <c r="K914" s="6" t="s">
        <v>459</v>
      </c>
      <c r="L914" s="11">
        <f>F914*Controls!$B$6</f>
        <v>38</v>
      </c>
      <c r="M914" s="11">
        <f>G914*Controls!$B$6</f>
        <v>4750</v>
      </c>
      <c r="N914" s="12">
        <f>IF(L914=0,0,SUMIFS('PSI Plan'!$N$6:$N$173,'PSI Plan'!$B$6:$B$173,B914,'PSI Plan'!$C$6:$C$173,I914))</f>
        <v>0</v>
      </c>
      <c r="O914" s="11">
        <f t="shared" si="28"/>
        <v>0</v>
      </c>
      <c r="P914" s="11">
        <f t="shared" si="29"/>
        <v>0</v>
      </c>
      <c r="Q914" s="6"/>
      <c r="R914" s="6"/>
      <c r="S914" s="6"/>
      <c r="T914" s="6"/>
    </row>
    <row r="915" spans="1:20">
      <c r="A915" s="6" t="s">
        <v>1062</v>
      </c>
      <c r="B915" s="6" t="s">
        <v>69</v>
      </c>
      <c r="C915" s="6" t="s">
        <v>99</v>
      </c>
      <c r="D915" s="6" t="s">
        <v>319</v>
      </c>
      <c r="E915" s="6" t="s">
        <v>120</v>
      </c>
      <c r="F915" s="7">
        <v>31</v>
      </c>
      <c r="G915" s="7">
        <v>3875</v>
      </c>
      <c r="H915" s="16">
        <v>45277</v>
      </c>
      <c r="I915" s="6">
        <v>51</v>
      </c>
      <c r="J915" s="6" t="s">
        <v>121</v>
      </c>
      <c r="K915" s="6" t="s">
        <v>459</v>
      </c>
      <c r="L915" s="11">
        <f>F915*Controls!$B$6</f>
        <v>31</v>
      </c>
      <c r="M915" s="11">
        <f>G915*Controls!$B$6</f>
        <v>3875</v>
      </c>
      <c r="N915" s="12">
        <f>IF(L915=0,0,SUMIFS('PSI Plan'!$N$6:$N$173,'PSI Plan'!$B$6:$B$173,B915,'PSI Plan'!$C$6:$C$173,I915))</f>
        <v>0</v>
      </c>
      <c r="O915" s="11">
        <f t="shared" si="28"/>
        <v>0</v>
      </c>
      <c r="P915" s="11">
        <f t="shared" si="29"/>
        <v>0</v>
      </c>
      <c r="Q915" s="6"/>
      <c r="R915" s="6"/>
      <c r="S915" s="6"/>
      <c r="T915" s="6"/>
    </row>
    <row r="916" spans="1:20">
      <c r="A916" s="6" t="s">
        <v>1063</v>
      </c>
      <c r="B916" s="6" t="s">
        <v>77</v>
      </c>
      <c r="C916" s="6" t="s">
        <v>99</v>
      </c>
      <c r="D916" s="6" t="s">
        <v>319</v>
      </c>
      <c r="E916" s="6" t="s">
        <v>120</v>
      </c>
      <c r="F916" s="7">
        <v>16</v>
      </c>
      <c r="G916" s="7">
        <v>2000</v>
      </c>
      <c r="H916" s="16">
        <v>45238</v>
      </c>
      <c r="I916" s="6">
        <v>45</v>
      </c>
      <c r="J916" s="6" t="s">
        <v>121</v>
      </c>
      <c r="K916" s="6" t="s">
        <v>347</v>
      </c>
      <c r="L916" s="11">
        <f>F916*Controls!$B$6</f>
        <v>16</v>
      </c>
      <c r="M916" s="11">
        <f>G916*Controls!$B$6</f>
        <v>2000</v>
      </c>
      <c r="N916" s="12">
        <f>IF(L916=0,0,SUMIFS('PSI Plan'!$N$6:$N$173,'PSI Plan'!$B$6:$B$173,B916,'PSI Plan'!$C$6:$C$173,I916))</f>
        <v>0</v>
      </c>
      <c r="O916" s="11">
        <f t="shared" si="28"/>
        <v>0</v>
      </c>
      <c r="P916" s="11">
        <f t="shared" si="29"/>
        <v>0</v>
      </c>
      <c r="Q916" s="6"/>
      <c r="R916" s="6"/>
      <c r="S916" s="6"/>
      <c r="T916" s="6"/>
    </row>
    <row r="917" spans="1:20">
      <c r="A917" s="6" t="s">
        <v>1064</v>
      </c>
      <c r="B917" s="6" t="s">
        <v>76</v>
      </c>
      <c r="C917" s="6" t="s">
        <v>99</v>
      </c>
      <c r="D917" s="6" t="s">
        <v>319</v>
      </c>
      <c r="E917" s="6" t="s">
        <v>120</v>
      </c>
      <c r="F917" s="7">
        <v>18</v>
      </c>
      <c r="G917" s="7">
        <v>2250</v>
      </c>
      <c r="H917" s="16">
        <v>45216</v>
      </c>
      <c r="I917" s="6">
        <v>42</v>
      </c>
      <c r="J917" s="6" t="s">
        <v>121</v>
      </c>
      <c r="K917" s="6" t="s">
        <v>347</v>
      </c>
      <c r="L917" s="11">
        <f>F917*Controls!$B$6</f>
        <v>18</v>
      </c>
      <c r="M917" s="11">
        <f>G917*Controls!$B$6</f>
        <v>2250</v>
      </c>
      <c r="N917" s="12">
        <f>IF(L917=0,0,SUMIFS('PSI Plan'!$N$6:$N$173,'PSI Plan'!$B$6:$B$173,B917,'PSI Plan'!$C$6:$C$173,I917))</f>
        <v>0</v>
      </c>
      <c r="O917" s="11">
        <f t="shared" si="28"/>
        <v>0</v>
      </c>
      <c r="P917" s="11">
        <f t="shared" si="29"/>
        <v>0</v>
      </c>
      <c r="Q917" s="6"/>
      <c r="R917" s="6"/>
      <c r="S917" s="6"/>
      <c r="T917" s="6"/>
    </row>
    <row r="918" spans="1:20">
      <c r="A918" s="6" t="s">
        <v>1065</v>
      </c>
      <c r="B918" s="6" t="s">
        <v>69</v>
      </c>
      <c r="C918" s="6" t="s">
        <v>99</v>
      </c>
      <c r="D918" s="6" t="s">
        <v>319</v>
      </c>
      <c r="E918" s="6" t="s">
        <v>120</v>
      </c>
      <c r="F918" s="7">
        <v>52</v>
      </c>
      <c r="G918" s="7">
        <v>6500</v>
      </c>
      <c r="H918" s="16">
        <v>45260</v>
      </c>
      <c r="I918" s="6">
        <v>48</v>
      </c>
      <c r="J918" s="6" t="s">
        <v>121</v>
      </c>
      <c r="K918" s="6" t="s">
        <v>347</v>
      </c>
      <c r="L918" s="11">
        <f>F918*Controls!$B$6</f>
        <v>52</v>
      </c>
      <c r="M918" s="11">
        <f>G918*Controls!$B$6</f>
        <v>6500</v>
      </c>
      <c r="N918" s="12">
        <f>IF(L918=0,0,SUMIFS('PSI Plan'!$N$6:$N$173,'PSI Plan'!$B$6:$B$173,B918,'PSI Plan'!$C$6:$C$173,I918))</f>
        <v>0</v>
      </c>
      <c r="O918" s="11">
        <f t="shared" si="28"/>
        <v>0</v>
      </c>
      <c r="P918" s="11">
        <f t="shared" si="29"/>
        <v>0</v>
      </c>
      <c r="Q918" s="6"/>
      <c r="R918" s="6"/>
      <c r="S918" s="6"/>
      <c r="T918" s="6"/>
    </row>
    <row r="919" spans="1:20">
      <c r="A919" s="6" t="s">
        <v>1066</v>
      </c>
      <c r="B919" s="6" t="s">
        <v>77</v>
      </c>
      <c r="C919" s="6" t="s">
        <v>100</v>
      </c>
      <c r="D919" s="6" t="s">
        <v>567</v>
      </c>
      <c r="E919" s="6" t="s">
        <v>120</v>
      </c>
      <c r="F919" s="7">
        <v>5</v>
      </c>
      <c r="G919" s="7">
        <v>625</v>
      </c>
      <c r="H919" s="16">
        <v>45208</v>
      </c>
      <c r="I919" s="6">
        <v>41</v>
      </c>
      <c r="J919" s="6" t="s">
        <v>121</v>
      </c>
      <c r="K919" s="6" t="s">
        <v>781</v>
      </c>
      <c r="L919" s="11">
        <f>F919*Controls!$B$6</f>
        <v>5</v>
      </c>
      <c r="M919" s="11">
        <f>G919*Controls!$B$6</f>
        <v>625</v>
      </c>
      <c r="N919" s="12">
        <f>IF(L919=0,0,SUMIFS('PSI Plan'!$N$6:$N$173,'PSI Plan'!$B$6:$B$173,B919,'PSI Plan'!$C$6:$C$173,I919))</f>
        <v>0</v>
      </c>
      <c r="O919" s="11">
        <f t="shared" si="28"/>
        <v>0</v>
      </c>
      <c r="P919" s="11">
        <f t="shared" si="29"/>
        <v>0</v>
      </c>
      <c r="Q919" s="6"/>
      <c r="R919" s="6"/>
      <c r="S919" s="6"/>
      <c r="T919" s="6"/>
    </row>
    <row r="920" spans="1:20">
      <c r="A920" s="6" t="s">
        <v>1067</v>
      </c>
      <c r="B920" s="6" t="s">
        <v>76</v>
      </c>
      <c r="C920" s="6" t="s">
        <v>100</v>
      </c>
      <c r="D920" s="6" t="s">
        <v>567</v>
      </c>
      <c r="E920" s="6" t="s">
        <v>120</v>
      </c>
      <c r="F920" s="7">
        <v>6</v>
      </c>
      <c r="G920" s="7">
        <v>750</v>
      </c>
      <c r="H920" s="16">
        <v>45207</v>
      </c>
      <c r="I920" s="6">
        <v>41</v>
      </c>
      <c r="J920" s="6" t="s">
        <v>121</v>
      </c>
      <c r="K920" s="6" t="s">
        <v>781</v>
      </c>
      <c r="L920" s="11">
        <f>F920*Controls!$B$6</f>
        <v>6</v>
      </c>
      <c r="M920" s="11">
        <f>G920*Controls!$B$6</f>
        <v>750</v>
      </c>
      <c r="N920" s="12">
        <f>IF(L920=0,0,SUMIFS('PSI Plan'!$N$6:$N$173,'PSI Plan'!$B$6:$B$173,B920,'PSI Plan'!$C$6:$C$173,I920))</f>
        <v>0</v>
      </c>
      <c r="O920" s="11">
        <f t="shared" si="28"/>
        <v>0</v>
      </c>
      <c r="P920" s="11">
        <f t="shared" si="29"/>
        <v>0</v>
      </c>
      <c r="Q920" s="6"/>
      <c r="R920" s="6"/>
      <c r="S920" s="6"/>
      <c r="T920" s="6"/>
    </row>
    <row r="921" spans="1:20">
      <c r="A921" s="6" t="s">
        <v>1068</v>
      </c>
      <c r="B921" s="6" t="s">
        <v>67</v>
      </c>
      <c r="C921" s="6" t="s">
        <v>100</v>
      </c>
      <c r="D921" s="6" t="s">
        <v>567</v>
      </c>
      <c r="E921" s="6" t="s">
        <v>120</v>
      </c>
      <c r="F921" s="7">
        <v>5</v>
      </c>
      <c r="G921" s="7">
        <v>625</v>
      </c>
      <c r="H921" s="16">
        <v>45250</v>
      </c>
      <c r="I921" s="6">
        <v>47</v>
      </c>
      <c r="J921" s="6" t="s">
        <v>121</v>
      </c>
      <c r="K921" s="6" t="s">
        <v>781</v>
      </c>
      <c r="L921" s="11">
        <f>F921*Controls!$B$6</f>
        <v>5</v>
      </c>
      <c r="M921" s="11">
        <f>G921*Controls!$B$6</f>
        <v>625</v>
      </c>
      <c r="N921" s="12">
        <f>IF(L921=0,0,SUMIFS('PSI Plan'!$N$6:$N$173,'PSI Plan'!$B$6:$B$173,B921,'PSI Plan'!$C$6:$C$173,I921))</f>
        <v>0</v>
      </c>
      <c r="O921" s="11">
        <f t="shared" si="28"/>
        <v>0</v>
      </c>
      <c r="P921" s="11">
        <f t="shared" si="29"/>
        <v>0</v>
      </c>
      <c r="Q921" s="6"/>
      <c r="R921" s="6"/>
      <c r="S921" s="6"/>
      <c r="T921" s="6"/>
    </row>
    <row r="922" spans="1:20">
      <c r="A922" s="6" t="s">
        <v>1069</v>
      </c>
      <c r="B922" s="6" t="s">
        <v>69</v>
      </c>
      <c r="C922" s="6" t="s">
        <v>100</v>
      </c>
      <c r="D922" s="6" t="s">
        <v>567</v>
      </c>
      <c r="E922" s="6" t="s">
        <v>120</v>
      </c>
      <c r="F922" s="7">
        <v>2</v>
      </c>
      <c r="G922" s="7">
        <v>250</v>
      </c>
      <c r="H922" s="16">
        <v>45277</v>
      </c>
      <c r="I922" s="6">
        <v>51</v>
      </c>
      <c r="J922" s="6" t="s">
        <v>121</v>
      </c>
      <c r="K922" s="6" t="s">
        <v>781</v>
      </c>
      <c r="L922" s="11">
        <f>F922*Controls!$B$6</f>
        <v>2</v>
      </c>
      <c r="M922" s="11">
        <f>G922*Controls!$B$6</f>
        <v>250</v>
      </c>
      <c r="N922" s="12">
        <f>IF(L922=0,0,SUMIFS('PSI Plan'!$N$6:$N$173,'PSI Plan'!$B$6:$B$173,B922,'PSI Plan'!$C$6:$C$173,I922))</f>
        <v>0</v>
      </c>
      <c r="O922" s="11">
        <f t="shared" si="28"/>
        <v>0</v>
      </c>
      <c r="P922" s="11">
        <f t="shared" si="29"/>
        <v>0</v>
      </c>
      <c r="Q922" s="6"/>
      <c r="R922" s="6"/>
      <c r="S922" s="6"/>
      <c r="T922" s="6"/>
    </row>
    <row r="923" spans="1:20">
      <c r="A923" s="6" t="s">
        <v>1070</v>
      </c>
      <c r="B923" s="6" t="s">
        <v>66</v>
      </c>
      <c r="C923" s="6" t="s">
        <v>90</v>
      </c>
      <c r="D923" s="6" t="s">
        <v>119</v>
      </c>
      <c r="E923" s="6" t="s">
        <v>120</v>
      </c>
      <c r="F923" s="7">
        <v>16</v>
      </c>
      <c r="G923" s="7">
        <v>2000</v>
      </c>
      <c r="H923" s="16">
        <v>45217</v>
      </c>
      <c r="I923" s="6">
        <v>42</v>
      </c>
      <c r="J923" s="6" t="s">
        <v>121</v>
      </c>
      <c r="K923" s="6" t="s">
        <v>855</v>
      </c>
      <c r="L923" s="11">
        <f>F923*Controls!$B$6</f>
        <v>16</v>
      </c>
      <c r="M923" s="11">
        <f>G923*Controls!$B$6</f>
        <v>2000</v>
      </c>
      <c r="N923" s="12">
        <f>IF(L923=0,0,SUMIFS('PSI Plan'!$N$6:$N$173,'PSI Plan'!$B$6:$B$173,B923,'PSI Plan'!$C$6:$C$173,I923))</f>
        <v>0.59807073954983925</v>
      </c>
      <c r="O923" s="11">
        <f t="shared" si="28"/>
        <v>9.569131832797428</v>
      </c>
      <c r="P923" s="11">
        <f t="shared" si="29"/>
        <v>1196.1414790996785</v>
      </c>
      <c r="Q923" s="6"/>
      <c r="R923" s="6"/>
      <c r="S923" s="6"/>
      <c r="T923" s="6"/>
    </row>
    <row r="924" spans="1:20">
      <c r="A924" s="6" t="s">
        <v>1071</v>
      </c>
      <c r="B924" s="6" t="s">
        <v>77</v>
      </c>
      <c r="C924" s="6" t="s">
        <v>90</v>
      </c>
      <c r="D924" s="6" t="s">
        <v>119</v>
      </c>
      <c r="E924" s="6" t="s">
        <v>120</v>
      </c>
      <c r="F924" s="7">
        <v>26</v>
      </c>
      <c r="G924" s="7">
        <v>3250</v>
      </c>
      <c r="H924" s="16">
        <v>45207</v>
      </c>
      <c r="I924" s="6">
        <v>41</v>
      </c>
      <c r="J924" s="6" t="s">
        <v>121</v>
      </c>
      <c r="K924" s="6" t="s">
        <v>855</v>
      </c>
      <c r="L924" s="11">
        <f>F924*Controls!$B$6</f>
        <v>26</v>
      </c>
      <c r="M924" s="11">
        <f>G924*Controls!$B$6</f>
        <v>3250</v>
      </c>
      <c r="N924" s="12">
        <f>IF(L924=0,0,SUMIFS('PSI Plan'!$N$6:$N$173,'PSI Plan'!$B$6:$B$173,B924,'PSI Plan'!$C$6:$C$173,I924))</f>
        <v>0</v>
      </c>
      <c r="O924" s="11">
        <f t="shared" si="28"/>
        <v>0</v>
      </c>
      <c r="P924" s="11">
        <f t="shared" si="29"/>
        <v>0</v>
      </c>
      <c r="Q924" s="6"/>
      <c r="R924" s="6"/>
      <c r="S924" s="6"/>
      <c r="T924" s="6"/>
    </row>
    <row r="925" spans="1:20">
      <c r="A925" s="6" t="s">
        <v>1072</v>
      </c>
      <c r="B925" s="6" t="s">
        <v>76</v>
      </c>
      <c r="C925" s="6" t="s">
        <v>90</v>
      </c>
      <c r="D925" s="6" t="s">
        <v>119</v>
      </c>
      <c r="E925" s="6" t="s">
        <v>120</v>
      </c>
      <c r="F925" s="7">
        <v>26</v>
      </c>
      <c r="G925" s="7">
        <v>3250</v>
      </c>
      <c r="H925" s="16">
        <v>45247</v>
      </c>
      <c r="I925" s="6">
        <v>46</v>
      </c>
      <c r="J925" s="6" t="s">
        <v>121</v>
      </c>
      <c r="K925" s="6" t="s">
        <v>855</v>
      </c>
      <c r="L925" s="11">
        <f>F925*Controls!$B$6</f>
        <v>26</v>
      </c>
      <c r="M925" s="11">
        <f>G925*Controls!$B$6</f>
        <v>3250</v>
      </c>
      <c r="N925" s="12">
        <f>IF(L925=0,0,SUMIFS('PSI Plan'!$N$6:$N$173,'PSI Plan'!$B$6:$B$173,B925,'PSI Plan'!$C$6:$C$173,I925))</f>
        <v>0</v>
      </c>
      <c r="O925" s="11">
        <f t="shared" si="28"/>
        <v>0</v>
      </c>
      <c r="P925" s="11">
        <f t="shared" si="29"/>
        <v>0</v>
      </c>
      <c r="Q925" s="6"/>
      <c r="R925" s="6"/>
      <c r="S925" s="6"/>
      <c r="T925" s="6"/>
    </row>
    <row r="926" spans="1:20">
      <c r="A926" s="6" t="s">
        <v>1073</v>
      </c>
      <c r="B926" s="6" t="s">
        <v>77</v>
      </c>
      <c r="C926" s="6" t="s">
        <v>90</v>
      </c>
      <c r="D926" s="6" t="s">
        <v>119</v>
      </c>
      <c r="E926" s="6" t="s">
        <v>120</v>
      </c>
      <c r="F926" s="7">
        <v>52</v>
      </c>
      <c r="G926" s="7">
        <v>6500</v>
      </c>
      <c r="H926" s="16">
        <v>45288</v>
      </c>
      <c r="I926" s="6">
        <v>52</v>
      </c>
      <c r="J926" s="6" t="s">
        <v>121</v>
      </c>
      <c r="K926" s="6" t="s">
        <v>171</v>
      </c>
      <c r="L926" s="11">
        <f>F926*Controls!$B$6</f>
        <v>52</v>
      </c>
      <c r="M926" s="11">
        <f>G926*Controls!$B$6</f>
        <v>6500</v>
      </c>
      <c r="N926" s="12">
        <f>IF(L926=0,0,SUMIFS('PSI Plan'!$N$6:$N$173,'PSI Plan'!$B$6:$B$173,B926,'PSI Plan'!$C$6:$C$173,I926))</f>
        <v>0</v>
      </c>
      <c r="O926" s="11">
        <f t="shared" si="28"/>
        <v>0</v>
      </c>
      <c r="P926" s="11">
        <f t="shared" si="29"/>
        <v>0</v>
      </c>
      <c r="Q926" s="6"/>
      <c r="R926" s="6"/>
      <c r="S926" s="6"/>
      <c r="T926" s="6"/>
    </row>
    <row r="927" spans="1:20">
      <c r="A927" s="6" t="s">
        <v>1074</v>
      </c>
      <c r="B927" s="6" t="s">
        <v>69</v>
      </c>
      <c r="C927" s="6" t="s">
        <v>90</v>
      </c>
      <c r="D927" s="6" t="s">
        <v>119</v>
      </c>
      <c r="E927" s="6" t="s">
        <v>120</v>
      </c>
      <c r="F927" s="7">
        <v>52</v>
      </c>
      <c r="G927" s="7">
        <v>6500</v>
      </c>
      <c r="H927" s="16">
        <v>45219</v>
      </c>
      <c r="I927" s="6">
        <v>42</v>
      </c>
      <c r="J927" s="6" t="s">
        <v>121</v>
      </c>
      <c r="K927" s="6" t="s">
        <v>171</v>
      </c>
      <c r="L927" s="11">
        <f>F927*Controls!$B$6</f>
        <v>52</v>
      </c>
      <c r="M927" s="11">
        <f>G927*Controls!$B$6</f>
        <v>6500</v>
      </c>
      <c r="N927" s="12">
        <f>IF(L927=0,0,SUMIFS('PSI Plan'!$N$6:$N$173,'PSI Plan'!$B$6:$B$173,B927,'PSI Plan'!$C$6:$C$173,I927))</f>
        <v>0</v>
      </c>
      <c r="O927" s="11">
        <f t="shared" si="28"/>
        <v>0</v>
      </c>
      <c r="P927" s="11">
        <f t="shared" si="29"/>
        <v>0</v>
      </c>
      <c r="Q927" s="6"/>
      <c r="R927" s="6"/>
      <c r="S927" s="6"/>
      <c r="T927" s="6"/>
    </row>
    <row r="928" spans="1:20">
      <c r="A928" s="6" t="s">
        <v>1075</v>
      </c>
      <c r="B928" s="6" t="s">
        <v>77</v>
      </c>
      <c r="C928" s="6" t="s">
        <v>90</v>
      </c>
      <c r="D928" s="6" t="s">
        <v>119</v>
      </c>
      <c r="E928" s="6" t="s">
        <v>120</v>
      </c>
      <c r="F928" s="7">
        <v>2</v>
      </c>
      <c r="G928" s="7">
        <v>250</v>
      </c>
      <c r="H928" s="16">
        <v>45215</v>
      </c>
      <c r="I928" s="6">
        <v>42</v>
      </c>
      <c r="J928" s="6" t="s">
        <v>121</v>
      </c>
      <c r="K928" s="6" t="s">
        <v>132</v>
      </c>
      <c r="L928" s="11">
        <f>F928*Controls!$B$6</f>
        <v>2</v>
      </c>
      <c r="M928" s="11">
        <f>G928*Controls!$B$6</f>
        <v>250</v>
      </c>
      <c r="N928" s="12">
        <f>IF(L928=0,0,SUMIFS('PSI Plan'!$N$6:$N$173,'PSI Plan'!$B$6:$B$173,B928,'PSI Plan'!$C$6:$C$173,I928))</f>
        <v>0</v>
      </c>
      <c r="O928" s="11">
        <f t="shared" si="28"/>
        <v>0</v>
      </c>
      <c r="P928" s="11">
        <f t="shared" si="29"/>
        <v>0</v>
      </c>
      <c r="Q928" s="6"/>
      <c r="R928" s="6"/>
      <c r="S928" s="6"/>
      <c r="T928" s="6"/>
    </row>
    <row r="929" spans="1:20">
      <c r="A929" s="6" t="s">
        <v>1076</v>
      </c>
      <c r="B929" s="6" t="s">
        <v>69</v>
      </c>
      <c r="C929" s="6" t="s">
        <v>90</v>
      </c>
      <c r="D929" s="6" t="s">
        <v>119</v>
      </c>
      <c r="E929" s="6" t="s">
        <v>120</v>
      </c>
      <c r="F929" s="7">
        <v>5</v>
      </c>
      <c r="G929" s="7">
        <v>625</v>
      </c>
      <c r="H929" s="16">
        <v>45247</v>
      </c>
      <c r="I929" s="6">
        <v>46</v>
      </c>
      <c r="J929" s="6" t="s">
        <v>121</v>
      </c>
      <c r="K929" s="6" t="s">
        <v>132</v>
      </c>
      <c r="L929" s="11">
        <f>F929*Controls!$B$6</f>
        <v>5</v>
      </c>
      <c r="M929" s="11">
        <f>G929*Controls!$B$6</f>
        <v>625</v>
      </c>
      <c r="N929" s="12">
        <f>IF(L929=0,0,SUMIFS('PSI Plan'!$N$6:$N$173,'PSI Plan'!$B$6:$B$173,B929,'PSI Plan'!$C$6:$C$173,I929))</f>
        <v>0</v>
      </c>
      <c r="O929" s="11">
        <f t="shared" si="28"/>
        <v>0</v>
      </c>
      <c r="P929" s="11">
        <f t="shared" si="29"/>
        <v>0</v>
      </c>
      <c r="Q929" s="6"/>
      <c r="R929" s="6"/>
      <c r="S929" s="6"/>
      <c r="T929" s="6"/>
    </row>
    <row r="930" spans="1:20">
      <c r="A930" s="6" t="s">
        <v>1077</v>
      </c>
      <c r="B930" s="6" t="s">
        <v>66</v>
      </c>
      <c r="C930" s="6" t="s">
        <v>90</v>
      </c>
      <c r="D930" s="6" t="s">
        <v>119</v>
      </c>
      <c r="E930" s="6" t="s">
        <v>120</v>
      </c>
      <c r="F930" s="7">
        <v>52</v>
      </c>
      <c r="G930" s="7">
        <v>6500</v>
      </c>
      <c r="H930" s="16">
        <v>45217</v>
      </c>
      <c r="I930" s="6">
        <v>42</v>
      </c>
      <c r="J930" s="6" t="s">
        <v>121</v>
      </c>
      <c r="K930" s="6" t="s">
        <v>122</v>
      </c>
      <c r="L930" s="11">
        <f>F930*Controls!$B$6</f>
        <v>52</v>
      </c>
      <c r="M930" s="11">
        <f>G930*Controls!$B$6</f>
        <v>6500</v>
      </c>
      <c r="N930" s="12">
        <f>IF(L930=0,0,SUMIFS('PSI Plan'!$N$6:$N$173,'PSI Plan'!$B$6:$B$173,B930,'PSI Plan'!$C$6:$C$173,I930))</f>
        <v>0.59807073954983925</v>
      </c>
      <c r="O930" s="11">
        <f t="shared" si="28"/>
        <v>31.09967845659164</v>
      </c>
      <c r="P930" s="11">
        <f t="shared" si="29"/>
        <v>3887.4598070739553</v>
      </c>
      <c r="Q930" s="6"/>
      <c r="R930" s="6"/>
      <c r="S930" s="6"/>
      <c r="T930" s="6"/>
    </row>
    <row r="931" spans="1:20">
      <c r="A931" s="6" t="s">
        <v>1078</v>
      </c>
      <c r="B931" s="6" t="s">
        <v>66</v>
      </c>
      <c r="C931" s="6" t="s">
        <v>90</v>
      </c>
      <c r="D931" s="6" t="s">
        <v>119</v>
      </c>
      <c r="E931" s="6" t="s">
        <v>120</v>
      </c>
      <c r="F931" s="7">
        <v>26</v>
      </c>
      <c r="G931" s="7">
        <v>3250</v>
      </c>
      <c r="H931" s="16">
        <v>45241</v>
      </c>
      <c r="I931" s="6">
        <v>45</v>
      </c>
      <c r="J931" s="6" t="s">
        <v>121</v>
      </c>
      <c r="K931" s="6" t="s">
        <v>139</v>
      </c>
      <c r="L931" s="11">
        <f>F931*Controls!$B$6</f>
        <v>26</v>
      </c>
      <c r="M931" s="11">
        <f>G931*Controls!$B$6</f>
        <v>3250</v>
      </c>
      <c r="N931" s="12">
        <f>IF(L931=0,0,SUMIFS('PSI Plan'!$N$6:$N$173,'PSI Plan'!$B$6:$B$173,B931,'PSI Plan'!$C$6:$C$173,I931))</f>
        <v>0</v>
      </c>
      <c r="O931" s="11">
        <f t="shared" si="28"/>
        <v>0</v>
      </c>
      <c r="P931" s="11">
        <f t="shared" si="29"/>
        <v>0</v>
      </c>
      <c r="Q931" s="6"/>
      <c r="R931" s="6"/>
      <c r="S931" s="6"/>
      <c r="T931" s="6"/>
    </row>
    <row r="932" spans="1:20">
      <c r="A932" s="6" t="s">
        <v>1079</v>
      </c>
      <c r="B932" s="6" t="s">
        <v>77</v>
      </c>
      <c r="C932" s="6" t="s">
        <v>90</v>
      </c>
      <c r="D932" s="6" t="s">
        <v>119</v>
      </c>
      <c r="E932" s="6" t="s">
        <v>120</v>
      </c>
      <c r="F932" s="7">
        <v>26</v>
      </c>
      <c r="G932" s="7">
        <v>3250</v>
      </c>
      <c r="H932" s="16">
        <v>45259</v>
      </c>
      <c r="I932" s="6">
        <v>48</v>
      </c>
      <c r="J932" s="6" t="s">
        <v>121</v>
      </c>
      <c r="K932" s="6" t="s">
        <v>139</v>
      </c>
      <c r="L932" s="11">
        <f>F932*Controls!$B$6</f>
        <v>26</v>
      </c>
      <c r="M932" s="11">
        <f>G932*Controls!$B$6</f>
        <v>3250</v>
      </c>
      <c r="N932" s="12">
        <f>IF(L932=0,0,SUMIFS('PSI Plan'!$N$6:$N$173,'PSI Plan'!$B$6:$B$173,B932,'PSI Plan'!$C$6:$C$173,I932))</f>
        <v>0</v>
      </c>
      <c r="O932" s="11">
        <f t="shared" si="28"/>
        <v>0</v>
      </c>
      <c r="P932" s="11">
        <f t="shared" si="29"/>
        <v>0</v>
      </c>
      <c r="Q932" s="6"/>
      <c r="R932" s="6"/>
      <c r="S932" s="6"/>
      <c r="T932" s="6"/>
    </row>
    <row r="933" spans="1:20">
      <c r="A933" s="6" t="s">
        <v>1080</v>
      </c>
      <c r="B933" s="6" t="s">
        <v>76</v>
      </c>
      <c r="C933" s="6" t="s">
        <v>90</v>
      </c>
      <c r="D933" s="6" t="s">
        <v>119</v>
      </c>
      <c r="E933" s="6" t="s">
        <v>120</v>
      </c>
      <c r="F933" s="7">
        <v>26</v>
      </c>
      <c r="G933" s="7">
        <v>3250</v>
      </c>
      <c r="H933" s="16">
        <v>45200</v>
      </c>
      <c r="I933" s="6">
        <v>40</v>
      </c>
      <c r="J933" s="6" t="s">
        <v>121</v>
      </c>
      <c r="K933" s="6" t="s">
        <v>139</v>
      </c>
      <c r="L933" s="11">
        <f>F933*Controls!$B$6</f>
        <v>26</v>
      </c>
      <c r="M933" s="11">
        <f>G933*Controls!$B$6</f>
        <v>3250</v>
      </c>
      <c r="N933" s="12">
        <f>IF(L933=0,0,SUMIFS('PSI Plan'!$N$6:$N$173,'PSI Plan'!$B$6:$B$173,B933,'PSI Plan'!$C$6:$C$173,I933))</f>
        <v>0</v>
      </c>
      <c r="O933" s="11">
        <f t="shared" si="28"/>
        <v>0</v>
      </c>
      <c r="P933" s="11">
        <f t="shared" si="29"/>
        <v>0</v>
      </c>
      <c r="Q933" s="6"/>
      <c r="R933" s="6"/>
      <c r="S933" s="6"/>
      <c r="T933" s="6"/>
    </row>
    <row r="934" spans="1:20">
      <c r="A934" s="6" t="s">
        <v>1081</v>
      </c>
      <c r="B934" s="6" t="s">
        <v>69</v>
      </c>
      <c r="C934" s="6" t="s">
        <v>90</v>
      </c>
      <c r="D934" s="6" t="s">
        <v>119</v>
      </c>
      <c r="E934" s="6" t="s">
        <v>120</v>
      </c>
      <c r="F934" s="7">
        <v>26</v>
      </c>
      <c r="G934" s="7">
        <v>3250</v>
      </c>
      <c r="H934" s="16">
        <v>45214</v>
      </c>
      <c r="I934" s="6">
        <v>42</v>
      </c>
      <c r="J934" s="6" t="s">
        <v>121</v>
      </c>
      <c r="K934" s="6" t="s">
        <v>139</v>
      </c>
      <c r="L934" s="11">
        <f>F934*Controls!$B$6</f>
        <v>26</v>
      </c>
      <c r="M934" s="11">
        <f>G934*Controls!$B$6</f>
        <v>3250</v>
      </c>
      <c r="N934" s="12">
        <f>IF(L934=0,0,SUMIFS('PSI Plan'!$N$6:$N$173,'PSI Plan'!$B$6:$B$173,B934,'PSI Plan'!$C$6:$C$173,I934))</f>
        <v>0</v>
      </c>
      <c r="O934" s="11">
        <f t="shared" si="28"/>
        <v>0</v>
      </c>
      <c r="P934" s="11">
        <f t="shared" si="29"/>
        <v>0</v>
      </c>
      <c r="Q934" s="6"/>
      <c r="R934" s="6"/>
      <c r="S934" s="6"/>
      <c r="T934" s="6"/>
    </row>
    <row r="935" spans="1:20">
      <c r="A935" s="6" t="s">
        <v>1082</v>
      </c>
      <c r="B935" s="6" t="s">
        <v>77</v>
      </c>
      <c r="C935" s="6" t="s">
        <v>90</v>
      </c>
      <c r="D935" s="6" t="s">
        <v>119</v>
      </c>
      <c r="E935" s="6" t="s">
        <v>120</v>
      </c>
      <c r="F935" s="7">
        <v>6</v>
      </c>
      <c r="G935" s="7">
        <v>750</v>
      </c>
      <c r="H935" s="16">
        <v>45290</v>
      </c>
      <c r="I935" s="6">
        <v>52</v>
      </c>
      <c r="J935" s="6" t="s">
        <v>121</v>
      </c>
      <c r="K935" s="6" t="s">
        <v>298</v>
      </c>
      <c r="L935" s="11">
        <f>F935*Controls!$B$6</f>
        <v>6</v>
      </c>
      <c r="M935" s="11">
        <f>G935*Controls!$B$6</f>
        <v>750</v>
      </c>
      <c r="N935" s="12">
        <f>IF(L935=0,0,SUMIFS('PSI Plan'!$N$6:$N$173,'PSI Plan'!$B$6:$B$173,B935,'PSI Plan'!$C$6:$C$173,I935))</f>
        <v>0</v>
      </c>
      <c r="O935" s="11">
        <f t="shared" si="28"/>
        <v>0</v>
      </c>
      <c r="P935" s="11">
        <f t="shared" si="29"/>
        <v>0</v>
      </c>
      <c r="Q935" s="6"/>
      <c r="R935" s="6"/>
      <c r="S935" s="6"/>
      <c r="T935" s="6"/>
    </row>
    <row r="936" spans="1:20">
      <c r="A936" s="6" t="s">
        <v>1083</v>
      </c>
      <c r="B936" s="6" t="s">
        <v>76</v>
      </c>
      <c r="C936" s="6" t="s">
        <v>90</v>
      </c>
      <c r="D936" s="6" t="s">
        <v>119</v>
      </c>
      <c r="E936" s="6" t="s">
        <v>120</v>
      </c>
      <c r="F936" s="7">
        <v>4</v>
      </c>
      <c r="G936" s="7">
        <v>500</v>
      </c>
      <c r="H936" s="16">
        <v>45249</v>
      </c>
      <c r="I936" s="6">
        <v>47</v>
      </c>
      <c r="J936" s="6" t="s">
        <v>121</v>
      </c>
      <c r="K936" s="6" t="s">
        <v>298</v>
      </c>
      <c r="L936" s="11">
        <f>F936*Controls!$B$6</f>
        <v>4</v>
      </c>
      <c r="M936" s="11">
        <f>G936*Controls!$B$6</f>
        <v>500</v>
      </c>
      <c r="N936" s="12">
        <f>IF(L936=0,0,SUMIFS('PSI Plan'!$N$6:$N$173,'PSI Plan'!$B$6:$B$173,B936,'PSI Plan'!$C$6:$C$173,I936))</f>
        <v>0</v>
      </c>
      <c r="O936" s="11">
        <f t="shared" si="28"/>
        <v>0</v>
      </c>
      <c r="P936" s="11">
        <f t="shared" si="29"/>
        <v>0</v>
      </c>
      <c r="Q936" s="6"/>
      <c r="R936" s="6"/>
      <c r="S936" s="6"/>
      <c r="T936" s="6"/>
    </row>
    <row r="937" spans="1:20">
      <c r="A937" s="6" t="s">
        <v>1084</v>
      </c>
      <c r="B937" s="6" t="s">
        <v>66</v>
      </c>
      <c r="C937" s="6" t="s">
        <v>90</v>
      </c>
      <c r="D937" s="6" t="s">
        <v>119</v>
      </c>
      <c r="E937" s="6" t="s">
        <v>120</v>
      </c>
      <c r="F937" s="7">
        <v>11</v>
      </c>
      <c r="G937" s="7">
        <v>1375</v>
      </c>
      <c r="H937" s="16">
        <v>45289</v>
      </c>
      <c r="I937" s="6">
        <v>52</v>
      </c>
      <c r="J937" s="6" t="s">
        <v>121</v>
      </c>
      <c r="K937" s="6" t="s">
        <v>135</v>
      </c>
      <c r="L937" s="11">
        <f>F937*Controls!$B$6</f>
        <v>11</v>
      </c>
      <c r="M937" s="11">
        <f>G937*Controls!$B$6</f>
        <v>1375</v>
      </c>
      <c r="N937" s="12">
        <f>IF(L937=0,0,SUMIFS('PSI Plan'!$N$6:$N$173,'PSI Plan'!$B$6:$B$173,B937,'PSI Plan'!$C$6:$C$173,I937))</f>
        <v>0</v>
      </c>
      <c r="O937" s="11">
        <f t="shared" si="28"/>
        <v>0</v>
      </c>
      <c r="P937" s="11">
        <f t="shared" si="29"/>
        <v>0</v>
      </c>
      <c r="Q937" s="6"/>
      <c r="R937" s="6"/>
      <c r="S937" s="6"/>
      <c r="T937" s="6"/>
    </row>
    <row r="938" spans="1:20">
      <c r="A938" s="6" t="s">
        <v>1085</v>
      </c>
      <c r="B938" s="6" t="s">
        <v>77</v>
      </c>
      <c r="C938" s="6" t="s">
        <v>90</v>
      </c>
      <c r="D938" s="6" t="s">
        <v>119</v>
      </c>
      <c r="E938" s="6" t="s">
        <v>120</v>
      </c>
      <c r="F938" s="7">
        <v>14</v>
      </c>
      <c r="G938" s="7">
        <v>1750</v>
      </c>
      <c r="H938" s="16">
        <v>45231</v>
      </c>
      <c r="I938" s="6">
        <v>44</v>
      </c>
      <c r="J938" s="6" t="s">
        <v>121</v>
      </c>
      <c r="K938" s="6" t="s">
        <v>135</v>
      </c>
      <c r="L938" s="11">
        <f>F938*Controls!$B$6</f>
        <v>14</v>
      </c>
      <c r="M938" s="11">
        <f>G938*Controls!$B$6</f>
        <v>1750</v>
      </c>
      <c r="N938" s="12">
        <f>IF(L938=0,0,SUMIFS('PSI Plan'!$N$6:$N$173,'PSI Plan'!$B$6:$B$173,B938,'PSI Plan'!$C$6:$C$173,I938))</f>
        <v>0</v>
      </c>
      <c r="O938" s="11">
        <f t="shared" si="28"/>
        <v>0</v>
      </c>
      <c r="P938" s="11">
        <f t="shared" si="29"/>
        <v>0</v>
      </c>
      <c r="Q938" s="6"/>
      <c r="R938" s="6"/>
      <c r="S938" s="6"/>
      <c r="T938" s="6"/>
    </row>
    <row r="939" spans="1:20">
      <c r="A939" s="6" t="s">
        <v>1086</v>
      </c>
      <c r="B939" s="6" t="s">
        <v>69</v>
      </c>
      <c r="C939" s="6" t="s">
        <v>90</v>
      </c>
      <c r="D939" s="6" t="s">
        <v>119</v>
      </c>
      <c r="E939" s="6" t="s">
        <v>120</v>
      </c>
      <c r="F939" s="7">
        <v>14</v>
      </c>
      <c r="G939" s="7">
        <v>1750</v>
      </c>
      <c r="H939" s="16">
        <v>45204</v>
      </c>
      <c r="I939" s="6">
        <v>40</v>
      </c>
      <c r="J939" s="6" t="s">
        <v>121</v>
      </c>
      <c r="K939" s="6" t="s">
        <v>135</v>
      </c>
      <c r="L939" s="11">
        <f>F939*Controls!$B$6</f>
        <v>14</v>
      </c>
      <c r="M939" s="11">
        <f>G939*Controls!$B$6</f>
        <v>1750</v>
      </c>
      <c r="N939" s="12">
        <f>IF(L939=0,0,SUMIFS('PSI Plan'!$N$6:$N$173,'PSI Plan'!$B$6:$B$173,B939,'PSI Plan'!$C$6:$C$173,I939))</f>
        <v>0</v>
      </c>
      <c r="O939" s="11">
        <f t="shared" si="28"/>
        <v>0</v>
      </c>
      <c r="P939" s="11">
        <f t="shared" si="29"/>
        <v>0</v>
      </c>
      <c r="Q939" s="6"/>
      <c r="R939" s="6"/>
      <c r="S939" s="6"/>
      <c r="T939" s="6"/>
    </row>
    <row r="940" spans="1:20">
      <c r="A940" s="6" t="s">
        <v>1087</v>
      </c>
      <c r="B940" s="6" t="s">
        <v>66</v>
      </c>
      <c r="C940" s="6" t="s">
        <v>90</v>
      </c>
      <c r="D940" s="6" t="s">
        <v>119</v>
      </c>
      <c r="E940" s="6" t="s">
        <v>120</v>
      </c>
      <c r="F940" s="7">
        <v>8</v>
      </c>
      <c r="G940" s="7">
        <v>1000</v>
      </c>
      <c r="H940" s="16">
        <v>45220</v>
      </c>
      <c r="I940" s="6">
        <v>42</v>
      </c>
      <c r="J940" s="6" t="s">
        <v>121</v>
      </c>
      <c r="K940" s="6" t="s">
        <v>171</v>
      </c>
      <c r="L940" s="11">
        <f>F940*Controls!$B$6</f>
        <v>8</v>
      </c>
      <c r="M940" s="11">
        <f>G940*Controls!$B$6</f>
        <v>1000</v>
      </c>
      <c r="N940" s="12">
        <f>IF(L940=0,0,SUMIFS('PSI Plan'!$N$6:$N$173,'PSI Plan'!$B$6:$B$173,B940,'PSI Plan'!$C$6:$C$173,I940))</f>
        <v>0.59807073954983925</v>
      </c>
      <c r="O940" s="11">
        <f t="shared" si="28"/>
        <v>4.784565916398714</v>
      </c>
      <c r="P940" s="11">
        <f t="shared" si="29"/>
        <v>598.07073954983923</v>
      </c>
      <c r="Q940" s="6"/>
      <c r="R940" s="6"/>
      <c r="S940" s="6"/>
      <c r="T940" s="6"/>
    </row>
    <row r="941" spans="1:20">
      <c r="A941" s="6" t="s">
        <v>1088</v>
      </c>
      <c r="B941" s="6" t="s">
        <v>77</v>
      </c>
      <c r="C941" s="6" t="s">
        <v>90</v>
      </c>
      <c r="D941" s="6" t="s">
        <v>119</v>
      </c>
      <c r="E941" s="6" t="s">
        <v>120</v>
      </c>
      <c r="F941" s="7">
        <v>26</v>
      </c>
      <c r="G941" s="7">
        <v>3250</v>
      </c>
      <c r="H941" s="16">
        <v>45226</v>
      </c>
      <c r="I941" s="6">
        <v>43</v>
      </c>
      <c r="J941" s="6" t="s">
        <v>121</v>
      </c>
      <c r="K941" s="6" t="s">
        <v>171</v>
      </c>
      <c r="L941" s="11">
        <f>F941*Controls!$B$6</f>
        <v>26</v>
      </c>
      <c r="M941" s="11">
        <f>G941*Controls!$B$6</f>
        <v>3250</v>
      </c>
      <c r="N941" s="12">
        <f>IF(L941=0,0,SUMIFS('PSI Plan'!$N$6:$N$173,'PSI Plan'!$B$6:$B$173,B941,'PSI Plan'!$C$6:$C$173,I941))</f>
        <v>0</v>
      </c>
      <c r="O941" s="11">
        <f t="shared" si="28"/>
        <v>0</v>
      </c>
      <c r="P941" s="11">
        <f t="shared" si="29"/>
        <v>0</v>
      </c>
      <c r="Q941" s="6"/>
      <c r="R941" s="6"/>
      <c r="S941" s="6"/>
      <c r="T941" s="6"/>
    </row>
    <row r="942" spans="1:20">
      <c r="A942" s="6" t="s">
        <v>1089</v>
      </c>
      <c r="B942" s="6" t="s">
        <v>69</v>
      </c>
      <c r="C942" s="6" t="s">
        <v>90</v>
      </c>
      <c r="D942" s="6" t="s">
        <v>119</v>
      </c>
      <c r="E942" s="6" t="s">
        <v>120</v>
      </c>
      <c r="F942" s="7">
        <v>26</v>
      </c>
      <c r="G942" s="7">
        <v>3250</v>
      </c>
      <c r="H942" s="16">
        <v>45281</v>
      </c>
      <c r="I942" s="6">
        <v>51</v>
      </c>
      <c r="J942" s="6" t="s">
        <v>121</v>
      </c>
      <c r="K942" s="6" t="s">
        <v>171</v>
      </c>
      <c r="L942" s="11">
        <f>F942*Controls!$B$6</f>
        <v>26</v>
      </c>
      <c r="M942" s="11">
        <f>G942*Controls!$B$6</f>
        <v>3250</v>
      </c>
      <c r="N942" s="12">
        <f>IF(L942=0,0,SUMIFS('PSI Plan'!$N$6:$N$173,'PSI Plan'!$B$6:$B$173,B942,'PSI Plan'!$C$6:$C$173,I942))</f>
        <v>0</v>
      </c>
      <c r="O942" s="11">
        <f t="shared" si="28"/>
        <v>0</v>
      </c>
      <c r="P942" s="11">
        <f t="shared" si="29"/>
        <v>0</v>
      </c>
      <c r="Q942" s="6"/>
      <c r="R942" s="6"/>
      <c r="S942" s="6"/>
      <c r="T942" s="6"/>
    </row>
    <row r="943" spans="1:20">
      <c r="A943" s="6" t="s">
        <v>1090</v>
      </c>
      <c r="B943" s="6" t="s">
        <v>66</v>
      </c>
      <c r="C943" s="6" t="s">
        <v>99</v>
      </c>
      <c r="D943" s="6" t="s">
        <v>319</v>
      </c>
      <c r="E943" s="6" t="s">
        <v>120</v>
      </c>
      <c r="F943" s="7">
        <v>52</v>
      </c>
      <c r="G943" s="7">
        <v>6500</v>
      </c>
      <c r="H943" s="16">
        <v>45258</v>
      </c>
      <c r="I943" s="6">
        <v>48</v>
      </c>
      <c r="J943" s="6" t="s">
        <v>121</v>
      </c>
      <c r="K943" s="6" t="s">
        <v>344</v>
      </c>
      <c r="L943" s="11">
        <f>F943*Controls!$B$6</f>
        <v>52</v>
      </c>
      <c r="M943" s="11">
        <f>G943*Controls!$B$6</f>
        <v>6500</v>
      </c>
      <c r="N943" s="12">
        <f>IF(L943=0,0,SUMIFS('PSI Plan'!$N$6:$N$173,'PSI Plan'!$B$6:$B$173,B943,'PSI Plan'!$C$6:$C$173,I943))</f>
        <v>0</v>
      </c>
      <c r="O943" s="11">
        <f t="shared" si="28"/>
        <v>0</v>
      </c>
      <c r="P943" s="11">
        <f t="shared" si="29"/>
        <v>0</v>
      </c>
      <c r="Q943" s="6"/>
      <c r="R943" s="6"/>
      <c r="S943" s="6"/>
      <c r="T943" s="6"/>
    </row>
    <row r="944" spans="1:20">
      <c r="A944" s="6" t="s">
        <v>1091</v>
      </c>
      <c r="B944" s="6" t="s">
        <v>69</v>
      </c>
      <c r="C944" s="6" t="s">
        <v>99</v>
      </c>
      <c r="D944" s="6" t="s">
        <v>319</v>
      </c>
      <c r="E944" s="6" t="s">
        <v>120</v>
      </c>
      <c r="F944" s="7">
        <v>52</v>
      </c>
      <c r="G944" s="7">
        <v>6500</v>
      </c>
      <c r="H944" s="16">
        <v>45234</v>
      </c>
      <c r="I944" s="6">
        <v>44</v>
      </c>
      <c r="J944" s="6" t="s">
        <v>121</v>
      </c>
      <c r="K944" s="6" t="s">
        <v>344</v>
      </c>
      <c r="L944" s="11">
        <f>F944*Controls!$B$6</f>
        <v>52</v>
      </c>
      <c r="M944" s="11">
        <f>G944*Controls!$B$6</f>
        <v>6500</v>
      </c>
      <c r="N944" s="12">
        <f>IF(L944=0,0,SUMIFS('PSI Plan'!$N$6:$N$173,'PSI Plan'!$B$6:$B$173,B944,'PSI Plan'!$C$6:$C$173,I944))</f>
        <v>0</v>
      </c>
      <c r="O944" s="11">
        <f t="shared" si="28"/>
        <v>0</v>
      </c>
      <c r="P944" s="11">
        <f t="shared" si="29"/>
        <v>0</v>
      </c>
      <c r="Q944" s="6"/>
      <c r="R944" s="6"/>
      <c r="S944" s="6"/>
      <c r="T944" s="6"/>
    </row>
    <row r="945" spans="1:20">
      <c r="A945" s="6" t="s">
        <v>1092</v>
      </c>
      <c r="B945" s="6" t="s">
        <v>66</v>
      </c>
      <c r="C945" s="6" t="s">
        <v>102</v>
      </c>
      <c r="D945" s="6" t="s">
        <v>571</v>
      </c>
      <c r="E945" s="6" t="s">
        <v>120</v>
      </c>
      <c r="F945" s="7">
        <v>217</v>
      </c>
      <c r="G945" s="7">
        <v>27125</v>
      </c>
      <c r="H945" s="16">
        <v>45210</v>
      </c>
      <c r="I945" s="6">
        <v>41</v>
      </c>
      <c r="J945" s="6" t="s">
        <v>121</v>
      </c>
      <c r="K945" s="6" t="s">
        <v>572</v>
      </c>
      <c r="L945" s="11">
        <f>F945*Controls!$B$6</f>
        <v>217</v>
      </c>
      <c r="M945" s="11">
        <f>G945*Controls!$B$6</f>
        <v>27125</v>
      </c>
      <c r="N945" s="12">
        <f>IF(L945=0,0,SUMIFS('PSI Plan'!$N$6:$N$173,'PSI Plan'!$B$6:$B$173,B945,'PSI Plan'!$C$6:$C$173,I945))</f>
        <v>0.22897465437788017</v>
      </c>
      <c r="O945" s="11">
        <f t="shared" si="28"/>
        <v>49.6875</v>
      </c>
      <c r="P945" s="11">
        <f t="shared" si="29"/>
        <v>6210.9375</v>
      </c>
      <c r="Q945" s="6"/>
      <c r="R945" s="6"/>
      <c r="S945" s="6"/>
      <c r="T945" s="6"/>
    </row>
    <row r="946" spans="1:20">
      <c r="A946" s="6" t="s">
        <v>1093</v>
      </c>
      <c r="B946" s="6" t="s">
        <v>77</v>
      </c>
      <c r="C946" s="6" t="s">
        <v>102</v>
      </c>
      <c r="D946" s="6" t="s">
        <v>571</v>
      </c>
      <c r="E946" s="6" t="s">
        <v>120</v>
      </c>
      <c r="F946" s="7">
        <v>250</v>
      </c>
      <c r="G946" s="7">
        <v>31250</v>
      </c>
      <c r="H946" s="16">
        <v>45290</v>
      </c>
      <c r="I946" s="6">
        <v>52</v>
      </c>
      <c r="J946" s="6" t="s">
        <v>121</v>
      </c>
      <c r="K946" s="6" t="s">
        <v>572</v>
      </c>
      <c r="L946" s="11">
        <f>F946*Controls!$B$6</f>
        <v>250</v>
      </c>
      <c r="M946" s="11">
        <f>G946*Controls!$B$6</f>
        <v>31250</v>
      </c>
      <c r="N946" s="12">
        <f>IF(L946=0,0,SUMIFS('PSI Plan'!$N$6:$N$173,'PSI Plan'!$B$6:$B$173,B946,'PSI Plan'!$C$6:$C$173,I946))</f>
        <v>0</v>
      </c>
      <c r="O946" s="11">
        <f t="shared" si="28"/>
        <v>0</v>
      </c>
      <c r="P946" s="11">
        <f t="shared" si="29"/>
        <v>0</v>
      </c>
      <c r="Q946" s="6"/>
      <c r="R946" s="6"/>
      <c r="S946" s="6"/>
      <c r="T946" s="6"/>
    </row>
    <row r="947" spans="1:20">
      <c r="A947" s="6" t="s">
        <v>1094</v>
      </c>
      <c r="B947" s="6" t="s">
        <v>76</v>
      </c>
      <c r="C947" s="6" t="s">
        <v>102</v>
      </c>
      <c r="D947" s="6" t="s">
        <v>571</v>
      </c>
      <c r="E947" s="6" t="s">
        <v>120</v>
      </c>
      <c r="F947" s="7">
        <v>250</v>
      </c>
      <c r="G947" s="7">
        <v>31250</v>
      </c>
      <c r="H947" s="16">
        <v>45247</v>
      </c>
      <c r="I947" s="6">
        <v>46</v>
      </c>
      <c r="J947" s="6" t="s">
        <v>121</v>
      </c>
      <c r="K947" s="6" t="s">
        <v>572</v>
      </c>
      <c r="L947" s="11">
        <f>F947*Controls!$B$6</f>
        <v>250</v>
      </c>
      <c r="M947" s="11">
        <f>G947*Controls!$B$6</f>
        <v>31250</v>
      </c>
      <c r="N947" s="12">
        <f>IF(L947=0,0,SUMIFS('PSI Plan'!$N$6:$N$173,'PSI Plan'!$B$6:$B$173,B947,'PSI Plan'!$C$6:$C$173,I947))</f>
        <v>0</v>
      </c>
      <c r="O947" s="11">
        <f t="shared" si="28"/>
        <v>0</v>
      </c>
      <c r="P947" s="11">
        <f t="shared" si="29"/>
        <v>0</v>
      </c>
      <c r="Q947" s="6"/>
      <c r="R947" s="6"/>
      <c r="S947" s="6"/>
      <c r="T947" s="6"/>
    </row>
    <row r="948" spans="1:20">
      <c r="A948" s="6" t="s">
        <v>1095</v>
      </c>
      <c r="B948" s="6" t="s">
        <v>67</v>
      </c>
      <c r="C948" s="6" t="s">
        <v>102</v>
      </c>
      <c r="D948" s="6" t="s">
        <v>571</v>
      </c>
      <c r="E948" s="6" t="s">
        <v>120</v>
      </c>
      <c r="F948" s="7">
        <v>250</v>
      </c>
      <c r="G948" s="7">
        <v>31250</v>
      </c>
      <c r="H948" s="16">
        <v>45201</v>
      </c>
      <c r="I948" s="6">
        <v>40</v>
      </c>
      <c r="J948" s="6" t="s">
        <v>121</v>
      </c>
      <c r="K948" s="6" t="s">
        <v>572</v>
      </c>
      <c r="L948" s="11">
        <f>F948*Controls!$B$6</f>
        <v>250</v>
      </c>
      <c r="M948" s="11">
        <f>G948*Controls!$B$6</f>
        <v>31250</v>
      </c>
      <c r="N948" s="12">
        <f>IF(L948=0,0,SUMIFS('PSI Plan'!$N$6:$N$173,'PSI Plan'!$B$6:$B$173,B948,'PSI Plan'!$C$6:$C$173,I948))</f>
        <v>0</v>
      </c>
      <c r="O948" s="11">
        <f t="shared" si="28"/>
        <v>0</v>
      </c>
      <c r="P948" s="11">
        <f t="shared" si="29"/>
        <v>0</v>
      </c>
      <c r="Q948" s="6"/>
      <c r="R948" s="6"/>
      <c r="S948" s="6"/>
      <c r="T948" s="6"/>
    </row>
    <row r="949" spans="1:20">
      <c r="A949" s="6" t="s">
        <v>1096</v>
      </c>
      <c r="B949" s="6" t="s">
        <v>69</v>
      </c>
      <c r="C949" s="6" t="s">
        <v>102</v>
      </c>
      <c r="D949" s="6" t="s">
        <v>571</v>
      </c>
      <c r="E949" s="6" t="s">
        <v>120</v>
      </c>
      <c r="F949" s="7">
        <v>24</v>
      </c>
      <c r="G949" s="7">
        <v>3000</v>
      </c>
      <c r="H949" s="16">
        <v>45242</v>
      </c>
      <c r="I949" s="6">
        <v>46</v>
      </c>
      <c r="J949" s="6" t="s">
        <v>121</v>
      </c>
      <c r="K949" s="6" t="s">
        <v>572</v>
      </c>
      <c r="L949" s="11">
        <f>F949*Controls!$B$6</f>
        <v>24</v>
      </c>
      <c r="M949" s="11">
        <f>G949*Controls!$B$6</f>
        <v>3000</v>
      </c>
      <c r="N949" s="12">
        <f>IF(L949=0,0,SUMIFS('PSI Plan'!$N$6:$N$173,'PSI Plan'!$B$6:$B$173,B949,'PSI Plan'!$C$6:$C$173,I949))</f>
        <v>0</v>
      </c>
      <c r="O949" s="11">
        <f t="shared" si="28"/>
        <v>0</v>
      </c>
      <c r="P949" s="11">
        <f t="shared" si="29"/>
        <v>0</v>
      </c>
      <c r="Q949" s="6"/>
      <c r="R949" s="6"/>
      <c r="S949" s="6"/>
      <c r="T949" s="6"/>
    </row>
    <row r="950" spans="1:20">
      <c r="A950" s="6" t="s">
        <v>1097</v>
      </c>
      <c r="B950" s="6" t="s">
        <v>66</v>
      </c>
      <c r="C950" s="6" t="s">
        <v>99</v>
      </c>
      <c r="D950" s="6" t="s">
        <v>319</v>
      </c>
      <c r="E950" s="6" t="s">
        <v>120</v>
      </c>
      <c r="F950" s="7">
        <v>53</v>
      </c>
      <c r="G950" s="7">
        <v>6625</v>
      </c>
      <c r="H950" s="16">
        <v>45205</v>
      </c>
      <c r="I950" s="6">
        <v>40</v>
      </c>
      <c r="J950" s="6" t="s">
        <v>121</v>
      </c>
      <c r="K950" s="6" t="s">
        <v>347</v>
      </c>
      <c r="L950" s="11">
        <f>F950*Controls!$B$6</f>
        <v>53</v>
      </c>
      <c r="M950" s="11">
        <f>G950*Controls!$B$6</f>
        <v>6625</v>
      </c>
      <c r="N950" s="12">
        <f>IF(L950=0,0,SUMIFS('PSI Plan'!$N$6:$N$173,'PSI Plan'!$B$6:$B$173,B950,'PSI Plan'!$C$6:$C$173,I950))</f>
        <v>0</v>
      </c>
      <c r="O950" s="11">
        <f t="shared" si="28"/>
        <v>0</v>
      </c>
      <c r="P950" s="11">
        <f t="shared" si="29"/>
        <v>0</v>
      </c>
      <c r="Q950" s="6"/>
      <c r="R950" s="6"/>
      <c r="S950" s="6"/>
      <c r="T950" s="6"/>
    </row>
    <row r="951" spans="1:20">
      <c r="A951" s="6" t="s">
        <v>1098</v>
      </c>
      <c r="B951" s="6" t="s">
        <v>69</v>
      </c>
      <c r="C951" s="6" t="s">
        <v>99</v>
      </c>
      <c r="D951" s="6" t="s">
        <v>319</v>
      </c>
      <c r="E951" s="6" t="s">
        <v>120</v>
      </c>
      <c r="F951" s="7">
        <v>2</v>
      </c>
      <c r="G951" s="7">
        <v>250</v>
      </c>
      <c r="H951" s="16">
        <v>45200</v>
      </c>
      <c r="I951" s="6">
        <v>40</v>
      </c>
      <c r="J951" s="6" t="s">
        <v>121</v>
      </c>
      <c r="K951" s="6" t="s">
        <v>347</v>
      </c>
      <c r="L951" s="11">
        <f>F951*Controls!$B$6</f>
        <v>2</v>
      </c>
      <c r="M951" s="11">
        <f>G951*Controls!$B$6</f>
        <v>250</v>
      </c>
      <c r="N951" s="12">
        <f>IF(L951=0,0,SUMIFS('PSI Plan'!$N$6:$N$173,'PSI Plan'!$B$6:$B$173,B951,'PSI Plan'!$C$6:$C$173,I951))</f>
        <v>0</v>
      </c>
      <c r="O951" s="11">
        <f t="shared" si="28"/>
        <v>0</v>
      </c>
      <c r="P951" s="11">
        <f t="shared" si="29"/>
        <v>0</v>
      </c>
      <c r="Q951" s="6"/>
      <c r="R951" s="6"/>
      <c r="S951" s="6"/>
      <c r="T951" s="6"/>
    </row>
    <row r="952" spans="1:20">
      <c r="A952" s="6" t="s">
        <v>1099</v>
      </c>
      <c r="B952" s="6" t="s">
        <v>76</v>
      </c>
      <c r="C952" s="6" t="s">
        <v>99</v>
      </c>
      <c r="D952" s="6" t="s">
        <v>319</v>
      </c>
      <c r="E952" s="6" t="s">
        <v>120</v>
      </c>
      <c r="F952" s="7">
        <v>53</v>
      </c>
      <c r="G952" s="7">
        <v>6625</v>
      </c>
      <c r="H952" s="16">
        <v>45277</v>
      </c>
      <c r="I952" s="6">
        <v>51</v>
      </c>
      <c r="J952" s="6" t="s">
        <v>121</v>
      </c>
      <c r="K952" s="6" t="s">
        <v>347</v>
      </c>
      <c r="L952" s="11">
        <f>F952*Controls!$B$6</f>
        <v>53</v>
      </c>
      <c r="M952" s="11">
        <f>G952*Controls!$B$6</f>
        <v>6625</v>
      </c>
      <c r="N952" s="12">
        <f>IF(L952=0,0,SUMIFS('PSI Plan'!$N$6:$N$173,'PSI Plan'!$B$6:$B$173,B952,'PSI Plan'!$C$6:$C$173,I952))</f>
        <v>0</v>
      </c>
      <c r="O952" s="11">
        <f t="shared" si="28"/>
        <v>0</v>
      </c>
      <c r="P952" s="11">
        <f t="shared" si="29"/>
        <v>0</v>
      </c>
      <c r="Q952" s="6"/>
      <c r="R952" s="6"/>
      <c r="S952" s="6"/>
      <c r="T952" s="6"/>
    </row>
    <row r="953" spans="1:20">
      <c r="A953" s="6" t="s">
        <v>1100</v>
      </c>
      <c r="B953" s="6" t="s">
        <v>67</v>
      </c>
      <c r="C953" s="6" t="s">
        <v>99</v>
      </c>
      <c r="D953" s="6" t="s">
        <v>319</v>
      </c>
      <c r="E953" s="6" t="s">
        <v>120</v>
      </c>
      <c r="F953" s="7">
        <v>2</v>
      </c>
      <c r="G953" s="7">
        <v>250</v>
      </c>
      <c r="H953" s="16">
        <v>45213</v>
      </c>
      <c r="I953" s="6">
        <v>41</v>
      </c>
      <c r="J953" s="6" t="s">
        <v>121</v>
      </c>
      <c r="K953" s="6" t="s">
        <v>347</v>
      </c>
      <c r="L953" s="11">
        <f>F953*Controls!$B$6</f>
        <v>2</v>
      </c>
      <c r="M953" s="11">
        <f>G953*Controls!$B$6</f>
        <v>250</v>
      </c>
      <c r="N953" s="12">
        <f>IF(L953=0,0,SUMIFS('PSI Plan'!$N$6:$N$173,'PSI Plan'!$B$6:$B$173,B953,'PSI Plan'!$C$6:$C$173,I953))</f>
        <v>0</v>
      </c>
      <c r="O953" s="11">
        <f t="shared" si="28"/>
        <v>0</v>
      </c>
      <c r="P953" s="11">
        <f t="shared" si="29"/>
        <v>0</v>
      </c>
      <c r="Q953" s="6"/>
      <c r="R953" s="6"/>
      <c r="S953" s="6"/>
      <c r="T953" s="6"/>
    </row>
    <row r="954" spans="1:20">
      <c r="A954" s="6" t="s">
        <v>1101</v>
      </c>
      <c r="B954" s="6" t="s">
        <v>66</v>
      </c>
      <c r="C954" s="6" t="s">
        <v>99</v>
      </c>
      <c r="D954" s="6" t="s">
        <v>319</v>
      </c>
      <c r="E954" s="6" t="s">
        <v>120</v>
      </c>
      <c r="F954" s="7">
        <v>21</v>
      </c>
      <c r="G954" s="7">
        <v>2625</v>
      </c>
      <c r="H954" s="16">
        <v>45220</v>
      </c>
      <c r="I954" s="6">
        <v>42</v>
      </c>
      <c r="J954" s="6" t="s">
        <v>121</v>
      </c>
      <c r="K954" s="6" t="s">
        <v>459</v>
      </c>
      <c r="L954" s="11">
        <f>F954*Controls!$B$6</f>
        <v>21</v>
      </c>
      <c r="M954" s="11">
        <f>G954*Controls!$B$6</f>
        <v>2625</v>
      </c>
      <c r="N954" s="12">
        <f>IF(L954=0,0,SUMIFS('PSI Plan'!$N$6:$N$173,'PSI Plan'!$B$6:$B$173,B954,'PSI Plan'!$C$6:$C$173,I954))</f>
        <v>0.59807073954983925</v>
      </c>
      <c r="O954" s="11">
        <f t="shared" si="28"/>
        <v>12.559485530546624</v>
      </c>
      <c r="P954" s="11">
        <f t="shared" si="29"/>
        <v>1569.9356913183281</v>
      </c>
      <c r="Q954" s="6"/>
      <c r="R954" s="6"/>
      <c r="S954" s="6"/>
      <c r="T954" s="6"/>
    </row>
    <row r="955" spans="1:20">
      <c r="A955" s="6" t="s">
        <v>1102</v>
      </c>
      <c r="B955" s="6" t="s">
        <v>77</v>
      </c>
      <c r="C955" s="6" t="s">
        <v>99</v>
      </c>
      <c r="D955" s="6" t="s">
        <v>319</v>
      </c>
      <c r="E955" s="6" t="s">
        <v>120</v>
      </c>
      <c r="F955" s="7">
        <v>15</v>
      </c>
      <c r="G955" s="7">
        <v>1875</v>
      </c>
      <c r="H955" s="16">
        <v>45223</v>
      </c>
      <c r="I955" s="6">
        <v>43</v>
      </c>
      <c r="J955" s="6" t="s">
        <v>121</v>
      </c>
      <c r="K955" s="6" t="s">
        <v>459</v>
      </c>
      <c r="L955" s="11">
        <f>F955*Controls!$B$6</f>
        <v>15</v>
      </c>
      <c r="M955" s="11">
        <f>G955*Controls!$B$6</f>
        <v>1875</v>
      </c>
      <c r="N955" s="12">
        <f>IF(L955=0,0,SUMIFS('PSI Plan'!$N$6:$N$173,'PSI Plan'!$B$6:$B$173,B955,'PSI Plan'!$C$6:$C$173,I955))</f>
        <v>0</v>
      </c>
      <c r="O955" s="11">
        <f t="shared" si="28"/>
        <v>0</v>
      </c>
      <c r="P955" s="11">
        <f t="shared" si="29"/>
        <v>0</v>
      </c>
      <c r="Q955" s="6"/>
      <c r="R955" s="6"/>
      <c r="S955" s="6"/>
      <c r="T955" s="6"/>
    </row>
    <row r="956" spans="1:20">
      <c r="A956" s="6" t="s">
        <v>1103</v>
      </c>
      <c r="B956" s="6" t="s">
        <v>69</v>
      </c>
      <c r="C956" s="6" t="s">
        <v>99</v>
      </c>
      <c r="D956" s="6" t="s">
        <v>319</v>
      </c>
      <c r="E956" s="6" t="s">
        <v>120</v>
      </c>
      <c r="F956" s="7">
        <v>78</v>
      </c>
      <c r="G956" s="7">
        <v>9750</v>
      </c>
      <c r="H956" s="16">
        <v>45274</v>
      </c>
      <c r="I956" s="6">
        <v>50</v>
      </c>
      <c r="J956" s="6" t="s">
        <v>121</v>
      </c>
      <c r="K956" s="6" t="s">
        <v>459</v>
      </c>
      <c r="L956" s="11">
        <f>F956*Controls!$B$6</f>
        <v>78</v>
      </c>
      <c r="M956" s="11">
        <f>G956*Controls!$B$6</f>
        <v>9750</v>
      </c>
      <c r="N956" s="12">
        <f>IF(L956=0,0,SUMIFS('PSI Plan'!$N$6:$N$173,'PSI Plan'!$B$6:$B$173,B956,'PSI Plan'!$C$6:$C$173,I956))</f>
        <v>0</v>
      </c>
      <c r="O956" s="11">
        <f t="shared" si="28"/>
        <v>0</v>
      </c>
      <c r="P956" s="11">
        <f t="shared" si="29"/>
        <v>0</v>
      </c>
      <c r="Q956" s="6"/>
      <c r="R956" s="6"/>
      <c r="S956" s="6"/>
      <c r="T956" s="6"/>
    </row>
    <row r="957" spans="1:20">
      <c r="A957" s="6" t="s">
        <v>1104</v>
      </c>
      <c r="B957" s="6" t="s">
        <v>77</v>
      </c>
      <c r="C957" s="6" t="s">
        <v>90</v>
      </c>
      <c r="D957" s="6" t="s">
        <v>119</v>
      </c>
      <c r="E957" s="6" t="s">
        <v>120</v>
      </c>
      <c r="F957" s="7">
        <v>26</v>
      </c>
      <c r="G957" s="7">
        <v>3250</v>
      </c>
      <c r="H957" s="16">
        <v>45203</v>
      </c>
      <c r="I957" s="6">
        <v>40</v>
      </c>
      <c r="J957" s="6" t="s">
        <v>121</v>
      </c>
      <c r="K957" s="6" t="s">
        <v>855</v>
      </c>
      <c r="L957" s="11">
        <f>F957*Controls!$B$6</f>
        <v>26</v>
      </c>
      <c r="M957" s="11">
        <f>G957*Controls!$B$6</f>
        <v>3250</v>
      </c>
      <c r="N957" s="12">
        <f>IF(L957=0,0,SUMIFS('PSI Plan'!$N$6:$N$173,'PSI Plan'!$B$6:$B$173,B957,'PSI Plan'!$C$6:$C$173,I957))</f>
        <v>0</v>
      </c>
      <c r="O957" s="11">
        <f t="shared" si="28"/>
        <v>0</v>
      </c>
      <c r="P957" s="11">
        <f t="shared" si="29"/>
        <v>0</v>
      </c>
      <c r="Q957" s="6"/>
      <c r="R957" s="6"/>
      <c r="S957" s="6"/>
      <c r="T957" s="6"/>
    </row>
    <row r="958" spans="1:20">
      <c r="A958" s="6" t="s">
        <v>1105</v>
      </c>
      <c r="B958" s="6" t="s">
        <v>69</v>
      </c>
      <c r="C958" s="6" t="s">
        <v>90</v>
      </c>
      <c r="D958" s="6" t="s">
        <v>119</v>
      </c>
      <c r="E958" s="6" t="s">
        <v>120</v>
      </c>
      <c r="F958" s="7">
        <v>26</v>
      </c>
      <c r="G958" s="7">
        <v>3250</v>
      </c>
      <c r="H958" s="16">
        <v>45238</v>
      </c>
      <c r="I958" s="6">
        <v>45</v>
      </c>
      <c r="J958" s="6" t="s">
        <v>121</v>
      </c>
      <c r="K958" s="6" t="s">
        <v>171</v>
      </c>
      <c r="L958" s="11">
        <f>F958*Controls!$B$6</f>
        <v>26</v>
      </c>
      <c r="M958" s="11">
        <f>G958*Controls!$B$6</f>
        <v>3250</v>
      </c>
      <c r="N958" s="12">
        <f>IF(L958=0,0,SUMIFS('PSI Plan'!$N$6:$N$173,'PSI Plan'!$B$6:$B$173,B958,'PSI Plan'!$C$6:$C$173,I958))</f>
        <v>0</v>
      </c>
      <c r="O958" s="11">
        <f t="shared" si="28"/>
        <v>0</v>
      </c>
      <c r="P958" s="11">
        <f t="shared" si="29"/>
        <v>0</v>
      </c>
      <c r="Q958" s="6"/>
      <c r="R958" s="6"/>
      <c r="S958" s="6"/>
      <c r="T958" s="6"/>
    </row>
    <row r="959" spans="1:20">
      <c r="A959" s="6" t="s">
        <v>1106</v>
      </c>
      <c r="B959" s="6" t="s">
        <v>66</v>
      </c>
      <c r="C959" s="6" t="s">
        <v>90</v>
      </c>
      <c r="D959" s="6" t="s">
        <v>119</v>
      </c>
      <c r="E959" s="6" t="s">
        <v>120</v>
      </c>
      <c r="F959" s="7">
        <v>52</v>
      </c>
      <c r="G959" s="7">
        <v>6500</v>
      </c>
      <c r="H959" s="16">
        <v>45255</v>
      </c>
      <c r="I959" s="6">
        <v>47</v>
      </c>
      <c r="J959" s="6" t="s">
        <v>121</v>
      </c>
      <c r="K959" s="6" t="s">
        <v>122</v>
      </c>
      <c r="L959" s="11">
        <f>F959*Controls!$B$6</f>
        <v>52</v>
      </c>
      <c r="M959" s="11">
        <f>G959*Controls!$B$6</f>
        <v>6500</v>
      </c>
      <c r="N959" s="12">
        <f>IF(L959=0,0,SUMIFS('PSI Plan'!$N$6:$N$173,'PSI Plan'!$B$6:$B$173,B959,'PSI Plan'!$C$6:$C$173,I959))</f>
        <v>0</v>
      </c>
      <c r="O959" s="11">
        <f t="shared" si="28"/>
        <v>0</v>
      </c>
      <c r="P959" s="11">
        <f t="shared" si="29"/>
        <v>0</v>
      </c>
      <c r="Q959" s="6"/>
      <c r="R959" s="6"/>
      <c r="S959" s="6"/>
      <c r="T959" s="6"/>
    </row>
    <row r="960" spans="1:20">
      <c r="A960" s="6" t="s">
        <v>1107</v>
      </c>
      <c r="B960" s="6" t="s">
        <v>77</v>
      </c>
      <c r="C960" s="6" t="s">
        <v>90</v>
      </c>
      <c r="D960" s="6" t="s">
        <v>119</v>
      </c>
      <c r="E960" s="6" t="s">
        <v>120</v>
      </c>
      <c r="F960" s="7">
        <v>78</v>
      </c>
      <c r="G960" s="7">
        <v>9750</v>
      </c>
      <c r="H960" s="16">
        <v>45224</v>
      </c>
      <c r="I960" s="6">
        <v>43</v>
      </c>
      <c r="J960" s="6" t="s">
        <v>121</v>
      </c>
      <c r="K960" s="6" t="s">
        <v>122</v>
      </c>
      <c r="L960" s="11">
        <f>F960*Controls!$B$6</f>
        <v>78</v>
      </c>
      <c r="M960" s="11">
        <f>G960*Controls!$B$6</f>
        <v>9750</v>
      </c>
      <c r="N960" s="12">
        <f>IF(L960=0,0,SUMIFS('PSI Plan'!$N$6:$N$173,'PSI Plan'!$B$6:$B$173,B960,'PSI Plan'!$C$6:$C$173,I960))</f>
        <v>0</v>
      </c>
      <c r="O960" s="11">
        <f t="shared" si="28"/>
        <v>0</v>
      </c>
      <c r="P960" s="11">
        <f t="shared" si="29"/>
        <v>0</v>
      </c>
      <c r="Q960" s="6"/>
      <c r="R960" s="6"/>
      <c r="S960" s="6"/>
      <c r="T960" s="6"/>
    </row>
    <row r="961" spans="1:20">
      <c r="A961" s="6" t="s">
        <v>1108</v>
      </c>
      <c r="B961" s="6" t="s">
        <v>76</v>
      </c>
      <c r="C961" s="6" t="s">
        <v>90</v>
      </c>
      <c r="D961" s="6" t="s">
        <v>119</v>
      </c>
      <c r="E961" s="6" t="s">
        <v>120</v>
      </c>
      <c r="F961" s="7">
        <v>26</v>
      </c>
      <c r="G961" s="7">
        <v>3250</v>
      </c>
      <c r="H961" s="16">
        <v>45223</v>
      </c>
      <c r="I961" s="6">
        <v>43</v>
      </c>
      <c r="J961" s="6" t="s">
        <v>121</v>
      </c>
      <c r="K961" s="6" t="s">
        <v>122</v>
      </c>
      <c r="L961" s="11">
        <f>F961*Controls!$B$6</f>
        <v>26</v>
      </c>
      <c r="M961" s="11">
        <f>G961*Controls!$B$6</f>
        <v>3250</v>
      </c>
      <c r="N961" s="12">
        <f>IF(L961=0,0,SUMIFS('PSI Plan'!$N$6:$N$173,'PSI Plan'!$B$6:$B$173,B961,'PSI Plan'!$C$6:$C$173,I961))</f>
        <v>0</v>
      </c>
      <c r="O961" s="11">
        <f t="shared" si="28"/>
        <v>0</v>
      </c>
      <c r="P961" s="11">
        <f t="shared" si="29"/>
        <v>0</v>
      </c>
      <c r="Q961" s="6"/>
      <c r="R961" s="6"/>
      <c r="S961" s="6"/>
      <c r="T961" s="6"/>
    </row>
    <row r="962" spans="1:20">
      <c r="A962" s="6" t="s">
        <v>1109</v>
      </c>
      <c r="B962" s="6" t="s">
        <v>67</v>
      </c>
      <c r="C962" s="6" t="s">
        <v>90</v>
      </c>
      <c r="D962" s="6" t="s">
        <v>119</v>
      </c>
      <c r="E962" s="6" t="s">
        <v>120</v>
      </c>
      <c r="F962" s="7">
        <v>52</v>
      </c>
      <c r="G962" s="7">
        <v>6500</v>
      </c>
      <c r="H962" s="16">
        <v>45285</v>
      </c>
      <c r="I962" s="6">
        <v>52</v>
      </c>
      <c r="J962" s="6" t="s">
        <v>121</v>
      </c>
      <c r="K962" s="6" t="s">
        <v>122</v>
      </c>
      <c r="L962" s="11">
        <f>F962*Controls!$B$6</f>
        <v>52</v>
      </c>
      <c r="M962" s="11">
        <f>G962*Controls!$B$6</f>
        <v>6500</v>
      </c>
      <c r="N962" s="12">
        <f>IF(L962=0,0,SUMIFS('PSI Plan'!$N$6:$N$173,'PSI Plan'!$B$6:$B$173,B962,'PSI Plan'!$C$6:$C$173,I962))</f>
        <v>0</v>
      </c>
      <c r="O962" s="11">
        <f t="shared" ref="O962:O1025" si="30">L962*N962</f>
        <v>0</v>
      </c>
      <c r="P962" s="11">
        <f t="shared" ref="P962:P1025" si="31">M962*N962</f>
        <v>0</v>
      </c>
      <c r="Q962" s="6"/>
      <c r="R962" s="6"/>
      <c r="S962" s="6"/>
      <c r="T962" s="6"/>
    </row>
    <row r="963" spans="1:20">
      <c r="A963" s="6" t="s">
        <v>1110</v>
      </c>
      <c r="B963" s="6" t="s">
        <v>69</v>
      </c>
      <c r="C963" s="6" t="s">
        <v>90</v>
      </c>
      <c r="D963" s="6" t="s">
        <v>119</v>
      </c>
      <c r="E963" s="6" t="s">
        <v>120</v>
      </c>
      <c r="F963" s="7">
        <v>78</v>
      </c>
      <c r="G963" s="7">
        <v>9750</v>
      </c>
      <c r="H963" s="16">
        <v>45247</v>
      </c>
      <c r="I963" s="6">
        <v>46</v>
      </c>
      <c r="J963" s="6" t="s">
        <v>121</v>
      </c>
      <c r="K963" s="6" t="s">
        <v>122</v>
      </c>
      <c r="L963" s="11">
        <f>F963*Controls!$B$6</f>
        <v>78</v>
      </c>
      <c r="M963" s="11">
        <f>G963*Controls!$B$6</f>
        <v>9750</v>
      </c>
      <c r="N963" s="12">
        <f>IF(L963=0,0,SUMIFS('PSI Plan'!$N$6:$N$173,'PSI Plan'!$B$6:$B$173,B963,'PSI Plan'!$C$6:$C$173,I963))</f>
        <v>0</v>
      </c>
      <c r="O963" s="11">
        <f t="shared" si="30"/>
        <v>0</v>
      </c>
      <c r="P963" s="11">
        <f t="shared" si="31"/>
        <v>0</v>
      </c>
      <c r="Q963" s="6"/>
      <c r="R963" s="6"/>
      <c r="S963" s="6"/>
      <c r="T963" s="6"/>
    </row>
    <row r="964" spans="1:20">
      <c r="A964" s="6" t="s">
        <v>1111</v>
      </c>
      <c r="B964" s="6" t="s">
        <v>66</v>
      </c>
      <c r="C964" s="6" t="s">
        <v>90</v>
      </c>
      <c r="D964" s="6" t="s">
        <v>119</v>
      </c>
      <c r="E964" s="6" t="s">
        <v>120</v>
      </c>
      <c r="F964" s="7">
        <v>52</v>
      </c>
      <c r="G964" s="7">
        <v>6500</v>
      </c>
      <c r="H964" s="16">
        <v>45226</v>
      </c>
      <c r="I964" s="6">
        <v>43</v>
      </c>
      <c r="J964" s="6" t="s">
        <v>121</v>
      </c>
      <c r="K964" s="6" t="s">
        <v>122</v>
      </c>
      <c r="L964" s="11">
        <f>F964*Controls!$B$6</f>
        <v>52</v>
      </c>
      <c r="M964" s="11">
        <f>G964*Controls!$B$6</f>
        <v>6500</v>
      </c>
      <c r="N964" s="12">
        <f>IF(L964=0,0,SUMIFS('PSI Plan'!$N$6:$N$173,'PSI Plan'!$B$6:$B$173,B964,'PSI Plan'!$C$6:$C$173,I964))</f>
        <v>0</v>
      </c>
      <c r="O964" s="11">
        <f t="shared" si="30"/>
        <v>0</v>
      </c>
      <c r="P964" s="11">
        <f t="shared" si="31"/>
        <v>0</v>
      </c>
      <c r="Q964" s="6"/>
      <c r="R964" s="6"/>
      <c r="S964" s="6"/>
      <c r="T964" s="6"/>
    </row>
    <row r="965" spans="1:20">
      <c r="A965" s="6" t="s">
        <v>1112</v>
      </c>
      <c r="B965" s="6" t="s">
        <v>77</v>
      </c>
      <c r="C965" s="6" t="s">
        <v>90</v>
      </c>
      <c r="D965" s="6" t="s">
        <v>119</v>
      </c>
      <c r="E965" s="6" t="s">
        <v>120</v>
      </c>
      <c r="F965" s="7">
        <v>78</v>
      </c>
      <c r="G965" s="7">
        <v>9750</v>
      </c>
      <c r="H965" s="16">
        <v>45220</v>
      </c>
      <c r="I965" s="6">
        <v>42</v>
      </c>
      <c r="J965" s="6" t="s">
        <v>121</v>
      </c>
      <c r="K965" s="6" t="s">
        <v>122</v>
      </c>
      <c r="L965" s="11">
        <f>F965*Controls!$B$6</f>
        <v>78</v>
      </c>
      <c r="M965" s="11">
        <f>G965*Controls!$B$6</f>
        <v>9750</v>
      </c>
      <c r="N965" s="12">
        <f>IF(L965=0,0,SUMIFS('PSI Plan'!$N$6:$N$173,'PSI Plan'!$B$6:$B$173,B965,'PSI Plan'!$C$6:$C$173,I965))</f>
        <v>0</v>
      </c>
      <c r="O965" s="11">
        <f t="shared" si="30"/>
        <v>0</v>
      </c>
      <c r="P965" s="11">
        <f t="shared" si="31"/>
        <v>0</v>
      </c>
      <c r="Q965" s="6"/>
      <c r="R965" s="6"/>
      <c r="S965" s="6"/>
      <c r="T965" s="6"/>
    </row>
    <row r="966" spans="1:20">
      <c r="A966" s="6" t="s">
        <v>1113</v>
      </c>
      <c r="B966" s="6" t="s">
        <v>76</v>
      </c>
      <c r="C966" s="6" t="s">
        <v>90</v>
      </c>
      <c r="D966" s="6" t="s">
        <v>119</v>
      </c>
      <c r="E966" s="6" t="s">
        <v>120</v>
      </c>
      <c r="F966" s="7">
        <v>26</v>
      </c>
      <c r="G966" s="7">
        <v>3250</v>
      </c>
      <c r="H966" s="16">
        <v>45217</v>
      </c>
      <c r="I966" s="6">
        <v>42</v>
      </c>
      <c r="J966" s="6" t="s">
        <v>121</v>
      </c>
      <c r="K966" s="6" t="s">
        <v>122</v>
      </c>
      <c r="L966" s="11">
        <f>F966*Controls!$B$6</f>
        <v>26</v>
      </c>
      <c r="M966" s="11">
        <f>G966*Controls!$B$6</f>
        <v>3250</v>
      </c>
      <c r="N966" s="12">
        <f>IF(L966=0,0,SUMIFS('PSI Plan'!$N$6:$N$173,'PSI Plan'!$B$6:$B$173,B966,'PSI Plan'!$C$6:$C$173,I966))</f>
        <v>0</v>
      </c>
      <c r="O966" s="11">
        <f t="shared" si="30"/>
        <v>0</v>
      </c>
      <c r="P966" s="11">
        <f t="shared" si="31"/>
        <v>0</v>
      </c>
      <c r="Q966" s="6"/>
      <c r="R966" s="6"/>
      <c r="S966" s="6"/>
      <c r="T966" s="6"/>
    </row>
    <row r="967" spans="1:20">
      <c r="A967" s="6" t="s">
        <v>1114</v>
      </c>
      <c r="B967" s="6" t="s">
        <v>67</v>
      </c>
      <c r="C967" s="6" t="s">
        <v>90</v>
      </c>
      <c r="D967" s="6" t="s">
        <v>119</v>
      </c>
      <c r="E967" s="6" t="s">
        <v>120</v>
      </c>
      <c r="F967" s="7">
        <v>52</v>
      </c>
      <c r="G967" s="7">
        <v>6500</v>
      </c>
      <c r="H967" s="16">
        <v>45256</v>
      </c>
      <c r="I967" s="6">
        <v>48</v>
      </c>
      <c r="J967" s="6" t="s">
        <v>121</v>
      </c>
      <c r="K967" s="6" t="s">
        <v>122</v>
      </c>
      <c r="L967" s="11">
        <f>F967*Controls!$B$6</f>
        <v>52</v>
      </c>
      <c r="M967" s="11">
        <f>G967*Controls!$B$6</f>
        <v>6500</v>
      </c>
      <c r="N967" s="12">
        <f>IF(L967=0,0,SUMIFS('PSI Plan'!$N$6:$N$173,'PSI Plan'!$B$6:$B$173,B967,'PSI Plan'!$C$6:$C$173,I967))</f>
        <v>0</v>
      </c>
      <c r="O967" s="11">
        <f t="shared" si="30"/>
        <v>0</v>
      </c>
      <c r="P967" s="11">
        <f t="shared" si="31"/>
        <v>0</v>
      </c>
      <c r="Q967" s="6"/>
      <c r="R967" s="6"/>
      <c r="S967" s="6"/>
      <c r="T967" s="6"/>
    </row>
    <row r="968" spans="1:20">
      <c r="A968" s="6" t="s">
        <v>1115</v>
      </c>
      <c r="B968" s="6" t="s">
        <v>69</v>
      </c>
      <c r="C968" s="6" t="s">
        <v>90</v>
      </c>
      <c r="D968" s="6" t="s">
        <v>119</v>
      </c>
      <c r="E968" s="6" t="s">
        <v>120</v>
      </c>
      <c r="F968" s="7">
        <v>104</v>
      </c>
      <c r="G968" s="7">
        <v>13000</v>
      </c>
      <c r="H968" s="16">
        <v>45271</v>
      </c>
      <c r="I968" s="6">
        <v>50</v>
      </c>
      <c r="J968" s="6" t="s">
        <v>121</v>
      </c>
      <c r="K968" s="6" t="s">
        <v>122</v>
      </c>
      <c r="L968" s="11">
        <f>F968*Controls!$B$6</f>
        <v>104</v>
      </c>
      <c r="M968" s="11">
        <f>G968*Controls!$B$6</f>
        <v>13000</v>
      </c>
      <c r="N968" s="12">
        <f>IF(L968=0,0,SUMIFS('PSI Plan'!$N$6:$N$173,'PSI Plan'!$B$6:$B$173,B968,'PSI Plan'!$C$6:$C$173,I968))</f>
        <v>0</v>
      </c>
      <c r="O968" s="11">
        <f t="shared" si="30"/>
        <v>0</v>
      </c>
      <c r="P968" s="11">
        <f t="shared" si="31"/>
        <v>0</v>
      </c>
      <c r="Q968" s="6"/>
      <c r="R968" s="6"/>
      <c r="S968" s="6"/>
      <c r="T968" s="6"/>
    </row>
    <row r="969" spans="1:20">
      <c r="A969" s="6" t="s">
        <v>1116</v>
      </c>
      <c r="B969" s="6" t="s">
        <v>66</v>
      </c>
      <c r="C969" s="6" t="s">
        <v>99</v>
      </c>
      <c r="D969" s="6" t="s">
        <v>319</v>
      </c>
      <c r="E969" s="6" t="s">
        <v>120</v>
      </c>
      <c r="F969" s="7">
        <v>42</v>
      </c>
      <c r="G969" s="7">
        <v>5250</v>
      </c>
      <c r="H969" s="16">
        <v>45221</v>
      </c>
      <c r="I969" s="6">
        <v>43</v>
      </c>
      <c r="J969" s="6" t="s">
        <v>121</v>
      </c>
      <c r="K969" s="6" t="s">
        <v>361</v>
      </c>
      <c r="L969" s="11">
        <f>F969*Controls!$B$6</f>
        <v>42</v>
      </c>
      <c r="M969" s="11">
        <f>G969*Controls!$B$6</f>
        <v>5250</v>
      </c>
      <c r="N969" s="12">
        <f>IF(L969=0,0,SUMIFS('PSI Plan'!$N$6:$N$173,'PSI Plan'!$B$6:$B$173,B969,'PSI Plan'!$C$6:$C$173,I969))</f>
        <v>0</v>
      </c>
      <c r="O969" s="11">
        <f t="shared" si="30"/>
        <v>0</v>
      </c>
      <c r="P969" s="11">
        <f t="shared" si="31"/>
        <v>0</v>
      </c>
      <c r="Q969" s="6"/>
      <c r="R969" s="6"/>
      <c r="S969" s="6"/>
      <c r="T969" s="6"/>
    </row>
    <row r="970" spans="1:20">
      <c r="A970" s="6" t="s">
        <v>1117</v>
      </c>
      <c r="B970" s="6" t="s">
        <v>77</v>
      </c>
      <c r="C970" s="6" t="s">
        <v>99</v>
      </c>
      <c r="D970" s="6" t="s">
        <v>319</v>
      </c>
      <c r="E970" s="6" t="s">
        <v>120</v>
      </c>
      <c r="F970" s="7">
        <v>18</v>
      </c>
      <c r="G970" s="7">
        <v>2250</v>
      </c>
      <c r="H970" s="16">
        <v>45218</v>
      </c>
      <c r="I970" s="6">
        <v>42</v>
      </c>
      <c r="J970" s="6" t="s">
        <v>121</v>
      </c>
      <c r="K970" s="6" t="s">
        <v>361</v>
      </c>
      <c r="L970" s="11">
        <f>F970*Controls!$B$6</f>
        <v>18</v>
      </c>
      <c r="M970" s="11">
        <f>G970*Controls!$B$6</f>
        <v>2250</v>
      </c>
      <c r="N970" s="12">
        <f>IF(L970=0,0,SUMIFS('PSI Plan'!$N$6:$N$173,'PSI Plan'!$B$6:$B$173,B970,'PSI Plan'!$C$6:$C$173,I970))</f>
        <v>0</v>
      </c>
      <c r="O970" s="11">
        <f t="shared" si="30"/>
        <v>0</v>
      </c>
      <c r="P970" s="11">
        <f t="shared" si="31"/>
        <v>0</v>
      </c>
      <c r="Q970" s="6"/>
      <c r="R970" s="6"/>
      <c r="S970" s="6"/>
      <c r="T970" s="6"/>
    </row>
    <row r="971" spans="1:20">
      <c r="A971" s="6" t="s">
        <v>1118</v>
      </c>
      <c r="B971" s="6" t="s">
        <v>69</v>
      </c>
      <c r="C971" s="6" t="s">
        <v>99</v>
      </c>
      <c r="D971" s="6" t="s">
        <v>319</v>
      </c>
      <c r="E971" s="6" t="s">
        <v>120</v>
      </c>
      <c r="F971" s="7">
        <v>54</v>
      </c>
      <c r="G971" s="7">
        <v>6750</v>
      </c>
      <c r="H971" s="16">
        <v>45263</v>
      </c>
      <c r="I971" s="6">
        <v>49</v>
      </c>
      <c r="J971" s="6" t="s">
        <v>121</v>
      </c>
      <c r="K971" s="6" t="s">
        <v>361</v>
      </c>
      <c r="L971" s="11">
        <f>F971*Controls!$B$6</f>
        <v>54</v>
      </c>
      <c r="M971" s="11">
        <f>G971*Controls!$B$6</f>
        <v>6750</v>
      </c>
      <c r="N971" s="12">
        <f>IF(L971=0,0,SUMIFS('PSI Plan'!$N$6:$N$173,'PSI Plan'!$B$6:$B$173,B971,'PSI Plan'!$C$6:$C$173,I971))</f>
        <v>0</v>
      </c>
      <c r="O971" s="11">
        <f t="shared" si="30"/>
        <v>0</v>
      </c>
      <c r="P971" s="11">
        <f t="shared" si="31"/>
        <v>0</v>
      </c>
      <c r="Q971" s="6"/>
      <c r="R971" s="6"/>
      <c r="S971" s="6"/>
      <c r="T971" s="6"/>
    </row>
    <row r="972" spans="1:20">
      <c r="A972" s="6" t="s">
        <v>1119</v>
      </c>
      <c r="B972" s="6" t="s">
        <v>66</v>
      </c>
      <c r="C972" s="6" t="s">
        <v>100</v>
      </c>
      <c r="D972" s="6" t="s">
        <v>567</v>
      </c>
      <c r="E972" s="6" t="s">
        <v>120</v>
      </c>
      <c r="F972" s="7">
        <v>6</v>
      </c>
      <c r="G972" s="7">
        <v>750</v>
      </c>
      <c r="H972" s="16">
        <v>45264</v>
      </c>
      <c r="I972" s="6">
        <v>49</v>
      </c>
      <c r="J972" s="6" t="s">
        <v>121</v>
      </c>
      <c r="K972" s="6" t="s">
        <v>781</v>
      </c>
      <c r="L972" s="11">
        <f>F972*Controls!$B$6</f>
        <v>6</v>
      </c>
      <c r="M972" s="11">
        <f>G972*Controls!$B$6</f>
        <v>750</v>
      </c>
      <c r="N972" s="12">
        <f>IF(L972=0,0,SUMIFS('PSI Plan'!$N$6:$N$173,'PSI Plan'!$B$6:$B$173,B972,'PSI Plan'!$C$6:$C$173,I972))</f>
        <v>0</v>
      </c>
      <c r="O972" s="11">
        <f t="shared" si="30"/>
        <v>0</v>
      </c>
      <c r="P972" s="11">
        <f t="shared" si="31"/>
        <v>0</v>
      </c>
      <c r="Q972" s="6"/>
      <c r="R972" s="6"/>
      <c r="S972" s="6"/>
      <c r="T972" s="6"/>
    </row>
    <row r="973" spans="1:20">
      <c r="A973" s="6" t="s">
        <v>1120</v>
      </c>
      <c r="B973" s="6" t="s">
        <v>76</v>
      </c>
      <c r="C973" s="6" t="s">
        <v>100</v>
      </c>
      <c r="D973" s="6" t="s">
        <v>567</v>
      </c>
      <c r="E973" s="6" t="s">
        <v>120</v>
      </c>
      <c r="F973" s="7">
        <v>6</v>
      </c>
      <c r="G973" s="7">
        <v>750</v>
      </c>
      <c r="H973" s="16">
        <v>45271</v>
      </c>
      <c r="I973" s="6">
        <v>50</v>
      </c>
      <c r="J973" s="6" t="s">
        <v>121</v>
      </c>
      <c r="K973" s="6" t="s">
        <v>781</v>
      </c>
      <c r="L973" s="11">
        <f>F973*Controls!$B$6</f>
        <v>6</v>
      </c>
      <c r="M973" s="11">
        <f>G973*Controls!$B$6</f>
        <v>750</v>
      </c>
      <c r="N973" s="12">
        <f>IF(L973=0,0,SUMIFS('PSI Plan'!$N$6:$N$173,'PSI Plan'!$B$6:$B$173,B973,'PSI Plan'!$C$6:$C$173,I973))</f>
        <v>0</v>
      </c>
      <c r="O973" s="11">
        <f t="shared" si="30"/>
        <v>0</v>
      </c>
      <c r="P973" s="11">
        <f t="shared" si="31"/>
        <v>0</v>
      </c>
      <c r="Q973" s="6"/>
      <c r="R973" s="6"/>
      <c r="S973" s="6"/>
      <c r="T973" s="6"/>
    </row>
    <row r="974" spans="1:20">
      <c r="A974" s="6" t="s">
        <v>1121</v>
      </c>
      <c r="B974" s="6" t="s">
        <v>67</v>
      </c>
      <c r="C974" s="6" t="s">
        <v>100</v>
      </c>
      <c r="D974" s="6" t="s">
        <v>567</v>
      </c>
      <c r="E974" s="6" t="s">
        <v>120</v>
      </c>
      <c r="F974" s="7">
        <v>4</v>
      </c>
      <c r="G974" s="7">
        <v>500</v>
      </c>
      <c r="H974" s="16">
        <v>45236</v>
      </c>
      <c r="I974" s="6">
        <v>45</v>
      </c>
      <c r="J974" s="6" t="s">
        <v>121</v>
      </c>
      <c r="K974" s="6" t="s">
        <v>781</v>
      </c>
      <c r="L974" s="11">
        <f>F974*Controls!$B$6</f>
        <v>4</v>
      </c>
      <c r="M974" s="11">
        <f>G974*Controls!$B$6</f>
        <v>500</v>
      </c>
      <c r="N974" s="12">
        <f>IF(L974=0,0,SUMIFS('PSI Plan'!$N$6:$N$173,'PSI Plan'!$B$6:$B$173,B974,'PSI Plan'!$C$6:$C$173,I974))</f>
        <v>0</v>
      </c>
      <c r="O974" s="11">
        <f t="shared" si="30"/>
        <v>0</v>
      </c>
      <c r="P974" s="11">
        <f t="shared" si="31"/>
        <v>0</v>
      </c>
      <c r="Q974" s="6"/>
      <c r="R974" s="6"/>
      <c r="S974" s="6"/>
      <c r="T974" s="6"/>
    </row>
    <row r="975" spans="1:20">
      <c r="A975" s="6" t="s">
        <v>1122</v>
      </c>
      <c r="B975" s="6" t="s">
        <v>69</v>
      </c>
      <c r="C975" s="6" t="s">
        <v>100</v>
      </c>
      <c r="D975" s="6" t="s">
        <v>567</v>
      </c>
      <c r="E975" s="6" t="s">
        <v>120</v>
      </c>
      <c r="F975" s="7">
        <v>2</v>
      </c>
      <c r="G975" s="7">
        <v>250</v>
      </c>
      <c r="H975" s="16">
        <v>45241</v>
      </c>
      <c r="I975" s="6">
        <v>45</v>
      </c>
      <c r="J975" s="6" t="s">
        <v>121</v>
      </c>
      <c r="K975" s="6" t="s">
        <v>781</v>
      </c>
      <c r="L975" s="11">
        <f>F975*Controls!$B$6</f>
        <v>2</v>
      </c>
      <c r="M975" s="11">
        <f>G975*Controls!$B$6</f>
        <v>250</v>
      </c>
      <c r="N975" s="12">
        <f>IF(L975=0,0,SUMIFS('PSI Plan'!$N$6:$N$173,'PSI Plan'!$B$6:$B$173,B975,'PSI Plan'!$C$6:$C$173,I975))</f>
        <v>0</v>
      </c>
      <c r="O975" s="11">
        <f t="shared" si="30"/>
        <v>0</v>
      </c>
      <c r="P975" s="11">
        <f t="shared" si="31"/>
        <v>0</v>
      </c>
      <c r="Q975" s="6"/>
      <c r="R975" s="6"/>
      <c r="S975" s="6"/>
      <c r="T975" s="6"/>
    </row>
    <row r="976" spans="1:20">
      <c r="A976" s="6" t="s">
        <v>1123</v>
      </c>
      <c r="B976" s="6" t="s">
        <v>77</v>
      </c>
      <c r="C976" s="6" t="s">
        <v>100</v>
      </c>
      <c r="D976" s="6" t="s">
        <v>567</v>
      </c>
      <c r="E976" s="6" t="s">
        <v>120</v>
      </c>
      <c r="F976" s="7">
        <v>13</v>
      </c>
      <c r="G976" s="7">
        <v>1625</v>
      </c>
      <c r="H976" s="16">
        <v>45252</v>
      </c>
      <c r="I976" s="6">
        <v>47</v>
      </c>
      <c r="J976" s="6" t="s">
        <v>121</v>
      </c>
      <c r="K976" s="6" t="s">
        <v>568</v>
      </c>
      <c r="L976" s="11">
        <f>F976*Controls!$B$6</f>
        <v>13</v>
      </c>
      <c r="M976" s="11">
        <f>G976*Controls!$B$6</f>
        <v>1625</v>
      </c>
      <c r="N976" s="12">
        <f>IF(L976=0,0,SUMIFS('PSI Plan'!$N$6:$N$173,'PSI Plan'!$B$6:$B$173,B976,'PSI Plan'!$C$6:$C$173,I976))</f>
        <v>0</v>
      </c>
      <c r="O976" s="11">
        <f t="shared" si="30"/>
        <v>0</v>
      </c>
      <c r="P976" s="11">
        <f t="shared" si="31"/>
        <v>0</v>
      </c>
      <c r="Q976" s="6"/>
      <c r="R976" s="6"/>
      <c r="S976" s="6"/>
      <c r="T976" s="6"/>
    </row>
    <row r="977" spans="1:20">
      <c r="A977" s="6" t="s">
        <v>1124</v>
      </c>
      <c r="B977" s="6" t="s">
        <v>76</v>
      </c>
      <c r="C977" s="6" t="s">
        <v>100</v>
      </c>
      <c r="D977" s="6" t="s">
        <v>567</v>
      </c>
      <c r="E977" s="6" t="s">
        <v>120</v>
      </c>
      <c r="F977" s="7">
        <v>3</v>
      </c>
      <c r="G977" s="7">
        <v>375</v>
      </c>
      <c r="H977" s="16">
        <v>45230</v>
      </c>
      <c r="I977" s="6">
        <v>44</v>
      </c>
      <c r="J977" s="6" t="s">
        <v>121</v>
      </c>
      <c r="K977" s="6" t="s">
        <v>568</v>
      </c>
      <c r="L977" s="11">
        <f>F977*Controls!$B$6</f>
        <v>3</v>
      </c>
      <c r="M977" s="11">
        <f>G977*Controls!$B$6</f>
        <v>375</v>
      </c>
      <c r="N977" s="12">
        <f>IF(L977=0,0,SUMIFS('PSI Plan'!$N$6:$N$173,'PSI Plan'!$B$6:$B$173,B977,'PSI Plan'!$C$6:$C$173,I977))</f>
        <v>0</v>
      </c>
      <c r="O977" s="11">
        <f t="shared" si="30"/>
        <v>0</v>
      </c>
      <c r="P977" s="11">
        <f t="shared" si="31"/>
        <v>0</v>
      </c>
      <c r="Q977" s="6"/>
      <c r="R977" s="6"/>
      <c r="S977" s="6"/>
      <c r="T977" s="6"/>
    </row>
    <row r="978" spans="1:20">
      <c r="A978" s="6" t="s">
        <v>1125</v>
      </c>
      <c r="B978" s="6" t="s">
        <v>66</v>
      </c>
      <c r="C978" s="6" t="s">
        <v>99</v>
      </c>
      <c r="D978" s="6" t="s">
        <v>319</v>
      </c>
      <c r="E978" s="6" t="s">
        <v>120</v>
      </c>
      <c r="F978" s="7">
        <v>104</v>
      </c>
      <c r="G978" s="7">
        <v>13000</v>
      </c>
      <c r="H978" s="16">
        <v>45279</v>
      </c>
      <c r="I978" s="6">
        <v>51</v>
      </c>
      <c r="J978" s="6" t="s">
        <v>121</v>
      </c>
      <c r="K978" s="6" t="s">
        <v>347</v>
      </c>
      <c r="L978" s="11">
        <f>F978*Controls!$B$6</f>
        <v>104</v>
      </c>
      <c r="M978" s="11">
        <f>G978*Controls!$B$6</f>
        <v>13000</v>
      </c>
      <c r="N978" s="12">
        <f>IF(L978=0,0,SUMIFS('PSI Plan'!$N$6:$N$173,'PSI Plan'!$B$6:$B$173,B978,'PSI Plan'!$C$6:$C$173,I978))</f>
        <v>0</v>
      </c>
      <c r="O978" s="11">
        <f t="shared" si="30"/>
        <v>0</v>
      </c>
      <c r="P978" s="11">
        <f t="shared" si="31"/>
        <v>0</v>
      </c>
      <c r="Q978" s="6"/>
      <c r="R978" s="6"/>
      <c r="S978" s="6"/>
      <c r="T978" s="6"/>
    </row>
    <row r="979" spans="1:20">
      <c r="A979" s="6" t="s">
        <v>1126</v>
      </c>
      <c r="B979" s="6" t="s">
        <v>77</v>
      </c>
      <c r="C979" s="6" t="s">
        <v>99</v>
      </c>
      <c r="D979" s="6" t="s">
        <v>319</v>
      </c>
      <c r="E979" s="6" t="s">
        <v>120</v>
      </c>
      <c r="F979" s="7">
        <v>156</v>
      </c>
      <c r="G979" s="7">
        <v>19500</v>
      </c>
      <c r="H979" s="16">
        <v>45274</v>
      </c>
      <c r="I979" s="6">
        <v>50</v>
      </c>
      <c r="J979" s="6" t="s">
        <v>121</v>
      </c>
      <c r="K979" s="6" t="s">
        <v>347</v>
      </c>
      <c r="L979" s="11">
        <f>F979*Controls!$B$6</f>
        <v>156</v>
      </c>
      <c r="M979" s="11">
        <f>G979*Controls!$B$6</f>
        <v>19500</v>
      </c>
      <c r="N979" s="12">
        <f>IF(L979=0,0,SUMIFS('PSI Plan'!$N$6:$N$173,'PSI Plan'!$B$6:$B$173,B979,'PSI Plan'!$C$6:$C$173,I979))</f>
        <v>0</v>
      </c>
      <c r="O979" s="11">
        <f t="shared" si="30"/>
        <v>0</v>
      </c>
      <c r="P979" s="11">
        <f t="shared" si="31"/>
        <v>0</v>
      </c>
      <c r="Q979" s="6"/>
      <c r="R979" s="6"/>
      <c r="S979" s="6"/>
      <c r="T979" s="6"/>
    </row>
    <row r="980" spans="1:20">
      <c r="A980" s="6" t="s">
        <v>1127</v>
      </c>
      <c r="B980" s="6" t="s">
        <v>69</v>
      </c>
      <c r="C980" s="6" t="s">
        <v>99</v>
      </c>
      <c r="D980" s="6" t="s">
        <v>319</v>
      </c>
      <c r="E980" s="6" t="s">
        <v>120</v>
      </c>
      <c r="F980" s="7">
        <v>210</v>
      </c>
      <c r="G980" s="7">
        <v>26250</v>
      </c>
      <c r="H980" s="16">
        <v>45216</v>
      </c>
      <c r="I980" s="6">
        <v>42</v>
      </c>
      <c r="J980" s="6" t="s">
        <v>121</v>
      </c>
      <c r="K980" s="6" t="s">
        <v>347</v>
      </c>
      <c r="L980" s="11">
        <f>F980*Controls!$B$6</f>
        <v>210</v>
      </c>
      <c r="M980" s="11">
        <f>G980*Controls!$B$6</f>
        <v>26250</v>
      </c>
      <c r="N980" s="12">
        <f>IF(L980=0,0,SUMIFS('PSI Plan'!$N$6:$N$173,'PSI Plan'!$B$6:$B$173,B980,'PSI Plan'!$C$6:$C$173,I980))</f>
        <v>0</v>
      </c>
      <c r="O980" s="11">
        <f t="shared" si="30"/>
        <v>0</v>
      </c>
      <c r="P980" s="11">
        <f t="shared" si="31"/>
        <v>0</v>
      </c>
      <c r="Q980" s="6"/>
      <c r="R980" s="6"/>
      <c r="S980" s="6"/>
      <c r="T980" s="6"/>
    </row>
    <row r="981" spans="1:20">
      <c r="A981" s="6" t="s">
        <v>1128</v>
      </c>
      <c r="B981" s="6" t="s">
        <v>76</v>
      </c>
      <c r="C981" s="6" t="s">
        <v>99</v>
      </c>
      <c r="D981" s="6" t="s">
        <v>319</v>
      </c>
      <c r="E981" s="6" t="s">
        <v>120</v>
      </c>
      <c r="F981" s="7">
        <v>28</v>
      </c>
      <c r="G981" s="7">
        <v>3500</v>
      </c>
      <c r="H981" s="16">
        <v>45241</v>
      </c>
      <c r="I981" s="6">
        <v>45</v>
      </c>
      <c r="J981" s="6" t="s">
        <v>121</v>
      </c>
      <c r="K981" s="6" t="s">
        <v>347</v>
      </c>
      <c r="L981" s="11">
        <f>F981*Controls!$B$6</f>
        <v>28</v>
      </c>
      <c r="M981" s="11">
        <f>G981*Controls!$B$6</f>
        <v>3500</v>
      </c>
      <c r="N981" s="12">
        <f>IF(L981=0,0,SUMIFS('PSI Plan'!$N$6:$N$173,'PSI Plan'!$B$6:$B$173,B981,'PSI Plan'!$C$6:$C$173,I981))</f>
        <v>0</v>
      </c>
      <c r="O981" s="11">
        <f t="shared" si="30"/>
        <v>0</v>
      </c>
      <c r="P981" s="11">
        <f t="shared" si="31"/>
        <v>0</v>
      </c>
      <c r="Q981" s="6"/>
      <c r="R981" s="6"/>
      <c r="S981" s="6"/>
      <c r="T981" s="6"/>
    </row>
    <row r="982" spans="1:20">
      <c r="A982" s="6" t="s">
        <v>1129</v>
      </c>
      <c r="B982" s="6" t="s">
        <v>76</v>
      </c>
      <c r="C982" s="6" t="s">
        <v>90</v>
      </c>
      <c r="D982" s="6" t="s">
        <v>119</v>
      </c>
      <c r="E982" s="6" t="s">
        <v>120</v>
      </c>
      <c r="F982" s="7">
        <v>26</v>
      </c>
      <c r="G982" s="7">
        <v>3250</v>
      </c>
      <c r="H982" s="16">
        <v>45235</v>
      </c>
      <c r="I982" s="6">
        <v>45</v>
      </c>
      <c r="J982" s="6" t="s">
        <v>121</v>
      </c>
      <c r="K982" s="6" t="s">
        <v>855</v>
      </c>
      <c r="L982" s="11">
        <f>F982*Controls!$B$6</f>
        <v>26</v>
      </c>
      <c r="M982" s="11">
        <f>G982*Controls!$B$6</f>
        <v>3250</v>
      </c>
      <c r="N982" s="12">
        <f>IF(L982=0,0,SUMIFS('PSI Plan'!$N$6:$N$173,'PSI Plan'!$B$6:$B$173,B982,'PSI Plan'!$C$6:$C$173,I982))</f>
        <v>0</v>
      </c>
      <c r="O982" s="11">
        <f t="shared" si="30"/>
        <v>0</v>
      </c>
      <c r="P982" s="11">
        <f t="shared" si="31"/>
        <v>0</v>
      </c>
      <c r="Q982" s="6"/>
      <c r="R982" s="6"/>
      <c r="S982" s="6"/>
      <c r="T982" s="6"/>
    </row>
    <row r="983" spans="1:20">
      <c r="A983" s="6" t="s">
        <v>1130</v>
      </c>
      <c r="B983" s="6" t="s">
        <v>67</v>
      </c>
      <c r="C983" s="6" t="s">
        <v>90</v>
      </c>
      <c r="D983" s="6" t="s">
        <v>119</v>
      </c>
      <c r="E983" s="6" t="s">
        <v>120</v>
      </c>
      <c r="F983" s="7">
        <v>16</v>
      </c>
      <c r="G983" s="7">
        <v>2000</v>
      </c>
      <c r="H983" s="16">
        <v>45247</v>
      </c>
      <c r="I983" s="6">
        <v>46</v>
      </c>
      <c r="J983" s="6" t="s">
        <v>121</v>
      </c>
      <c r="K983" s="6" t="s">
        <v>171</v>
      </c>
      <c r="L983" s="11">
        <f>F983*Controls!$B$6</f>
        <v>16</v>
      </c>
      <c r="M983" s="11">
        <f>G983*Controls!$B$6</f>
        <v>2000</v>
      </c>
      <c r="N983" s="12">
        <f>IF(L983=0,0,SUMIFS('PSI Plan'!$N$6:$N$173,'PSI Plan'!$B$6:$B$173,B983,'PSI Plan'!$C$6:$C$173,I983))</f>
        <v>0</v>
      </c>
      <c r="O983" s="11">
        <f t="shared" si="30"/>
        <v>0</v>
      </c>
      <c r="P983" s="11">
        <f t="shared" si="31"/>
        <v>0</v>
      </c>
      <c r="Q983" s="6"/>
      <c r="R983" s="6"/>
      <c r="S983" s="6"/>
      <c r="T983" s="6"/>
    </row>
    <row r="984" spans="1:20">
      <c r="A984" s="6" t="s">
        <v>1131</v>
      </c>
      <c r="B984" s="6" t="s">
        <v>66</v>
      </c>
      <c r="C984" s="6" t="s">
        <v>90</v>
      </c>
      <c r="D984" s="6" t="s">
        <v>119</v>
      </c>
      <c r="E984" s="6" t="s">
        <v>120</v>
      </c>
      <c r="F984" s="7">
        <v>2</v>
      </c>
      <c r="G984" s="7">
        <v>250</v>
      </c>
      <c r="H984" s="16">
        <v>45233</v>
      </c>
      <c r="I984" s="6">
        <v>44</v>
      </c>
      <c r="J984" s="6" t="s">
        <v>121</v>
      </c>
      <c r="K984" s="6" t="s">
        <v>150</v>
      </c>
      <c r="L984" s="11">
        <f>F984*Controls!$B$6</f>
        <v>2</v>
      </c>
      <c r="M984" s="11">
        <f>G984*Controls!$B$6</f>
        <v>250</v>
      </c>
      <c r="N984" s="12">
        <f>IF(L984=0,0,SUMIFS('PSI Plan'!$N$6:$N$173,'PSI Plan'!$B$6:$B$173,B984,'PSI Plan'!$C$6:$C$173,I984))</f>
        <v>0</v>
      </c>
      <c r="O984" s="11">
        <f t="shared" si="30"/>
        <v>0</v>
      </c>
      <c r="P984" s="11">
        <f t="shared" si="31"/>
        <v>0</v>
      </c>
      <c r="Q984" s="6"/>
      <c r="R984" s="6"/>
      <c r="S984" s="6"/>
      <c r="T984" s="6"/>
    </row>
    <row r="985" spans="1:20">
      <c r="A985" s="6" t="s">
        <v>1132</v>
      </c>
      <c r="B985" s="6" t="s">
        <v>77</v>
      </c>
      <c r="C985" s="6" t="s">
        <v>90</v>
      </c>
      <c r="D985" s="6" t="s">
        <v>119</v>
      </c>
      <c r="E985" s="6" t="s">
        <v>120</v>
      </c>
      <c r="F985" s="7">
        <v>4</v>
      </c>
      <c r="G985" s="7">
        <v>500</v>
      </c>
      <c r="H985" s="16">
        <v>45253</v>
      </c>
      <c r="I985" s="6">
        <v>47</v>
      </c>
      <c r="J985" s="6" t="s">
        <v>121</v>
      </c>
      <c r="K985" s="6" t="s">
        <v>150</v>
      </c>
      <c r="L985" s="11">
        <f>F985*Controls!$B$6</f>
        <v>4</v>
      </c>
      <c r="M985" s="11">
        <f>G985*Controls!$B$6</f>
        <v>500</v>
      </c>
      <c r="N985" s="12">
        <f>IF(L985=0,0,SUMIFS('PSI Plan'!$N$6:$N$173,'PSI Plan'!$B$6:$B$173,B985,'PSI Plan'!$C$6:$C$173,I985))</f>
        <v>0</v>
      </c>
      <c r="O985" s="11">
        <f t="shared" si="30"/>
        <v>0</v>
      </c>
      <c r="P985" s="11">
        <f t="shared" si="31"/>
        <v>0</v>
      </c>
      <c r="Q985" s="6"/>
      <c r="R985" s="6"/>
      <c r="S985" s="6"/>
      <c r="T985" s="6"/>
    </row>
    <row r="986" spans="1:20">
      <c r="A986" s="6" t="s">
        <v>1133</v>
      </c>
      <c r="B986" s="6" t="s">
        <v>76</v>
      </c>
      <c r="C986" s="6" t="s">
        <v>90</v>
      </c>
      <c r="D986" s="6" t="s">
        <v>119</v>
      </c>
      <c r="E986" s="6" t="s">
        <v>120</v>
      </c>
      <c r="F986" s="7">
        <v>3</v>
      </c>
      <c r="G986" s="7">
        <v>375</v>
      </c>
      <c r="H986" s="16">
        <v>45242</v>
      </c>
      <c r="I986" s="6">
        <v>46</v>
      </c>
      <c r="J986" s="6" t="s">
        <v>121</v>
      </c>
      <c r="K986" s="6" t="s">
        <v>150</v>
      </c>
      <c r="L986" s="11">
        <f>F986*Controls!$B$6</f>
        <v>3</v>
      </c>
      <c r="M986" s="11">
        <f>G986*Controls!$B$6</f>
        <v>375</v>
      </c>
      <c r="N986" s="12">
        <f>IF(L986=0,0,SUMIFS('PSI Plan'!$N$6:$N$173,'PSI Plan'!$B$6:$B$173,B986,'PSI Plan'!$C$6:$C$173,I986))</f>
        <v>0</v>
      </c>
      <c r="O986" s="11">
        <f t="shared" si="30"/>
        <v>0</v>
      </c>
      <c r="P986" s="11">
        <f t="shared" si="31"/>
        <v>0</v>
      </c>
      <c r="Q986" s="6"/>
      <c r="R986" s="6"/>
      <c r="S986" s="6"/>
      <c r="T986" s="6"/>
    </row>
    <row r="987" spans="1:20">
      <c r="A987" s="6" t="s">
        <v>1134</v>
      </c>
      <c r="B987" s="6" t="s">
        <v>69</v>
      </c>
      <c r="C987" s="6" t="s">
        <v>90</v>
      </c>
      <c r="D987" s="6" t="s">
        <v>119</v>
      </c>
      <c r="E987" s="6" t="s">
        <v>120</v>
      </c>
      <c r="F987" s="7">
        <v>3</v>
      </c>
      <c r="G987" s="7">
        <v>375</v>
      </c>
      <c r="H987" s="16">
        <v>45273</v>
      </c>
      <c r="I987" s="6">
        <v>50</v>
      </c>
      <c r="J987" s="6" t="s">
        <v>121</v>
      </c>
      <c r="K987" s="6" t="s">
        <v>150</v>
      </c>
      <c r="L987" s="11">
        <f>F987*Controls!$B$6</f>
        <v>3</v>
      </c>
      <c r="M987" s="11">
        <f>G987*Controls!$B$6</f>
        <v>375</v>
      </c>
      <c r="N987" s="12">
        <f>IF(L987=0,0,SUMIFS('PSI Plan'!$N$6:$N$173,'PSI Plan'!$B$6:$B$173,B987,'PSI Plan'!$C$6:$C$173,I987))</f>
        <v>0</v>
      </c>
      <c r="O987" s="11">
        <f t="shared" si="30"/>
        <v>0</v>
      </c>
      <c r="P987" s="11">
        <f t="shared" si="31"/>
        <v>0</v>
      </c>
      <c r="Q987" s="6"/>
      <c r="R987" s="6"/>
      <c r="S987" s="6"/>
      <c r="T987" s="6"/>
    </row>
    <row r="988" spans="1:20">
      <c r="A988" s="6" t="s">
        <v>1135</v>
      </c>
      <c r="B988" s="6" t="s">
        <v>66</v>
      </c>
      <c r="C988" s="6" t="s">
        <v>90</v>
      </c>
      <c r="D988" s="6" t="s">
        <v>119</v>
      </c>
      <c r="E988" s="6" t="s">
        <v>120</v>
      </c>
      <c r="F988" s="7">
        <v>3</v>
      </c>
      <c r="G988" s="7">
        <v>375</v>
      </c>
      <c r="H988" s="16">
        <v>45248</v>
      </c>
      <c r="I988" s="6">
        <v>46</v>
      </c>
      <c r="J988" s="6" t="s">
        <v>121</v>
      </c>
      <c r="K988" s="6" t="s">
        <v>298</v>
      </c>
      <c r="L988" s="11">
        <f>F988*Controls!$B$6</f>
        <v>3</v>
      </c>
      <c r="M988" s="11">
        <f>G988*Controls!$B$6</f>
        <v>375</v>
      </c>
      <c r="N988" s="12">
        <f>IF(L988=0,0,SUMIFS('PSI Plan'!$N$6:$N$173,'PSI Plan'!$B$6:$B$173,B988,'PSI Plan'!$C$6:$C$173,I988))</f>
        <v>0</v>
      </c>
      <c r="O988" s="11">
        <f t="shared" si="30"/>
        <v>0</v>
      </c>
      <c r="P988" s="11">
        <f t="shared" si="31"/>
        <v>0</v>
      </c>
      <c r="Q988" s="6"/>
      <c r="R988" s="6"/>
      <c r="S988" s="6"/>
      <c r="T988" s="6"/>
    </row>
    <row r="989" spans="1:20">
      <c r="A989" s="6" t="s">
        <v>1136</v>
      </c>
      <c r="B989" s="6" t="s">
        <v>76</v>
      </c>
      <c r="C989" s="6" t="s">
        <v>90</v>
      </c>
      <c r="D989" s="6" t="s">
        <v>119</v>
      </c>
      <c r="E989" s="6" t="s">
        <v>120</v>
      </c>
      <c r="F989" s="7">
        <v>2</v>
      </c>
      <c r="G989" s="7">
        <v>250</v>
      </c>
      <c r="H989" s="16">
        <v>45236</v>
      </c>
      <c r="I989" s="6">
        <v>45</v>
      </c>
      <c r="J989" s="6" t="s">
        <v>121</v>
      </c>
      <c r="K989" s="6" t="s">
        <v>298</v>
      </c>
      <c r="L989" s="11">
        <f>F989*Controls!$B$6</f>
        <v>2</v>
      </c>
      <c r="M989" s="11">
        <f>G989*Controls!$B$6</f>
        <v>250</v>
      </c>
      <c r="N989" s="12">
        <f>IF(L989=0,0,SUMIFS('PSI Plan'!$N$6:$N$173,'PSI Plan'!$B$6:$B$173,B989,'PSI Plan'!$C$6:$C$173,I989))</f>
        <v>0</v>
      </c>
      <c r="O989" s="11">
        <f t="shared" si="30"/>
        <v>0</v>
      </c>
      <c r="P989" s="11">
        <f t="shared" si="31"/>
        <v>0</v>
      </c>
      <c r="Q989" s="6"/>
      <c r="R989" s="6"/>
      <c r="S989" s="6"/>
      <c r="T989" s="6"/>
    </row>
    <row r="990" spans="1:20">
      <c r="A990" s="6" t="s">
        <v>1137</v>
      </c>
      <c r="B990" s="6" t="s">
        <v>66</v>
      </c>
      <c r="C990" s="6" t="s">
        <v>90</v>
      </c>
      <c r="D990" s="6" t="s">
        <v>119</v>
      </c>
      <c r="E990" s="6" t="s">
        <v>120</v>
      </c>
      <c r="F990" s="7">
        <v>26</v>
      </c>
      <c r="G990" s="7">
        <v>3250</v>
      </c>
      <c r="H990" s="16">
        <v>45287</v>
      </c>
      <c r="I990" s="6">
        <v>52</v>
      </c>
      <c r="J990" s="6" t="s">
        <v>121</v>
      </c>
      <c r="K990" s="6" t="s">
        <v>122</v>
      </c>
      <c r="L990" s="11">
        <f>F990*Controls!$B$6</f>
        <v>26</v>
      </c>
      <c r="M990" s="11">
        <f>G990*Controls!$B$6</f>
        <v>3250</v>
      </c>
      <c r="N990" s="12">
        <f>IF(L990=0,0,SUMIFS('PSI Plan'!$N$6:$N$173,'PSI Plan'!$B$6:$B$173,B990,'PSI Plan'!$C$6:$C$173,I990))</f>
        <v>0</v>
      </c>
      <c r="O990" s="11">
        <f t="shared" si="30"/>
        <v>0</v>
      </c>
      <c r="P990" s="11">
        <f t="shared" si="31"/>
        <v>0</v>
      </c>
      <c r="Q990" s="6"/>
      <c r="R990" s="6"/>
      <c r="S990" s="6"/>
      <c r="T990" s="6"/>
    </row>
    <row r="991" spans="1:20">
      <c r="A991" s="6" t="s">
        <v>1138</v>
      </c>
      <c r="B991" s="6" t="s">
        <v>77</v>
      </c>
      <c r="C991" s="6" t="s">
        <v>90</v>
      </c>
      <c r="D991" s="6" t="s">
        <v>119</v>
      </c>
      <c r="E991" s="6" t="s">
        <v>120</v>
      </c>
      <c r="F991" s="7">
        <v>78</v>
      </c>
      <c r="G991" s="7">
        <v>9750</v>
      </c>
      <c r="H991" s="16">
        <v>45268</v>
      </c>
      <c r="I991" s="6">
        <v>49</v>
      </c>
      <c r="J991" s="6" t="s">
        <v>121</v>
      </c>
      <c r="K991" s="6" t="s">
        <v>122</v>
      </c>
      <c r="L991" s="11">
        <f>F991*Controls!$B$6</f>
        <v>78</v>
      </c>
      <c r="M991" s="11">
        <f>G991*Controls!$B$6</f>
        <v>9750</v>
      </c>
      <c r="N991" s="12">
        <f>IF(L991=0,0,SUMIFS('PSI Plan'!$N$6:$N$173,'PSI Plan'!$B$6:$B$173,B991,'PSI Plan'!$C$6:$C$173,I991))</f>
        <v>0</v>
      </c>
      <c r="O991" s="11">
        <f t="shared" si="30"/>
        <v>0</v>
      </c>
      <c r="P991" s="11">
        <f t="shared" si="31"/>
        <v>0</v>
      </c>
      <c r="Q991" s="6"/>
      <c r="R991" s="6"/>
      <c r="S991" s="6"/>
      <c r="T991" s="6"/>
    </row>
    <row r="992" spans="1:20">
      <c r="A992" s="6" t="s">
        <v>1139</v>
      </c>
      <c r="B992" s="6" t="s">
        <v>76</v>
      </c>
      <c r="C992" s="6" t="s">
        <v>90</v>
      </c>
      <c r="D992" s="6" t="s">
        <v>119</v>
      </c>
      <c r="E992" s="6" t="s">
        <v>120</v>
      </c>
      <c r="F992" s="7">
        <v>78</v>
      </c>
      <c r="G992" s="7">
        <v>9750</v>
      </c>
      <c r="H992" s="16">
        <v>45216</v>
      </c>
      <c r="I992" s="6">
        <v>42</v>
      </c>
      <c r="J992" s="6" t="s">
        <v>121</v>
      </c>
      <c r="K992" s="6" t="s">
        <v>122</v>
      </c>
      <c r="L992" s="11">
        <f>F992*Controls!$B$6</f>
        <v>78</v>
      </c>
      <c r="M992" s="11">
        <f>G992*Controls!$B$6</f>
        <v>9750</v>
      </c>
      <c r="N992" s="12">
        <f>IF(L992=0,0,SUMIFS('PSI Plan'!$N$6:$N$173,'PSI Plan'!$B$6:$B$173,B992,'PSI Plan'!$C$6:$C$173,I992))</f>
        <v>0</v>
      </c>
      <c r="O992" s="11">
        <f t="shared" si="30"/>
        <v>0</v>
      </c>
      <c r="P992" s="11">
        <f t="shared" si="31"/>
        <v>0</v>
      </c>
      <c r="Q992" s="6"/>
      <c r="R992" s="6"/>
      <c r="S992" s="6"/>
      <c r="T992" s="6"/>
    </row>
    <row r="993" spans="1:20">
      <c r="A993" s="6" t="s">
        <v>1140</v>
      </c>
      <c r="B993" s="6" t="s">
        <v>67</v>
      </c>
      <c r="C993" s="6" t="s">
        <v>90</v>
      </c>
      <c r="D993" s="6" t="s">
        <v>119</v>
      </c>
      <c r="E993" s="6" t="s">
        <v>120</v>
      </c>
      <c r="F993" s="7">
        <v>52</v>
      </c>
      <c r="G993" s="7">
        <v>6500</v>
      </c>
      <c r="H993" s="16">
        <v>45243</v>
      </c>
      <c r="I993" s="6">
        <v>46</v>
      </c>
      <c r="J993" s="6" t="s">
        <v>121</v>
      </c>
      <c r="K993" s="6" t="s">
        <v>122</v>
      </c>
      <c r="L993" s="11">
        <f>F993*Controls!$B$6</f>
        <v>52</v>
      </c>
      <c r="M993" s="11">
        <f>G993*Controls!$B$6</f>
        <v>6500</v>
      </c>
      <c r="N993" s="12">
        <f>IF(L993=0,0,SUMIFS('PSI Plan'!$N$6:$N$173,'PSI Plan'!$B$6:$B$173,B993,'PSI Plan'!$C$6:$C$173,I993))</f>
        <v>0</v>
      </c>
      <c r="O993" s="11">
        <f t="shared" si="30"/>
        <v>0</v>
      </c>
      <c r="P993" s="11">
        <f t="shared" si="31"/>
        <v>0</v>
      </c>
      <c r="Q993" s="6"/>
      <c r="R993" s="6"/>
      <c r="S993" s="6"/>
      <c r="T993" s="6"/>
    </row>
    <row r="994" spans="1:20">
      <c r="A994" s="6" t="s">
        <v>1141</v>
      </c>
      <c r="B994" s="6" t="s">
        <v>69</v>
      </c>
      <c r="C994" s="6" t="s">
        <v>90</v>
      </c>
      <c r="D994" s="6" t="s">
        <v>119</v>
      </c>
      <c r="E994" s="6" t="s">
        <v>120</v>
      </c>
      <c r="F994" s="7">
        <v>182</v>
      </c>
      <c r="G994" s="7">
        <v>22750</v>
      </c>
      <c r="H994" s="16">
        <v>45272</v>
      </c>
      <c r="I994" s="6">
        <v>50</v>
      </c>
      <c r="J994" s="6" t="s">
        <v>121</v>
      </c>
      <c r="K994" s="6" t="s">
        <v>122</v>
      </c>
      <c r="L994" s="11">
        <f>F994*Controls!$B$6</f>
        <v>182</v>
      </c>
      <c r="M994" s="11">
        <f>G994*Controls!$B$6</f>
        <v>22750</v>
      </c>
      <c r="N994" s="12">
        <f>IF(L994=0,0,SUMIFS('PSI Plan'!$N$6:$N$173,'PSI Plan'!$B$6:$B$173,B994,'PSI Plan'!$C$6:$C$173,I994))</f>
        <v>0</v>
      </c>
      <c r="O994" s="11">
        <f t="shared" si="30"/>
        <v>0</v>
      </c>
      <c r="P994" s="11">
        <f t="shared" si="31"/>
        <v>0</v>
      </c>
      <c r="Q994" s="6"/>
      <c r="R994" s="6"/>
      <c r="S994" s="6"/>
      <c r="T994" s="6"/>
    </row>
    <row r="995" spans="1:20">
      <c r="A995" s="6" t="s">
        <v>1142</v>
      </c>
      <c r="B995" s="6" t="s">
        <v>66</v>
      </c>
      <c r="C995" s="6" t="s">
        <v>99</v>
      </c>
      <c r="D995" s="6" t="s">
        <v>319</v>
      </c>
      <c r="E995" s="6" t="s">
        <v>120</v>
      </c>
      <c r="F995" s="7">
        <v>37</v>
      </c>
      <c r="G995" s="7">
        <v>4625</v>
      </c>
      <c r="H995" s="16">
        <v>45233</v>
      </c>
      <c r="I995" s="6">
        <v>44</v>
      </c>
      <c r="J995" s="6" t="s">
        <v>121</v>
      </c>
      <c r="K995" s="6" t="s">
        <v>324</v>
      </c>
      <c r="L995" s="11">
        <f>F995*Controls!$B$6</f>
        <v>37</v>
      </c>
      <c r="M995" s="11">
        <f>G995*Controls!$B$6</f>
        <v>4625</v>
      </c>
      <c r="N995" s="12">
        <f>IF(L995=0,0,SUMIFS('PSI Plan'!$N$6:$N$173,'PSI Plan'!$B$6:$B$173,B995,'PSI Plan'!$C$6:$C$173,I995))</f>
        <v>0</v>
      </c>
      <c r="O995" s="11">
        <f t="shared" si="30"/>
        <v>0</v>
      </c>
      <c r="P995" s="11">
        <f t="shared" si="31"/>
        <v>0</v>
      </c>
      <c r="Q995" s="6"/>
      <c r="R995" s="6"/>
      <c r="S995" s="6"/>
      <c r="T995" s="6"/>
    </row>
    <row r="996" spans="1:20">
      <c r="A996" s="6" t="s">
        <v>1143</v>
      </c>
      <c r="B996" s="6" t="s">
        <v>77</v>
      </c>
      <c r="C996" s="6" t="s">
        <v>99</v>
      </c>
      <c r="D996" s="6" t="s">
        <v>319</v>
      </c>
      <c r="E996" s="6" t="s">
        <v>120</v>
      </c>
      <c r="F996" s="7">
        <v>32</v>
      </c>
      <c r="G996" s="7">
        <v>4000</v>
      </c>
      <c r="H996" s="16">
        <v>45244</v>
      </c>
      <c r="I996" s="6">
        <v>46</v>
      </c>
      <c r="J996" s="6" t="s">
        <v>121</v>
      </c>
      <c r="K996" s="6" t="s">
        <v>324</v>
      </c>
      <c r="L996" s="11">
        <f>F996*Controls!$B$6</f>
        <v>32</v>
      </c>
      <c r="M996" s="11">
        <f>G996*Controls!$B$6</f>
        <v>4000</v>
      </c>
      <c r="N996" s="12">
        <f>IF(L996=0,0,SUMIFS('PSI Plan'!$N$6:$N$173,'PSI Plan'!$B$6:$B$173,B996,'PSI Plan'!$C$6:$C$173,I996))</f>
        <v>0</v>
      </c>
      <c r="O996" s="11">
        <f t="shared" si="30"/>
        <v>0</v>
      </c>
      <c r="P996" s="11">
        <f t="shared" si="31"/>
        <v>0</v>
      </c>
      <c r="Q996" s="6"/>
      <c r="R996" s="6"/>
      <c r="S996" s="6"/>
      <c r="T996" s="6"/>
    </row>
    <row r="997" spans="1:20">
      <c r="A997" s="6" t="s">
        <v>1144</v>
      </c>
      <c r="B997" s="6" t="s">
        <v>67</v>
      </c>
      <c r="C997" s="6" t="s">
        <v>99</v>
      </c>
      <c r="D997" s="6" t="s">
        <v>319</v>
      </c>
      <c r="E997" s="6" t="s">
        <v>120</v>
      </c>
      <c r="F997" s="7">
        <v>30</v>
      </c>
      <c r="G997" s="7">
        <v>3750</v>
      </c>
      <c r="H997" s="16">
        <v>45271</v>
      </c>
      <c r="I997" s="6">
        <v>50</v>
      </c>
      <c r="J997" s="6" t="s">
        <v>121</v>
      </c>
      <c r="K997" s="6" t="s">
        <v>324</v>
      </c>
      <c r="L997" s="11">
        <f>F997*Controls!$B$6</f>
        <v>30</v>
      </c>
      <c r="M997" s="11">
        <f>G997*Controls!$B$6</f>
        <v>3750</v>
      </c>
      <c r="N997" s="12">
        <f>IF(L997=0,0,SUMIFS('PSI Plan'!$N$6:$N$173,'PSI Plan'!$B$6:$B$173,B997,'PSI Plan'!$C$6:$C$173,I997))</f>
        <v>0</v>
      </c>
      <c r="O997" s="11">
        <f t="shared" si="30"/>
        <v>0</v>
      </c>
      <c r="P997" s="11">
        <f t="shared" si="31"/>
        <v>0</v>
      </c>
      <c r="Q997" s="6"/>
      <c r="R997" s="6"/>
      <c r="S997" s="6"/>
      <c r="T997" s="6"/>
    </row>
    <row r="998" spans="1:20">
      <c r="A998" s="6" t="s">
        <v>1145</v>
      </c>
      <c r="B998" s="6" t="s">
        <v>69</v>
      </c>
      <c r="C998" s="6" t="s">
        <v>99</v>
      </c>
      <c r="D998" s="6" t="s">
        <v>319</v>
      </c>
      <c r="E998" s="6" t="s">
        <v>120</v>
      </c>
      <c r="F998" s="7">
        <v>52</v>
      </c>
      <c r="G998" s="7">
        <v>6500</v>
      </c>
      <c r="H998" s="16">
        <v>45247</v>
      </c>
      <c r="I998" s="6">
        <v>46</v>
      </c>
      <c r="J998" s="6" t="s">
        <v>121</v>
      </c>
      <c r="K998" s="6" t="s">
        <v>324</v>
      </c>
      <c r="L998" s="11">
        <f>F998*Controls!$B$6</f>
        <v>52</v>
      </c>
      <c r="M998" s="11">
        <f>G998*Controls!$B$6</f>
        <v>6500</v>
      </c>
      <c r="N998" s="12">
        <f>IF(L998=0,0,SUMIFS('PSI Plan'!$N$6:$N$173,'PSI Plan'!$B$6:$B$173,B998,'PSI Plan'!$C$6:$C$173,I998))</f>
        <v>0</v>
      </c>
      <c r="O998" s="11">
        <f t="shared" si="30"/>
        <v>0</v>
      </c>
      <c r="P998" s="11">
        <f t="shared" si="31"/>
        <v>0</v>
      </c>
      <c r="Q998" s="6"/>
      <c r="R998" s="6"/>
      <c r="S998" s="6"/>
      <c r="T998" s="6"/>
    </row>
    <row r="999" spans="1:20">
      <c r="A999" s="6" t="s">
        <v>1146</v>
      </c>
      <c r="B999" s="6" t="s">
        <v>66</v>
      </c>
      <c r="C999" s="6" t="s">
        <v>90</v>
      </c>
      <c r="D999" s="6" t="s">
        <v>119</v>
      </c>
      <c r="E999" s="6" t="s">
        <v>120</v>
      </c>
      <c r="F999" s="7">
        <v>6</v>
      </c>
      <c r="G999" s="7">
        <v>750</v>
      </c>
      <c r="H999" s="16">
        <v>45257</v>
      </c>
      <c r="I999" s="6">
        <v>48</v>
      </c>
      <c r="J999" s="6" t="s">
        <v>121</v>
      </c>
      <c r="K999" s="6" t="s">
        <v>150</v>
      </c>
      <c r="L999" s="11">
        <f>F999*Controls!$B$6</f>
        <v>6</v>
      </c>
      <c r="M999" s="11">
        <f>G999*Controls!$B$6</f>
        <v>750</v>
      </c>
      <c r="N999" s="12">
        <f>IF(L999=0,0,SUMIFS('PSI Plan'!$N$6:$N$173,'PSI Plan'!$B$6:$B$173,B999,'PSI Plan'!$C$6:$C$173,I999))</f>
        <v>0</v>
      </c>
      <c r="O999" s="11">
        <f t="shared" si="30"/>
        <v>0</v>
      </c>
      <c r="P999" s="11">
        <f t="shared" si="31"/>
        <v>0</v>
      </c>
      <c r="Q999" s="6"/>
      <c r="R999" s="6"/>
      <c r="S999" s="6"/>
      <c r="T999" s="6"/>
    </row>
    <row r="1000" spans="1:20">
      <c r="A1000" s="6" t="s">
        <v>1147</v>
      </c>
      <c r="B1000" s="6" t="s">
        <v>77</v>
      </c>
      <c r="C1000" s="6" t="s">
        <v>90</v>
      </c>
      <c r="D1000" s="6" t="s">
        <v>119</v>
      </c>
      <c r="E1000" s="6" t="s">
        <v>120</v>
      </c>
      <c r="F1000" s="7">
        <v>4</v>
      </c>
      <c r="G1000" s="7">
        <v>500</v>
      </c>
      <c r="H1000" s="16">
        <v>45254</v>
      </c>
      <c r="I1000" s="6">
        <v>47</v>
      </c>
      <c r="J1000" s="6" t="s">
        <v>121</v>
      </c>
      <c r="K1000" s="6" t="s">
        <v>150</v>
      </c>
      <c r="L1000" s="11">
        <f>F1000*Controls!$B$6</f>
        <v>4</v>
      </c>
      <c r="M1000" s="11">
        <f>G1000*Controls!$B$6</f>
        <v>500</v>
      </c>
      <c r="N1000" s="12">
        <f>IF(L1000=0,0,SUMIFS('PSI Plan'!$N$6:$N$173,'PSI Plan'!$B$6:$B$173,B1000,'PSI Plan'!$C$6:$C$173,I1000))</f>
        <v>0</v>
      </c>
      <c r="O1000" s="11">
        <f t="shared" si="30"/>
        <v>0</v>
      </c>
      <c r="P1000" s="11">
        <f t="shared" si="31"/>
        <v>0</v>
      </c>
      <c r="Q1000" s="6"/>
      <c r="R1000" s="6"/>
      <c r="S1000" s="6"/>
      <c r="T1000" s="6"/>
    </row>
    <row r="1001" spans="1:20">
      <c r="A1001" s="6" t="s">
        <v>1148</v>
      </c>
      <c r="B1001" s="6" t="s">
        <v>76</v>
      </c>
      <c r="C1001" s="6" t="s">
        <v>90</v>
      </c>
      <c r="D1001" s="6" t="s">
        <v>119</v>
      </c>
      <c r="E1001" s="6" t="s">
        <v>120</v>
      </c>
      <c r="F1001" s="7">
        <v>9</v>
      </c>
      <c r="G1001" s="7">
        <v>1125</v>
      </c>
      <c r="H1001" s="16">
        <v>45253</v>
      </c>
      <c r="I1001" s="6">
        <v>47</v>
      </c>
      <c r="J1001" s="6" t="s">
        <v>121</v>
      </c>
      <c r="K1001" s="6" t="s">
        <v>150</v>
      </c>
      <c r="L1001" s="11">
        <f>F1001*Controls!$B$6</f>
        <v>9</v>
      </c>
      <c r="M1001" s="11">
        <f>G1001*Controls!$B$6</f>
        <v>1125</v>
      </c>
      <c r="N1001" s="12">
        <f>IF(L1001=0,0,SUMIFS('PSI Plan'!$N$6:$N$173,'PSI Plan'!$B$6:$B$173,B1001,'PSI Plan'!$C$6:$C$173,I1001))</f>
        <v>0</v>
      </c>
      <c r="O1001" s="11">
        <f t="shared" si="30"/>
        <v>0</v>
      </c>
      <c r="P1001" s="11">
        <f t="shared" si="31"/>
        <v>0</v>
      </c>
      <c r="Q1001" s="6"/>
      <c r="R1001" s="6"/>
      <c r="S1001" s="6"/>
      <c r="T1001" s="6"/>
    </row>
    <row r="1002" spans="1:20">
      <c r="A1002" s="6" t="s">
        <v>1149</v>
      </c>
      <c r="B1002" s="6" t="s">
        <v>69</v>
      </c>
      <c r="C1002" s="6" t="s">
        <v>90</v>
      </c>
      <c r="D1002" s="6" t="s">
        <v>119</v>
      </c>
      <c r="E1002" s="6" t="s">
        <v>120</v>
      </c>
      <c r="F1002" s="7">
        <v>4</v>
      </c>
      <c r="G1002" s="7">
        <v>500</v>
      </c>
      <c r="H1002" s="16">
        <v>45239</v>
      </c>
      <c r="I1002" s="6">
        <v>45</v>
      </c>
      <c r="J1002" s="6" t="s">
        <v>121</v>
      </c>
      <c r="K1002" s="6" t="s">
        <v>150</v>
      </c>
      <c r="L1002" s="11">
        <f>F1002*Controls!$B$6</f>
        <v>4</v>
      </c>
      <c r="M1002" s="11">
        <f>G1002*Controls!$B$6</f>
        <v>500</v>
      </c>
      <c r="N1002" s="12">
        <f>IF(L1002=0,0,SUMIFS('PSI Plan'!$N$6:$N$173,'PSI Plan'!$B$6:$B$173,B1002,'PSI Plan'!$C$6:$C$173,I1002))</f>
        <v>0</v>
      </c>
      <c r="O1002" s="11">
        <f t="shared" si="30"/>
        <v>0</v>
      </c>
      <c r="P1002" s="11">
        <f t="shared" si="31"/>
        <v>0</v>
      </c>
      <c r="Q1002" s="6"/>
      <c r="R1002" s="6"/>
      <c r="S1002" s="6"/>
      <c r="T1002" s="6"/>
    </row>
    <row r="1003" spans="1:20">
      <c r="A1003" s="6" t="s">
        <v>1150</v>
      </c>
      <c r="B1003" s="6" t="s">
        <v>66</v>
      </c>
      <c r="C1003" s="6" t="s">
        <v>90</v>
      </c>
      <c r="D1003" s="6" t="s">
        <v>119</v>
      </c>
      <c r="E1003" s="6" t="s">
        <v>120</v>
      </c>
      <c r="F1003" s="7">
        <v>5</v>
      </c>
      <c r="G1003" s="7">
        <v>625</v>
      </c>
      <c r="H1003" s="16">
        <v>45200</v>
      </c>
      <c r="I1003" s="6">
        <v>40</v>
      </c>
      <c r="J1003" s="6" t="s">
        <v>121</v>
      </c>
      <c r="K1003" s="6" t="s">
        <v>171</v>
      </c>
      <c r="L1003" s="11">
        <f>F1003*Controls!$B$6</f>
        <v>5</v>
      </c>
      <c r="M1003" s="11">
        <f>G1003*Controls!$B$6</f>
        <v>625</v>
      </c>
      <c r="N1003" s="12">
        <f>IF(L1003=0,0,SUMIFS('PSI Plan'!$N$6:$N$173,'PSI Plan'!$B$6:$B$173,B1003,'PSI Plan'!$C$6:$C$173,I1003))</f>
        <v>0</v>
      </c>
      <c r="O1003" s="11">
        <f t="shared" si="30"/>
        <v>0</v>
      </c>
      <c r="P1003" s="11">
        <f t="shared" si="31"/>
        <v>0</v>
      </c>
      <c r="Q1003" s="6"/>
      <c r="R1003" s="6"/>
      <c r="S1003" s="6"/>
      <c r="T1003" s="6"/>
    </row>
    <row r="1004" spans="1:20">
      <c r="A1004" s="6" t="s">
        <v>1151</v>
      </c>
      <c r="B1004" s="6" t="s">
        <v>67</v>
      </c>
      <c r="C1004" s="6" t="s">
        <v>90</v>
      </c>
      <c r="D1004" s="6" t="s">
        <v>119</v>
      </c>
      <c r="E1004" s="6" t="s">
        <v>120</v>
      </c>
      <c r="F1004" s="7">
        <v>11</v>
      </c>
      <c r="G1004" s="7">
        <v>1375</v>
      </c>
      <c r="H1004" s="16">
        <v>45247</v>
      </c>
      <c r="I1004" s="6">
        <v>46</v>
      </c>
      <c r="J1004" s="6" t="s">
        <v>121</v>
      </c>
      <c r="K1004" s="6" t="s">
        <v>171</v>
      </c>
      <c r="L1004" s="11">
        <f>F1004*Controls!$B$6</f>
        <v>11</v>
      </c>
      <c r="M1004" s="11">
        <f>G1004*Controls!$B$6</f>
        <v>1375</v>
      </c>
      <c r="N1004" s="12">
        <f>IF(L1004=0,0,SUMIFS('PSI Plan'!$N$6:$N$173,'PSI Plan'!$B$6:$B$173,B1004,'PSI Plan'!$C$6:$C$173,I1004))</f>
        <v>0</v>
      </c>
      <c r="O1004" s="11">
        <f t="shared" si="30"/>
        <v>0</v>
      </c>
      <c r="P1004" s="11">
        <f t="shared" si="31"/>
        <v>0</v>
      </c>
      <c r="Q1004" s="6"/>
      <c r="R1004" s="6"/>
      <c r="S1004" s="6"/>
      <c r="T1004" s="6"/>
    </row>
    <row r="1005" spans="1:20">
      <c r="A1005" s="6" t="s">
        <v>1152</v>
      </c>
      <c r="B1005" s="6" t="s">
        <v>66</v>
      </c>
      <c r="C1005" s="6" t="s">
        <v>90</v>
      </c>
      <c r="D1005" s="6" t="s">
        <v>119</v>
      </c>
      <c r="E1005" s="6" t="s">
        <v>120</v>
      </c>
      <c r="F1005" s="7">
        <v>12</v>
      </c>
      <c r="G1005" s="7">
        <v>1500</v>
      </c>
      <c r="H1005" s="16">
        <v>45269</v>
      </c>
      <c r="I1005" s="6">
        <v>49</v>
      </c>
      <c r="J1005" s="6" t="s">
        <v>121</v>
      </c>
      <c r="K1005" s="6" t="s">
        <v>855</v>
      </c>
      <c r="L1005" s="11">
        <f>F1005*Controls!$B$6</f>
        <v>12</v>
      </c>
      <c r="M1005" s="11">
        <f>G1005*Controls!$B$6</f>
        <v>1500</v>
      </c>
      <c r="N1005" s="12">
        <f>IF(L1005=0,0,SUMIFS('PSI Plan'!$N$6:$N$173,'PSI Plan'!$B$6:$B$173,B1005,'PSI Plan'!$C$6:$C$173,I1005))</f>
        <v>0</v>
      </c>
      <c r="O1005" s="11">
        <f t="shared" si="30"/>
        <v>0</v>
      </c>
      <c r="P1005" s="11">
        <f t="shared" si="31"/>
        <v>0</v>
      </c>
      <c r="Q1005" s="6"/>
      <c r="R1005" s="6"/>
      <c r="S1005" s="6"/>
      <c r="T1005" s="6"/>
    </row>
    <row r="1006" spans="1:20">
      <c r="A1006" s="6" t="s">
        <v>1153</v>
      </c>
      <c r="B1006" s="6" t="s">
        <v>76</v>
      </c>
      <c r="C1006" s="6" t="s">
        <v>90</v>
      </c>
      <c r="D1006" s="6" t="s">
        <v>119</v>
      </c>
      <c r="E1006" s="6" t="s">
        <v>120</v>
      </c>
      <c r="F1006" s="7">
        <v>11</v>
      </c>
      <c r="G1006" s="7">
        <v>1375</v>
      </c>
      <c r="H1006" s="16">
        <v>45280</v>
      </c>
      <c r="I1006" s="6">
        <v>51</v>
      </c>
      <c r="J1006" s="6" t="s">
        <v>121</v>
      </c>
      <c r="K1006" s="6" t="s">
        <v>855</v>
      </c>
      <c r="L1006" s="11">
        <f>F1006*Controls!$B$6</f>
        <v>11</v>
      </c>
      <c r="M1006" s="11">
        <f>G1006*Controls!$B$6</f>
        <v>1375</v>
      </c>
      <c r="N1006" s="12">
        <f>IF(L1006=0,0,SUMIFS('PSI Plan'!$N$6:$N$173,'PSI Plan'!$B$6:$B$173,B1006,'PSI Plan'!$C$6:$C$173,I1006))</f>
        <v>0</v>
      </c>
      <c r="O1006" s="11">
        <f t="shared" si="30"/>
        <v>0</v>
      </c>
      <c r="P1006" s="11">
        <f t="shared" si="31"/>
        <v>0</v>
      </c>
      <c r="Q1006" s="6"/>
      <c r="R1006" s="6"/>
      <c r="S1006" s="6"/>
      <c r="T1006" s="6"/>
    </row>
    <row r="1007" spans="1:20">
      <c r="A1007" s="6" t="s">
        <v>1154</v>
      </c>
      <c r="B1007" s="6" t="s">
        <v>69</v>
      </c>
      <c r="C1007" s="6" t="s">
        <v>90</v>
      </c>
      <c r="D1007" s="6" t="s">
        <v>119</v>
      </c>
      <c r="E1007" s="6" t="s">
        <v>120</v>
      </c>
      <c r="F1007" s="7">
        <v>25</v>
      </c>
      <c r="G1007" s="7">
        <v>3125</v>
      </c>
      <c r="H1007" s="16">
        <v>45213</v>
      </c>
      <c r="I1007" s="6">
        <v>41</v>
      </c>
      <c r="J1007" s="6" t="s">
        <v>121</v>
      </c>
      <c r="K1007" s="6" t="s">
        <v>855</v>
      </c>
      <c r="L1007" s="11">
        <f>F1007*Controls!$B$6</f>
        <v>25</v>
      </c>
      <c r="M1007" s="11">
        <f>G1007*Controls!$B$6</f>
        <v>3125</v>
      </c>
      <c r="N1007" s="12">
        <f>IF(L1007=0,0,SUMIFS('PSI Plan'!$N$6:$N$173,'PSI Plan'!$B$6:$B$173,B1007,'PSI Plan'!$C$6:$C$173,I1007))</f>
        <v>0</v>
      </c>
      <c r="O1007" s="11">
        <f t="shared" si="30"/>
        <v>0</v>
      </c>
      <c r="P1007" s="11">
        <f t="shared" si="31"/>
        <v>0</v>
      </c>
      <c r="Q1007" s="6"/>
      <c r="R1007" s="6"/>
      <c r="S1007" s="6"/>
      <c r="T1007" s="6"/>
    </row>
    <row r="1008" spans="1:20">
      <c r="A1008" s="6" t="s">
        <v>1155</v>
      </c>
      <c r="B1008" s="6" t="s">
        <v>77</v>
      </c>
      <c r="C1008" s="6" t="s">
        <v>90</v>
      </c>
      <c r="D1008" s="6" t="s">
        <v>119</v>
      </c>
      <c r="E1008" s="6" t="s">
        <v>120</v>
      </c>
      <c r="F1008" s="7">
        <v>9</v>
      </c>
      <c r="G1008" s="7">
        <v>1125</v>
      </c>
      <c r="H1008" s="16">
        <v>45284</v>
      </c>
      <c r="I1008" s="6">
        <v>52</v>
      </c>
      <c r="J1008" s="6" t="s">
        <v>121</v>
      </c>
      <c r="K1008" s="6" t="s">
        <v>725</v>
      </c>
      <c r="L1008" s="11">
        <f>F1008*Controls!$B$6</f>
        <v>9</v>
      </c>
      <c r="M1008" s="11">
        <f>G1008*Controls!$B$6</f>
        <v>1125</v>
      </c>
      <c r="N1008" s="12">
        <f>IF(L1008=0,0,SUMIFS('PSI Plan'!$N$6:$N$173,'PSI Plan'!$B$6:$B$173,B1008,'PSI Plan'!$C$6:$C$173,I1008))</f>
        <v>0</v>
      </c>
      <c r="O1008" s="11">
        <f t="shared" si="30"/>
        <v>0</v>
      </c>
      <c r="P1008" s="11">
        <f t="shared" si="31"/>
        <v>0</v>
      </c>
      <c r="Q1008" s="6"/>
      <c r="R1008" s="6"/>
      <c r="S1008" s="6"/>
      <c r="T1008" s="6"/>
    </row>
    <row r="1009" spans="1:20">
      <c r="A1009" s="6" t="s">
        <v>1156</v>
      </c>
      <c r="B1009" s="6" t="s">
        <v>66</v>
      </c>
      <c r="C1009" s="6" t="s">
        <v>90</v>
      </c>
      <c r="D1009" s="6" t="s">
        <v>119</v>
      </c>
      <c r="E1009" s="6" t="s">
        <v>120</v>
      </c>
      <c r="F1009" s="7">
        <v>6</v>
      </c>
      <c r="G1009" s="7">
        <v>750</v>
      </c>
      <c r="H1009" s="16">
        <v>45248</v>
      </c>
      <c r="I1009" s="6">
        <v>46</v>
      </c>
      <c r="J1009" s="6" t="s">
        <v>121</v>
      </c>
      <c r="K1009" s="6" t="s">
        <v>139</v>
      </c>
      <c r="L1009" s="11">
        <f>F1009*Controls!$B$6</f>
        <v>6</v>
      </c>
      <c r="M1009" s="11">
        <f>G1009*Controls!$B$6</f>
        <v>750</v>
      </c>
      <c r="N1009" s="12">
        <f>IF(L1009=0,0,SUMIFS('PSI Plan'!$N$6:$N$173,'PSI Plan'!$B$6:$B$173,B1009,'PSI Plan'!$C$6:$C$173,I1009))</f>
        <v>0</v>
      </c>
      <c r="O1009" s="11">
        <f t="shared" si="30"/>
        <v>0</v>
      </c>
      <c r="P1009" s="11">
        <f t="shared" si="31"/>
        <v>0</v>
      </c>
      <c r="Q1009" s="6"/>
      <c r="R1009" s="6"/>
      <c r="S1009" s="6"/>
      <c r="T1009" s="6"/>
    </row>
    <row r="1010" spans="1:20">
      <c r="A1010" s="6" t="s">
        <v>1157</v>
      </c>
      <c r="B1010" s="6" t="s">
        <v>76</v>
      </c>
      <c r="C1010" s="6" t="s">
        <v>90</v>
      </c>
      <c r="D1010" s="6" t="s">
        <v>119</v>
      </c>
      <c r="E1010" s="6" t="s">
        <v>120</v>
      </c>
      <c r="F1010" s="7">
        <v>7</v>
      </c>
      <c r="G1010" s="7">
        <v>875</v>
      </c>
      <c r="H1010" s="16">
        <v>45258</v>
      </c>
      <c r="I1010" s="6">
        <v>48</v>
      </c>
      <c r="J1010" s="6" t="s">
        <v>121</v>
      </c>
      <c r="K1010" s="6" t="s">
        <v>139</v>
      </c>
      <c r="L1010" s="11">
        <f>F1010*Controls!$B$6</f>
        <v>7</v>
      </c>
      <c r="M1010" s="11">
        <f>G1010*Controls!$B$6</f>
        <v>875</v>
      </c>
      <c r="N1010" s="12">
        <f>IF(L1010=0,0,SUMIFS('PSI Plan'!$N$6:$N$173,'PSI Plan'!$B$6:$B$173,B1010,'PSI Plan'!$C$6:$C$173,I1010))</f>
        <v>0</v>
      </c>
      <c r="O1010" s="11">
        <f t="shared" si="30"/>
        <v>0</v>
      </c>
      <c r="P1010" s="11">
        <f t="shared" si="31"/>
        <v>0</v>
      </c>
      <c r="Q1010" s="6"/>
      <c r="R1010" s="6"/>
      <c r="S1010" s="6"/>
      <c r="T1010" s="6"/>
    </row>
    <row r="1011" spans="1:20">
      <c r="A1011" s="6" t="s">
        <v>1158</v>
      </c>
      <c r="B1011" s="6" t="s">
        <v>69</v>
      </c>
      <c r="C1011" s="6" t="s">
        <v>90</v>
      </c>
      <c r="D1011" s="6" t="s">
        <v>119</v>
      </c>
      <c r="E1011" s="6" t="s">
        <v>120</v>
      </c>
      <c r="F1011" s="7">
        <v>6</v>
      </c>
      <c r="G1011" s="7">
        <v>750</v>
      </c>
      <c r="H1011" s="16">
        <v>45262</v>
      </c>
      <c r="I1011" s="6">
        <v>48</v>
      </c>
      <c r="J1011" s="6" t="s">
        <v>121</v>
      </c>
      <c r="K1011" s="6" t="s">
        <v>139</v>
      </c>
      <c r="L1011" s="11">
        <f>F1011*Controls!$B$6</f>
        <v>6</v>
      </c>
      <c r="M1011" s="11">
        <f>G1011*Controls!$B$6</f>
        <v>750</v>
      </c>
      <c r="N1011" s="12">
        <f>IF(L1011=0,0,SUMIFS('PSI Plan'!$N$6:$N$173,'PSI Plan'!$B$6:$B$173,B1011,'PSI Plan'!$C$6:$C$173,I1011))</f>
        <v>0</v>
      </c>
      <c r="O1011" s="11">
        <f t="shared" si="30"/>
        <v>0</v>
      </c>
      <c r="P1011" s="11">
        <f t="shared" si="31"/>
        <v>0</v>
      </c>
      <c r="Q1011" s="6"/>
      <c r="R1011" s="6"/>
      <c r="S1011" s="6"/>
      <c r="T1011" s="6"/>
    </row>
    <row r="1012" spans="1:20">
      <c r="A1012" s="6" t="s">
        <v>1159</v>
      </c>
      <c r="B1012" s="6" t="s">
        <v>77</v>
      </c>
      <c r="C1012" s="6" t="s">
        <v>90</v>
      </c>
      <c r="D1012" s="6" t="s">
        <v>119</v>
      </c>
      <c r="E1012" s="6" t="s">
        <v>120</v>
      </c>
      <c r="F1012" s="7">
        <v>5</v>
      </c>
      <c r="G1012" s="7">
        <v>625</v>
      </c>
      <c r="H1012" s="16">
        <v>45204</v>
      </c>
      <c r="I1012" s="6">
        <v>40</v>
      </c>
      <c r="J1012" s="6" t="s">
        <v>121</v>
      </c>
      <c r="K1012" s="6" t="s">
        <v>298</v>
      </c>
      <c r="L1012" s="11">
        <f>F1012*Controls!$B$6</f>
        <v>5</v>
      </c>
      <c r="M1012" s="11">
        <f>G1012*Controls!$B$6</f>
        <v>625</v>
      </c>
      <c r="N1012" s="12">
        <f>IF(L1012=0,0,SUMIFS('PSI Plan'!$N$6:$N$173,'PSI Plan'!$B$6:$B$173,B1012,'PSI Plan'!$C$6:$C$173,I1012))</f>
        <v>0</v>
      </c>
      <c r="O1012" s="11">
        <f t="shared" si="30"/>
        <v>0</v>
      </c>
      <c r="P1012" s="11">
        <f t="shared" si="31"/>
        <v>0</v>
      </c>
      <c r="Q1012" s="6"/>
      <c r="R1012" s="6"/>
      <c r="S1012" s="6"/>
      <c r="T1012" s="6"/>
    </row>
    <row r="1013" spans="1:20">
      <c r="A1013" s="6" t="s">
        <v>1160</v>
      </c>
      <c r="B1013" s="6" t="s">
        <v>76</v>
      </c>
      <c r="C1013" s="6" t="s">
        <v>90</v>
      </c>
      <c r="D1013" s="6" t="s">
        <v>119</v>
      </c>
      <c r="E1013" s="6" t="s">
        <v>120</v>
      </c>
      <c r="F1013" s="7">
        <v>5</v>
      </c>
      <c r="G1013" s="7">
        <v>625</v>
      </c>
      <c r="H1013" s="16">
        <v>45219</v>
      </c>
      <c r="I1013" s="6">
        <v>42</v>
      </c>
      <c r="J1013" s="6" t="s">
        <v>121</v>
      </c>
      <c r="K1013" s="6" t="s">
        <v>298</v>
      </c>
      <c r="L1013" s="11">
        <f>F1013*Controls!$B$6</f>
        <v>5</v>
      </c>
      <c r="M1013" s="11">
        <f>G1013*Controls!$B$6</f>
        <v>625</v>
      </c>
      <c r="N1013" s="12">
        <f>IF(L1013=0,0,SUMIFS('PSI Plan'!$N$6:$N$173,'PSI Plan'!$B$6:$B$173,B1013,'PSI Plan'!$C$6:$C$173,I1013))</f>
        <v>0</v>
      </c>
      <c r="O1013" s="11">
        <f t="shared" si="30"/>
        <v>0</v>
      </c>
      <c r="P1013" s="11">
        <f t="shared" si="31"/>
        <v>0</v>
      </c>
      <c r="Q1013" s="6"/>
      <c r="R1013" s="6"/>
      <c r="S1013" s="6"/>
      <c r="T1013" s="6"/>
    </row>
    <row r="1014" spans="1:20">
      <c r="A1014" s="6" t="s">
        <v>1161</v>
      </c>
      <c r="B1014" s="6" t="s">
        <v>69</v>
      </c>
      <c r="C1014" s="6" t="s">
        <v>90</v>
      </c>
      <c r="D1014" s="6" t="s">
        <v>119</v>
      </c>
      <c r="E1014" s="6" t="s">
        <v>120</v>
      </c>
      <c r="F1014" s="7">
        <v>2</v>
      </c>
      <c r="G1014" s="7">
        <v>250</v>
      </c>
      <c r="H1014" s="16">
        <v>45209</v>
      </c>
      <c r="I1014" s="6">
        <v>41</v>
      </c>
      <c r="J1014" s="6" t="s">
        <v>121</v>
      </c>
      <c r="K1014" s="6" t="s">
        <v>298</v>
      </c>
      <c r="L1014" s="11">
        <f>F1014*Controls!$B$6</f>
        <v>2</v>
      </c>
      <c r="M1014" s="11">
        <f>G1014*Controls!$B$6</f>
        <v>250</v>
      </c>
      <c r="N1014" s="12">
        <f>IF(L1014=0,0,SUMIFS('PSI Plan'!$N$6:$N$173,'PSI Plan'!$B$6:$B$173,B1014,'PSI Plan'!$C$6:$C$173,I1014))</f>
        <v>0</v>
      </c>
      <c r="O1014" s="11">
        <f t="shared" si="30"/>
        <v>0</v>
      </c>
      <c r="P1014" s="11">
        <f t="shared" si="31"/>
        <v>0</v>
      </c>
      <c r="Q1014" s="6"/>
      <c r="R1014" s="6"/>
      <c r="S1014" s="6"/>
      <c r="T1014" s="6"/>
    </row>
    <row r="1015" spans="1:20">
      <c r="A1015" s="6" t="s">
        <v>1162</v>
      </c>
      <c r="B1015" s="6" t="s">
        <v>66</v>
      </c>
      <c r="C1015" s="6" t="s">
        <v>90</v>
      </c>
      <c r="D1015" s="6" t="s">
        <v>119</v>
      </c>
      <c r="E1015" s="6" t="s">
        <v>120</v>
      </c>
      <c r="F1015" s="7">
        <v>91</v>
      </c>
      <c r="G1015" s="7">
        <v>11375</v>
      </c>
      <c r="H1015" s="16">
        <v>45280</v>
      </c>
      <c r="I1015" s="6">
        <v>51</v>
      </c>
      <c r="J1015" s="6" t="s">
        <v>121</v>
      </c>
      <c r="K1015" s="6" t="s">
        <v>122</v>
      </c>
      <c r="L1015" s="11">
        <f>F1015*Controls!$B$6</f>
        <v>91</v>
      </c>
      <c r="M1015" s="11">
        <f>G1015*Controls!$B$6</f>
        <v>11375</v>
      </c>
      <c r="N1015" s="12">
        <f>IF(L1015=0,0,SUMIFS('PSI Plan'!$N$6:$N$173,'PSI Plan'!$B$6:$B$173,B1015,'PSI Plan'!$C$6:$C$173,I1015))</f>
        <v>0</v>
      </c>
      <c r="O1015" s="11">
        <f t="shared" si="30"/>
        <v>0</v>
      </c>
      <c r="P1015" s="11">
        <f t="shared" si="31"/>
        <v>0</v>
      </c>
      <c r="Q1015" s="6"/>
      <c r="R1015" s="6"/>
      <c r="S1015" s="6"/>
      <c r="T1015" s="6"/>
    </row>
    <row r="1016" spans="1:20">
      <c r="A1016" s="6" t="s">
        <v>1163</v>
      </c>
      <c r="B1016" s="6" t="s">
        <v>77</v>
      </c>
      <c r="C1016" s="6" t="s">
        <v>90</v>
      </c>
      <c r="D1016" s="6" t="s">
        <v>119</v>
      </c>
      <c r="E1016" s="6" t="s">
        <v>120</v>
      </c>
      <c r="F1016" s="7">
        <v>26</v>
      </c>
      <c r="G1016" s="7">
        <v>3250</v>
      </c>
      <c r="H1016" s="16">
        <v>45287</v>
      </c>
      <c r="I1016" s="6">
        <v>52</v>
      </c>
      <c r="J1016" s="6" t="s">
        <v>121</v>
      </c>
      <c r="K1016" s="6" t="s">
        <v>122</v>
      </c>
      <c r="L1016" s="11">
        <f>F1016*Controls!$B$6</f>
        <v>26</v>
      </c>
      <c r="M1016" s="11">
        <f>G1016*Controls!$B$6</f>
        <v>3250</v>
      </c>
      <c r="N1016" s="12">
        <f>IF(L1016=0,0,SUMIFS('PSI Plan'!$N$6:$N$173,'PSI Plan'!$B$6:$B$173,B1016,'PSI Plan'!$C$6:$C$173,I1016))</f>
        <v>0</v>
      </c>
      <c r="O1016" s="11">
        <f t="shared" si="30"/>
        <v>0</v>
      </c>
      <c r="P1016" s="11">
        <f t="shared" si="31"/>
        <v>0</v>
      </c>
      <c r="Q1016" s="6"/>
      <c r="R1016" s="6"/>
      <c r="S1016" s="6"/>
      <c r="T1016" s="6"/>
    </row>
    <row r="1017" spans="1:20">
      <c r="A1017" s="6" t="s">
        <v>1164</v>
      </c>
      <c r="B1017" s="6" t="s">
        <v>76</v>
      </c>
      <c r="C1017" s="6" t="s">
        <v>90</v>
      </c>
      <c r="D1017" s="6" t="s">
        <v>119</v>
      </c>
      <c r="E1017" s="6" t="s">
        <v>120</v>
      </c>
      <c r="F1017" s="7">
        <v>52</v>
      </c>
      <c r="G1017" s="7">
        <v>6500</v>
      </c>
      <c r="H1017" s="16">
        <v>45287</v>
      </c>
      <c r="I1017" s="6">
        <v>52</v>
      </c>
      <c r="J1017" s="6" t="s">
        <v>121</v>
      </c>
      <c r="K1017" s="6" t="s">
        <v>122</v>
      </c>
      <c r="L1017" s="11">
        <f>F1017*Controls!$B$6</f>
        <v>52</v>
      </c>
      <c r="M1017" s="11">
        <f>G1017*Controls!$B$6</f>
        <v>6500</v>
      </c>
      <c r="N1017" s="12">
        <f>IF(L1017=0,0,SUMIFS('PSI Plan'!$N$6:$N$173,'PSI Plan'!$B$6:$B$173,B1017,'PSI Plan'!$C$6:$C$173,I1017))</f>
        <v>0</v>
      </c>
      <c r="O1017" s="11">
        <f t="shared" si="30"/>
        <v>0</v>
      </c>
      <c r="P1017" s="11">
        <f t="shared" si="31"/>
        <v>0</v>
      </c>
      <c r="Q1017" s="6"/>
      <c r="R1017" s="6"/>
      <c r="S1017" s="6"/>
      <c r="T1017" s="6"/>
    </row>
    <row r="1018" spans="1:20">
      <c r="A1018" s="6" t="s">
        <v>1165</v>
      </c>
      <c r="B1018" s="6" t="s">
        <v>67</v>
      </c>
      <c r="C1018" s="6" t="s">
        <v>90</v>
      </c>
      <c r="D1018" s="6" t="s">
        <v>119</v>
      </c>
      <c r="E1018" s="6" t="s">
        <v>120</v>
      </c>
      <c r="F1018" s="7">
        <v>52</v>
      </c>
      <c r="G1018" s="7">
        <v>6500</v>
      </c>
      <c r="H1018" s="16">
        <v>45208</v>
      </c>
      <c r="I1018" s="6">
        <v>41</v>
      </c>
      <c r="J1018" s="6" t="s">
        <v>121</v>
      </c>
      <c r="K1018" s="6" t="s">
        <v>122</v>
      </c>
      <c r="L1018" s="11">
        <f>F1018*Controls!$B$6</f>
        <v>52</v>
      </c>
      <c r="M1018" s="11">
        <f>G1018*Controls!$B$6</f>
        <v>6500</v>
      </c>
      <c r="N1018" s="12">
        <f>IF(L1018=0,0,SUMIFS('PSI Plan'!$N$6:$N$173,'PSI Plan'!$B$6:$B$173,B1018,'PSI Plan'!$C$6:$C$173,I1018))</f>
        <v>0</v>
      </c>
      <c r="O1018" s="11">
        <f t="shared" si="30"/>
        <v>0</v>
      </c>
      <c r="P1018" s="11">
        <f t="shared" si="31"/>
        <v>0</v>
      </c>
      <c r="Q1018" s="6"/>
      <c r="R1018" s="6"/>
      <c r="S1018" s="6"/>
      <c r="T1018" s="6"/>
    </row>
    <row r="1019" spans="1:20">
      <c r="A1019" s="6" t="s">
        <v>1166</v>
      </c>
      <c r="B1019" s="6" t="s">
        <v>69</v>
      </c>
      <c r="C1019" s="6" t="s">
        <v>90</v>
      </c>
      <c r="D1019" s="6" t="s">
        <v>119</v>
      </c>
      <c r="E1019" s="6" t="s">
        <v>120</v>
      </c>
      <c r="F1019" s="7">
        <v>80</v>
      </c>
      <c r="G1019" s="7">
        <v>10000</v>
      </c>
      <c r="H1019" s="16">
        <v>45282</v>
      </c>
      <c r="I1019" s="6">
        <v>51</v>
      </c>
      <c r="J1019" s="6" t="s">
        <v>121</v>
      </c>
      <c r="K1019" s="6" t="s">
        <v>122</v>
      </c>
      <c r="L1019" s="11">
        <f>F1019*Controls!$B$6</f>
        <v>80</v>
      </c>
      <c r="M1019" s="11">
        <f>G1019*Controls!$B$6</f>
        <v>10000</v>
      </c>
      <c r="N1019" s="12">
        <f>IF(L1019=0,0,SUMIFS('PSI Plan'!$N$6:$N$173,'PSI Plan'!$B$6:$B$173,B1019,'PSI Plan'!$C$6:$C$173,I1019))</f>
        <v>0</v>
      </c>
      <c r="O1019" s="11">
        <f t="shared" si="30"/>
        <v>0</v>
      </c>
      <c r="P1019" s="11">
        <f t="shared" si="31"/>
        <v>0</v>
      </c>
      <c r="Q1019" s="6"/>
      <c r="R1019" s="6"/>
      <c r="S1019" s="6"/>
      <c r="T1019" s="6"/>
    </row>
    <row r="1020" spans="1:20">
      <c r="A1020" s="6" t="s">
        <v>1167</v>
      </c>
      <c r="B1020" s="6" t="s">
        <v>77</v>
      </c>
      <c r="C1020" s="6" t="s">
        <v>99</v>
      </c>
      <c r="D1020" s="6" t="s">
        <v>319</v>
      </c>
      <c r="E1020" s="6" t="s">
        <v>120</v>
      </c>
      <c r="F1020" s="7">
        <v>16</v>
      </c>
      <c r="G1020" s="7">
        <v>2000</v>
      </c>
      <c r="H1020" s="16">
        <v>45272</v>
      </c>
      <c r="I1020" s="6">
        <v>50</v>
      </c>
      <c r="J1020" s="6" t="s">
        <v>121</v>
      </c>
      <c r="K1020" s="6" t="s">
        <v>324</v>
      </c>
      <c r="L1020" s="11">
        <f>F1020*Controls!$B$6</f>
        <v>16</v>
      </c>
      <c r="M1020" s="11">
        <f>G1020*Controls!$B$6</f>
        <v>2000</v>
      </c>
      <c r="N1020" s="12">
        <f>IF(L1020=0,0,SUMIFS('PSI Plan'!$N$6:$N$173,'PSI Plan'!$B$6:$B$173,B1020,'PSI Plan'!$C$6:$C$173,I1020))</f>
        <v>0</v>
      </c>
      <c r="O1020" s="11">
        <f t="shared" si="30"/>
        <v>0</v>
      </c>
      <c r="P1020" s="11">
        <f t="shared" si="31"/>
        <v>0</v>
      </c>
      <c r="Q1020" s="6"/>
      <c r="R1020" s="6"/>
      <c r="S1020" s="6"/>
      <c r="T1020" s="6"/>
    </row>
    <row r="1021" spans="1:20">
      <c r="A1021" s="6" t="s">
        <v>1168</v>
      </c>
      <c r="B1021" s="6" t="s">
        <v>69</v>
      </c>
      <c r="C1021" s="6" t="s">
        <v>99</v>
      </c>
      <c r="D1021" s="6" t="s">
        <v>319</v>
      </c>
      <c r="E1021" s="6" t="s">
        <v>120</v>
      </c>
      <c r="F1021" s="7">
        <v>6</v>
      </c>
      <c r="G1021" s="7">
        <v>750</v>
      </c>
      <c r="H1021" s="16">
        <v>45236</v>
      </c>
      <c r="I1021" s="6">
        <v>45</v>
      </c>
      <c r="J1021" s="6" t="s">
        <v>121</v>
      </c>
      <c r="K1021" s="6" t="s">
        <v>324</v>
      </c>
      <c r="L1021" s="11">
        <f>F1021*Controls!$B$6</f>
        <v>6</v>
      </c>
      <c r="M1021" s="11">
        <f>G1021*Controls!$B$6</f>
        <v>750</v>
      </c>
      <c r="N1021" s="12">
        <f>IF(L1021=0,0,SUMIFS('PSI Plan'!$N$6:$N$173,'PSI Plan'!$B$6:$B$173,B1021,'PSI Plan'!$C$6:$C$173,I1021))</f>
        <v>0</v>
      </c>
      <c r="O1021" s="11">
        <f t="shared" si="30"/>
        <v>0</v>
      </c>
      <c r="P1021" s="11">
        <f t="shared" si="31"/>
        <v>0</v>
      </c>
      <c r="Q1021" s="6"/>
      <c r="R1021" s="6"/>
      <c r="S1021" s="6"/>
      <c r="T1021" s="6"/>
    </row>
    <row r="1022" spans="1:20">
      <c r="A1022" s="6" t="s">
        <v>1169</v>
      </c>
      <c r="B1022" s="6" t="s">
        <v>77</v>
      </c>
      <c r="C1022" s="6" t="s">
        <v>99</v>
      </c>
      <c r="D1022" s="6" t="s">
        <v>319</v>
      </c>
      <c r="E1022" s="6" t="s">
        <v>120</v>
      </c>
      <c r="F1022" s="7">
        <v>10</v>
      </c>
      <c r="G1022" s="7">
        <v>1250</v>
      </c>
      <c r="H1022" s="16">
        <v>45272</v>
      </c>
      <c r="I1022" s="6">
        <v>50</v>
      </c>
      <c r="J1022" s="6" t="s">
        <v>121</v>
      </c>
      <c r="K1022" s="6" t="s">
        <v>347</v>
      </c>
      <c r="L1022" s="11">
        <f>F1022*Controls!$B$6</f>
        <v>10</v>
      </c>
      <c r="M1022" s="11">
        <f>G1022*Controls!$B$6</f>
        <v>1250</v>
      </c>
      <c r="N1022" s="12">
        <f>IF(L1022=0,0,SUMIFS('PSI Plan'!$N$6:$N$173,'PSI Plan'!$B$6:$B$173,B1022,'PSI Plan'!$C$6:$C$173,I1022))</f>
        <v>0</v>
      </c>
      <c r="O1022" s="11">
        <f t="shared" si="30"/>
        <v>0</v>
      </c>
      <c r="P1022" s="11">
        <f t="shared" si="31"/>
        <v>0</v>
      </c>
      <c r="Q1022" s="6"/>
      <c r="R1022" s="6"/>
      <c r="S1022" s="6"/>
      <c r="T1022" s="6"/>
    </row>
    <row r="1023" spans="1:20">
      <c r="A1023" s="6" t="s">
        <v>1170</v>
      </c>
      <c r="B1023" s="6" t="s">
        <v>76</v>
      </c>
      <c r="C1023" s="6" t="s">
        <v>99</v>
      </c>
      <c r="D1023" s="6" t="s">
        <v>319</v>
      </c>
      <c r="E1023" s="6" t="s">
        <v>120</v>
      </c>
      <c r="F1023" s="7">
        <v>12</v>
      </c>
      <c r="G1023" s="7">
        <v>1500</v>
      </c>
      <c r="H1023" s="16">
        <v>45245</v>
      </c>
      <c r="I1023" s="6">
        <v>46</v>
      </c>
      <c r="J1023" s="6" t="s">
        <v>121</v>
      </c>
      <c r="K1023" s="6" t="s">
        <v>347</v>
      </c>
      <c r="L1023" s="11">
        <f>F1023*Controls!$B$6</f>
        <v>12</v>
      </c>
      <c r="M1023" s="11">
        <f>G1023*Controls!$B$6</f>
        <v>1500</v>
      </c>
      <c r="N1023" s="12">
        <f>IF(L1023=0,0,SUMIFS('PSI Plan'!$N$6:$N$173,'PSI Plan'!$B$6:$B$173,B1023,'PSI Plan'!$C$6:$C$173,I1023))</f>
        <v>0</v>
      </c>
      <c r="O1023" s="11">
        <f t="shared" si="30"/>
        <v>0</v>
      </c>
      <c r="P1023" s="11">
        <f t="shared" si="31"/>
        <v>0</v>
      </c>
      <c r="Q1023" s="6"/>
      <c r="R1023" s="6"/>
      <c r="S1023" s="6"/>
      <c r="T1023" s="6"/>
    </row>
    <row r="1024" spans="1:20">
      <c r="A1024" s="6" t="s">
        <v>1171</v>
      </c>
      <c r="B1024" s="6" t="s">
        <v>67</v>
      </c>
      <c r="C1024" s="6" t="s">
        <v>99</v>
      </c>
      <c r="D1024" s="6" t="s">
        <v>319</v>
      </c>
      <c r="E1024" s="6" t="s">
        <v>120</v>
      </c>
      <c r="F1024" s="7">
        <v>26</v>
      </c>
      <c r="G1024" s="7">
        <v>3250</v>
      </c>
      <c r="H1024" s="16">
        <v>45287</v>
      </c>
      <c r="I1024" s="6">
        <v>52</v>
      </c>
      <c r="J1024" s="6" t="s">
        <v>121</v>
      </c>
      <c r="K1024" s="6" t="s">
        <v>347</v>
      </c>
      <c r="L1024" s="11">
        <f>F1024*Controls!$B$6</f>
        <v>26</v>
      </c>
      <c r="M1024" s="11">
        <f>G1024*Controls!$B$6</f>
        <v>3250</v>
      </c>
      <c r="N1024" s="12">
        <f>IF(L1024=0,0,SUMIFS('PSI Plan'!$N$6:$N$173,'PSI Plan'!$B$6:$B$173,B1024,'PSI Plan'!$C$6:$C$173,I1024))</f>
        <v>0</v>
      </c>
      <c r="O1024" s="11">
        <f t="shared" si="30"/>
        <v>0</v>
      </c>
      <c r="P1024" s="11">
        <f t="shared" si="31"/>
        <v>0</v>
      </c>
      <c r="Q1024" s="6"/>
      <c r="R1024" s="6"/>
      <c r="S1024" s="6"/>
      <c r="T1024" s="6"/>
    </row>
    <row r="1025" spans="1:20">
      <c r="A1025" s="6" t="s">
        <v>1172</v>
      </c>
      <c r="B1025" s="6" t="s">
        <v>77</v>
      </c>
      <c r="C1025" s="6" t="s">
        <v>100</v>
      </c>
      <c r="D1025" s="6" t="s">
        <v>567</v>
      </c>
      <c r="E1025" s="6" t="s">
        <v>120</v>
      </c>
      <c r="F1025" s="7">
        <v>9</v>
      </c>
      <c r="G1025" s="7">
        <v>1125</v>
      </c>
      <c r="H1025" s="16">
        <v>45225</v>
      </c>
      <c r="I1025" s="6">
        <v>43</v>
      </c>
      <c r="J1025" s="6" t="s">
        <v>121</v>
      </c>
      <c r="K1025" s="6" t="s">
        <v>568</v>
      </c>
      <c r="L1025" s="11">
        <f>F1025*Controls!$B$6</f>
        <v>9</v>
      </c>
      <c r="M1025" s="11">
        <f>G1025*Controls!$B$6</f>
        <v>1125</v>
      </c>
      <c r="N1025" s="12">
        <f>IF(L1025=0,0,SUMIFS('PSI Plan'!$N$6:$N$173,'PSI Plan'!$B$6:$B$173,B1025,'PSI Plan'!$C$6:$C$173,I1025))</f>
        <v>0</v>
      </c>
      <c r="O1025" s="11">
        <f t="shared" si="30"/>
        <v>0</v>
      </c>
      <c r="P1025" s="11">
        <f t="shared" si="31"/>
        <v>0</v>
      </c>
      <c r="Q1025" s="6"/>
      <c r="R1025" s="6"/>
      <c r="S1025" s="6"/>
      <c r="T1025" s="6"/>
    </row>
    <row r="1026" spans="1:20">
      <c r="A1026" s="6" t="s">
        <v>1173</v>
      </c>
      <c r="B1026" s="6" t="s">
        <v>69</v>
      </c>
      <c r="C1026" s="6" t="s">
        <v>100</v>
      </c>
      <c r="D1026" s="6" t="s">
        <v>567</v>
      </c>
      <c r="E1026" s="6" t="s">
        <v>120</v>
      </c>
      <c r="F1026" s="7">
        <v>4</v>
      </c>
      <c r="G1026" s="7">
        <v>500</v>
      </c>
      <c r="H1026" s="16">
        <v>45236</v>
      </c>
      <c r="I1026" s="6">
        <v>45</v>
      </c>
      <c r="J1026" s="6" t="s">
        <v>121</v>
      </c>
      <c r="K1026" s="6" t="s">
        <v>568</v>
      </c>
      <c r="L1026" s="11">
        <f>F1026*Controls!$B$6</f>
        <v>4</v>
      </c>
      <c r="M1026" s="11">
        <f>G1026*Controls!$B$6</f>
        <v>500</v>
      </c>
      <c r="N1026" s="12">
        <f>IF(L1026=0,0,SUMIFS('PSI Plan'!$N$6:$N$173,'PSI Plan'!$B$6:$B$173,B1026,'PSI Plan'!$C$6:$C$173,I1026))</f>
        <v>0</v>
      </c>
      <c r="O1026" s="11">
        <f t="shared" ref="O1026:O1089" si="32">L1026*N1026</f>
        <v>0</v>
      </c>
      <c r="P1026" s="11">
        <f t="shared" ref="P1026:P1089" si="33">M1026*N1026</f>
        <v>0</v>
      </c>
      <c r="Q1026" s="6"/>
      <c r="R1026" s="6"/>
      <c r="S1026" s="6"/>
      <c r="T1026" s="6"/>
    </row>
    <row r="1027" spans="1:20">
      <c r="A1027" s="6" t="s">
        <v>1174</v>
      </c>
      <c r="B1027" s="6" t="s">
        <v>66</v>
      </c>
      <c r="C1027" s="6" t="s">
        <v>99</v>
      </c>
      <c r="D1027" s="6" t="s">
        <v>319</v>
      </c>
      <c r="E1027" s="6" t="s">
        <v>120</v>
      </c>
      <c r="F1027" s="7">
        <v>4</v>
      </c>
      <c r="G1027" s="7">
        <v>500</v>
      </c>
      <c r="H1027" s="16">
        <v>45275</v>
      </c>
      <c r="I1027" s="6">
        <v>50</v>
      </c>
      <c r="J1027" s="6" t="s">
        <v>121</v>
      </c>
      <c r="K1027" s="6" t="s">
        <v>459</v>
      </c>
      <c r="L1027" s="11">
        <f>F1027*Controls!$B$6</f>
        <v>4</v>
      </c>
      <c r="M1027" s="11">
        <f>G1027*Controls!$B$6</f>
        <v>500</v>
      </c>
      <c r="N1027" s="12">
        <f>IF(L1027=0,0,SUMIFS('PSI Plan'!$N$6:$N$173,'PSI Plan'!$B$6:$B$173,B1027,'PSI Plan'!$C$6:$C$173,I1027))</f>
        <v>0</v>
      </c>
      <c r="O1027" s="11">
        <f t="shared" si="32"/>
        <v>0</v>
      </c>
      <c r="P1027" s="11">
        <f t="shared" si="33"/>
        <v>0</v>
      </c>
      <c r="Q1027" s="6"/>
      <c r="R1027" s="6"/>
      <c r="S1027" s="6"/>
      <c r="T1027" s="6"/>
    </row>
    <row r="1028" spans="1:20">
      <c r="A1028" s="6" t="s">
        <v>1175</v>
      </c>
      <c r="B1028" s="6" t="s">
        <v>77</v>
      </c>
      <c r="C1028" s="6" t="s">
        <v>99</v>
      </c>
      <c r="D1028" s="6" t="s">
        <v>319</v>
      </c>
      <c r="E1028" s="6" t="s">
        <v>120</v>
      </c>
      <c r="F1028" s="7">
        <v>17</v>
      </c>
      <c r="G1028" s="7">
        <v>2125</v>
      </c>
      <c r="H1028" s="16">
        <v>45286</v>
      </c>
      <c r="I1028" s="6">
        <v>52</v>
      </c>
      <c r="J1028" s="6" t="s">
        <v>121</v>
      </c>
      <c r="K1028" s="6" t="s">
        <v>459</v>
      </c>
      <c r="L1028" s="11">
        <f>F1028*Controls!$B$6</f>
        <v>17</v>
      </c>
      <c r="M1028" s="11">
        <f>G1028*Controls!$B$6</f>
        <v>2125</v>
      </c>
      <c r="N1028" s="12">
        <f>IF(L1028=0,0,SUMIFS('PSI Plan'!$N$6:$N$173,'PSI Plan'!$B$6:$B$173,B1028,'PSI Plan'!$C$6:$C$173,I1028))</f>
        <v>0</v>
      </c>
      <c r="O1028" s="11">
        <f t="shared" si="32"/>
        <v>0</v>
      </c>
      <c r="P1028" s="11">
        <f t="shared" si="33"/>
        <v>0</v>
      </c>
      <c r="Q1028" s="6"/>
      <c r="R1028" s="6"/>
      <c r="S1028" s="6"/>
      <c r="T1028" s="6"/>
    </row>
    <row r="1029" spans="1:20">
      <c r="A1029" s="6" t="s">
        <v>1176</v>
      </c>
      <c r="B1029" s="6" t="s">
        <v>67</v>
      </c>
      <c r="C1029" s="6" t="s">
        <v>99</v>
      </c>
      <c r="D1029" s="6" t="s">
        <v>319</v>
      </c>
      <c r="E1029" s="6" t="s">
        <v>120</v>
      </c>
      <c r="F1029" s="7">
        <v>36</v>
      </c>
      <c r="G1029" s="7">
        <v>4500</v>
      </c>
      <c r="H1029" s="16">
        <v>45245</v>
      </c>
      <c r="I1029" s="6">
        <v>46</v>
      </c>
      <c r="J1029" s="6" t="s">
        <v>121</v>
      </c>
      <c r="K1029" s="6" t="s">
        <v>459</v>
      </c>
      <c r="L1029" s="11">
        <f>F1029*Controls!$B$6</f>
        <v>36</v>
      </c>
      <c r="M1029" s="11">
        <f>G1029*Controls!$B$6</f>
        <v>4500</v>
      </c>
      <c r="N1029" s="12">
        <f>IF(L1029=0,0,SUMIFS('PSI Plan'!$N$6:$N$173,'PSI Plan'!$B$6:$B$173,B1029,'PSI Plan'!$C$6:$C$173,I1029))</f>
        <v>0</v>
      </c>
      <c r="O1029" s="11">
        <f t="shared" si="32"/>
        <v>0</v>
      </c>
      <c r="P1029" s="11">
        <f t="shared" si="33"/>
        <v>0</v>
      </c>
      <c r="Q1029" s="6"/>
      <c r="R1029" s="6"/>
      <c r="S1029" s="6"/>
      <c r="T1029" s="6"/>
    </row>
    <row r="1030" spans="1:20">
      <c r="A1030" s="6" t="s">
        <v>1177</v>
      </c>
      <c r="B1030" s="6" t="s">
        <v>66</v>
      </c>
      <c r="C1030" s="6" t="s">
        <v>90</v>
      </c>
      <c r="D1030" s="6" t="s">
        <v>119</v>
      </c>
      <c r="E1030" s="6" t="s">
        <v>120</v>
      </c>
      <c r="F1030" s="7">
        <v>1</v>
      </c>
      <c r="G1030" s="7">
        <v>125</v>
      </c>
      <c r="H1030" s="16">
        <v>45224</v>
      </c>
      <c r="I1030" s="6">
        <v>43</v>
      </c>
      <c r="J1030" s="6" t="s">
        <v>121</v>
      </c>
      <c r="K1030" s="6" t="s">
        <v>150</v>
      </c>
      <c r="L1030" s="11">
        <f>F1030*Controls!$B$6</f>
        <v>1</v>
      </c>
      <c r="M1030" s="11">
        <f>G1030*Controls!$B$6</f>
        <v>125</v>
      </c>
      <c r="N1030" s="12">
        <f>IF(L1030=0,0,SUMIFS('PSI Plan'!$N$6:$N$173,'PSI Plan'!$B$6:$B$173,B1030,'PSI Plan'!$C$6:$C$173,I1030))</f>
        <v>0</v>
      </c>
      <c r="O1030" s="11">
        <f t="shared" si="32"/>
        <v>0</v>
      </c>
      <c r="P1030" s="11">
        <f t="shared" si="33"/>
        <v>0</v>
      </c>
      <c r="Q1030" s="6"/>
      <c r="R1030" s="6"/>
      <c r="S1030" s="6"/>
      <c r="T1030" s="6"/>
    </row>
    <row r="1031" spans="1:20">
      <c r="A1031" s="6" t="s">
        <v>1178</v>
      </c>
      <c r="B1031" s="6" t="s">
        <v>77</v>
      </c>
      <c r="C1031" s="6" t="s">
        <v>90</v>
      </c>
      <c r="D1031" s="6" t="s">
        <v>119</v>
      </c>
      <c r="E1031" s="6" t="s">
        <v>120</v>
      </c>
      <c r="F1031" s="7">
        <v>2</v>
      </c>
      <c r="G1031" s="7">
        <v>250</v>
      </c>
      <c r="H1031" s="16">
        <v>45255</v>
      </c>
      <c r="I1031" s="6">
        <v>47</v>
      </c>
      <c r="J1031" s="6" t="s">
        <v>121</v>
      </c>
      <c r="K1031" s="6" t="s">
        <v>150</v>
      </c>
      <c r="L1031" s="11">
        <f>F1031*Controls!$B$6</f>
        <v>2</v>
      </c>
      <c r="M1031" s="11">
        <f>G1031*Controls!$B$6</f>
        <v>250</v>
      </c>
      <c r="N1031" s="12">
        <f>IF(L1031=0,0,SUMIFS('PSI Plan'!$N$6:$N$173,'PSI Plan'!$B$6:$B$173,B1031,'PSI Plan'!$C$6:$C$173,I1031))</f>
        <v>0</v>
      </c>
      <c r="O1031" s="11">
        <f t="shared" si="32"/>
        <v>0</v>
      </c>
      <c r="P1031" s="11">
        <f t="shared" si="33"/>
        <v>0</v>
      </c>
      <c r="Q1031" s="6"/>
      <c r="R1031" s="6"/>
      <c r="S1031" s="6"/>
      <c r="T1031" s="6"/>
    </row>
    <row r="1032" spans="1:20">
      <c r="A1032" s="6" t="s">
        <v>1179</v>
      </c>
      <c r="B1032" s="6" t="s">
        <v>76</v>
      </c>
      <c r="C1032" s="6" t="s">
        <v>90</v>
      </c>
      <c r="D1032" s="6" t="s">
        <v>119</v>
      </c>
      <c r="E1032" s="6" t="s">
        <v>120</v>
      </c>
      <c r="F1032" s="7">
        <v>1</v>
      </c>
      <c r="G1032" s="7">
        <v>125</v>
      </c>
      <c r="H1032" s="16">
        <v>45223</v>
      </c>
      <c r="I1032" s="6">
        <v>43</v>
      </c>
      <c r="J1032" s="6" t="s">
        <v>121</v>
      </c>
      <c r="K1032" s="6" t="s">
        <v>150</v>
      </c>
      <c r="L1032" s="11">
        <f>F1032*Controls!$B$6</f>
        <v>1</v>
      </c>
      <c r="M1032" s="11">
        <f>G1032*Controls!$B$6</f>
        <v>125</v>
      </c>
      <c r="N1032" s="12">
        <f>IF(L1032=0,0,SUMIFS('PSI Plan'!$N$6:$N$173,'PSI Plan'!$B$6:$B$173,B1032,'PSI Plan'!$C$6:$C$173,I1032))</f>
        <v>0</v>
      </c>
      <c r="O1032" s="11">
        <f t="shared" si="32"/>
        <v>0</v>
      </c>
      <c r="P1032" s="11">
        <f t="shared" si="33"/>
        <v>0</v>
      </c>
      <c r="Q1032" s="6"/>
      <c r="R1032" s="6"/>
      <c r="S1032" s="6"/>
      <c r="T1032" s="6"/>
    </row>
    <row r="1033" spans="1:20">
      <c r="A1033" s="6" t="s">
        <v>1180</v>
      </c>
      <c r="B1033" s="6" t="s">
        <v>69</v>
      </c>
      <c r="C1033" s="6" t="s">
        <v>90</v>
      </c>
      <c r="D1033" s="6" t="s">
        <v>119</v>
      </c>
      <c r="E1033" s="6" t="s">
        <v>120</v>
      </c>
      <c r="F1033" s="7">
        <v>1</v>
      </c>
      <c r="G1033" s="7">
        <v>125</v>
      </c>
      <c r="H1033" s="16">
        <v>45261</v>
      </c>
      <c r="I1033" s="6">
        <v>48</v>
      </c>
      <c r="J1033" s="6" t="s">
        <v>121</v>
      </c>
      <c r="K1033" s="6" t="s">
        <v>150</v>
      </c>
      <c r="L1033" s="11">
        <f>F1033*Controls!$B$6</f>
        <v>1</v>
      </c>
      <c r="M1033" s="11">
        <f>G1033*Controls!$B$6</f>
        <v>125</v>
      </c>
      <c r="N1033" s="12">
        <f>IF(L1033=0,0,SUMIFS('PSI Plan'!$N$6:$N$173,'PSI Plan'!$B$6:$B$173,B1033,'PSI Plan'!$C$6:$C$173,I1033))</f>
        <v>0</v>
      </c>
      <c r="O1033" s="11">
        <f t="shared" si="32"/>
        <v>0</v>
      </c>
      <c r="P1033" s="11">
        <f t="shared" si="33"/>
        <v>0</v>
      </c>
      <c r="Q1033" s="6"/>
      <c r="R1033" s="6"/>
      <c r="S1033" s="6"/>
      <c r="T1033" s="6"/>
    </row>
    <row r="1034" spans="1:20">
      <c r="A1034" s="6" t="s">
        <v>1181</v>
      </c>
      <c r="B1034" s="6" t="s">
        <v>77</v>
      </c>
      <c r="C1034" s="6" t="s">
        <v>90</v>
      </c>
      <c r="D1034" s="6" t="s">
        <v>119</v>
      </c>
      <c r="E1034" s="6" t="s">
        <v>120</v>
      </c>
      <c r="F1034" s="7">
        <v>14</v>
      </c>
      <c r="G1034" s="7">
        <v>1750</v>
      </c>
      <c r="H1034" s="16">
        <v>45241</v>
      </c>
      <c r="I1034" s="6">
        <v>45</v>
      </c>
      <c r="J1034" s="6" t="s">
        <v>121</v>
      </c>
      <c r="K1034" s="6" t="s">
        <v>171</v>
      </c>
      <c r="L1034" s="11">
        <f>F1034*Controls!$B$6</f>
        <v>14</v>
      </c>
      <c r="M1034" s="11">
        <f>G1034*Controls!$B$6</f>
        <v>1750</v>
      </c>
      <c r="N1034" s="12">
        <f>IF(L1034=0,0,SUMIFS('PSI Plan'!$N$6:$N$173,'PSI Plan'!$B$6:$B$173,B1034,'PSI Plan'!$C$6:$C$173,I1034))</f>
        <v>0</v>
      </c>
      <c r="O1034" s="11">
        <f t="shared" si="32"/>
        <v>0</v>
      </c>
      <c r="P1034" s="11">
        <f t="shared" si="33"/>
        <v>0</v>
      </c>
      <c r="Q1034" s="6"/>
      <c r="R1034" s="6"/>
      <c r="S1034" s="6"/>
      <c r="T1034" s="6"/>
    </row>
    <row r="1035" spans="1:20">
      <c r="A1035" s="6" t="s">
        <v>1182</v>
      </c>
      <c r="B1035" s="6" t="s">
        <v>69</v>
      </c>
      <c r="C1035" s="6" t="s">
        <v>90</v>
      </c>
      <c r="D1035" s="6" t="s">
        <v>119</v>
      </c>
      <c r="E1035" s="6" t="s">
        <v>120</v>
      </c>
      <c r="F1035" s="7">
        <v>13</v>
      </c>
      <c r="G1035" s="7">
        <v>1625</v>
      </c>
      <c r="H1035" s="16">
        <v>45216</v>
      </c>
      <c r="I1035" s="6">
        <v>42</v>
      </c>
      <c r="J1035" s="6" t="s">
        <v>121</v>
      </c>
      <c r="K1035" s="6" t="s">
        <v>171</v>
      </c>
      <c r="L1035" s="11">
        <f>F1035*Controls!$B$6</f>
        <v>13</v>
      </c>
      <c r="M1035" s="11">
        <f>G1035*Controls!$B$6</f>
        <v>1625</v>
      </c>
      <c r="N1035" s="12">
        <f>IF(L1035=0,0,SUMIFS('PSI Plan'!$N$6:$N$173,'PSI Plan'!$B$6:$B$173,B1035,'PSI Plan'!$C$6:$C$173,I1035))</f>
        <v>0</v>
      </c>
      <c r="O1035" s="11">
        <f t="shared" si="32"/>
        <v>0</v>
      </c>
      <c r="P1035" s="11">
        <f t="shared" si="33"/>
        <v>0</v>
      </c>
      <c r="Q1035" s="6"/>
      <c r="R1035" s="6"/>
      <c r="S1035" s="6"/>
      <c r="T1035" s="6"/>
    </row>
    <row r="1036" spans="1:20">
      <c r="A1036" s="6" t="s">
        <v>1183</v>
      </c>
      <c r="B1036" s="6" t="s">
        <v>66</v>
      </c>
      <c r="C1036" s="6" t="s">
        <v>90</v>
      </c>
      <c r="D1036" s="6" t="s">
        <v>119</v>
      </c>
      <c r="E1036" s="6" t="s">
        <v>120</v>
      </c>
      <c r="F1036" s="7">
        <v>16</v>
      </c>
      <c r="G1036" s="7">
        <v>2000</v>
      </c>
      <c r="H1036" s="16">
        <v>45272</v>
      </c>
      <c r="I1036" s="6">
        <v>50</v>
      </c>
      <c r="J1036" s="6" t="s">
        <v>121</v>
      </c>
      <c r="K1036" s="6" t="s">
        <v>855</v>
      </c>
      <c r="L1036" s="11">
        <f>F1036*Controls!$B$6</f>
        <v>16</v>
      </c>
      <c r="M1036" s="11">
        <f>G1036*Controls!$B$6</f>
        <v>2000</v>
      </c>
      <c r="N1036" s="12">
        <f>IF(L1036=0,0,SUMIFS('PSI Plan'!$N$6:$N$173,'PSI Plan'!$B$6:$B$173,B1036,'PSI Plan'!$C$6:$C$173,I1036))</f>
        <v>0</v>
      </c>
      <c r="O1036" s="11">
        <f t="shared" si="32"/>
        <v>0</v>
      </c>
      <c r="P1036" s="11">
        <f t="shared" si="33"/>
        <v>0</v>
      </c>
      <c r="Q1036" s="6"/>
      <c r="R1036" s="6"/>
      <c r="S1036" s="6"/>
      <c r="T1036" s="6"/>
    </row>
    <row r="1037" spans="1:20">
      <c r="A1037" s="6" t="s">
        <v>1184</v>
      </c>
      <c r="B1037" s="6" t="s">
        <v>77</v>
      </c>
      <c r="C1037" s="6" t="s">
        <v>90</v>
      </c>
      <c r="D1037" s="6" t="s">
        <v>119</v>
      </c>
      <c r="E1037" s="6" t="s">
        <v>120</v>
      </c>
      <c r="F1037" s="7">
        <v>6</v>
      </c>
      <c r="G1037" s="7">
        <v>750</v>
      </c>
      <c r="H1037" s="16">
        <v>45289</v>
      </c>
      <c r="I1037" s="6">
        <v>52</v>
      </c>
      <c r="J1037" s="6" t="s">
        <v>121</v>
      </c>
      <c r="K1037" s="6" t="s">
        <v>855</v>
      </c>
      <c r="L1037" s="11">
        <f>F1037*Controls!$B$6</f>
        <v>6</v>
      </c>
      <c r="M1037" s="11">
        <f>G1037*Controls!$B$6</f>
        <v>750</v>
      </c>
      <c r="N1037" s="12">
        <f>IF(L1037=0,0,SUMIFS('PSI Plan'!$N$6:$N$173,'PSI Plan'!$B$6:$B$173,B1037,'PSI Plan'!$C$6:$C$173,I1037))</f>
        <v>0</v>
      </c>
      <c r="O1037" s="11">
        <f t="shared" si="32"/>
        <v>0</v>
      </c>
      <c r="P1037" s="11">
        <f t="shared" si="33"/>
        <v>0</v>
      </c>
      <c r="Q1037" s="6"/>
      <c r="R1037" s="6"/>
      <c r="S1037" s="6"/>
      <c r="T1037" s="6"/>
    </row>
    <row r="1038" spans="1:20">
      <c r="A1038" s="6" t="s">
        <v>1185</v>
      </c>
      <c r="B1038" s="6" t="s">
        <v>76</v>
      </c>
      <c r="C1038" s="6" t="s">
        <v>90</v>
      </c>
      <c r="D1038" s="6" t="s">
        <v>119</v>
      </c>
      <c r="E1038" s="6" t="s">
        <v>120</v>
      </c>
      <c r="F1038" s="7">
        <v>15</v>
      </c>
      <c r="G1038" s="7">
        <v>1875</v>
      </c>
      <c r="H1038" s="16">
        <v>45239</v>
      </c>
      <c r="I1038" s="6">
        <v>45</v>
      </c>
      <c r="J1038" s="6" t="s">
        <v>121</v>
      </c>
      <c r="K1038" s="6" t="s">
        <v>855</v>
      </c>
      <c r="L1038" s="11">
        <f>F1038*Controls!$B$6</f>
        <v>15</v>
      </c>
      <c r="M1038" s="11">
        <f>G1038*Controls!$B$6</f>
        <v>1875</v>
      </c>
      <c r="N1038" s="12">
        <f>IF(L1038=0,0,SUMIFS('PSI Plan'!$N$6:$N$173,'PSI Plan'!$B$6:$B$173,B1038,'PSI Plan'!$C$6:$C$173,I1038))</f>
        <v>0</v>
      </c>
      <c r="O1038" s="11">
        <f t="shared" si="32"/>
        <v>0</v>
      </c>
      <c r="P1038" s="11">
        <f t="shared" si="33"/>
        <v>0</v>
      </c>
      <c r="Q1038" s="6"/>
      <c r="R1038" s="6"/>
      <c r="S1038" s="6"/>
      <c r="T1038" s="6"/>
    </row>
    <row r="1039" spans="1:20">
      <c r="A1039" s="6" t="s">
        <v>1186</v>
      </c>
      <c r="B1039" s="6" t="s">
        <v>69</v>
      </c>
      <c r="C1039" s="6" t="s">
        <v>90</v>
      </c>
      <c r="D1039" s="6" t="s">
        <v>119</v>
      </c>
      <c r="E1039" s="6" t="s">
        <v>120</v>
      </c>
      <c r="F1039" s="7">
        <v>8</v>
      </c>
      <c r="G1039" s="7">
        <v>1000</v>
      </c>
      <c r="H1039" s="16">
        <v>45262</v>
      </c>
      <c r="I1039" s="6">
        <v>48</v>
      </c>
      <c r="J1039" s="6" t="s">
        <v>121</v>
      </c>
      <c r="K1039" s="6" t="s">
        <v>855</v>
      </c>
      <c r="L1039" s="11">
        <f>F1039*Controls!$B$6</f>
        <v>8</v>
      </c>
      <c r="M1039" s="11">
        <f>G1039*Controls!$B$6</f>
        <v>1000</v>
      </c>
      <c r="N1039" s="12">
        <f>IF(L1039=0,0,SUMIFS('PSI Plan'!$N$6:$N$173,'PSI Plan'!$B$6:$B$173,B1039,'PSI Plan'!$C$6:$C$173,I1039))</f>
        <v>0</v>
      </c>
      <c r="O1039" s="11">
        <f t="shared" si="32"/>
        <v>0</v>
      </c>
      <c r="P1039" s="11">
        <f t="shared" si="33"/>
        <v>0</v>
      </c>
      <c r="Q1039" s="6"/>
      <c r="R1039" s="6"/>
      <c r="S1039" s="6"/>
      <c r="T1039" s="6"/>
    </row>
    <row r="1040" spans="1:20">
      <c r="A1040" s="6" t="s">
        <v>1187</v>
      </c>
      <c r="B1040" s="6" t="s">
        <v>77</v>
      </c>
      <c r="C1040" s="6" t="s">
        <v>90</v>
      </c>
      <c r="D1040" s="6" t="s">
        <v>119</v>
      </c>
      <c r="E1040" s="6" t="s">
        <v>120</v>
      </c>
      <c r="F1040" s="7">
        <v>1</v>
      </c>
      <c r="G1040" s="7">
        <v>125</v>
      </c>
      <c r="H1040" s="16">
        <v>45271</v>
      </c>
      <c r="I1040" s="6">
        <v>50</v>
      </c>
      <c r="J1040" s="6" t="s">
        <v>121</v>
      </c>
      <c r="K1040" s="6" t="s">
        <v>298</v>
      </c>
      <c r="L1040" s="11">
        <f>F1040*Controls!$B$6</f>
        <v>1</v>
      </c>
      <c r="M1040" s="11">
        <f>G1040*Controls!$B$6</f>
        <v>125</v>
      </c>
      <c r="N1040" s="12">
        <f>IF(L1040=0,0,SUMIFS('PSI Plan'!$N$6:$N$173,'PSI Plan'!$B$6:$B$173,B1040,'PSI Plan'!$C$6:$C$173,I1040))</f>
        <v>0</v>
      </c>
      <c r="O1040" s="11">
        <f t="shared" si="32"/>
        <v>0</v>
      </c>
      <c r="P1040" s="11">
        <f t="shared" si="33"/>
        <v>0</v>
      </c>
      <c r="Q1040" s="6"/>
      <c r="R1040" s="6"/>
      <c r="S1040" s="6"/>
      <c r="T1040" s="6"/>
    </row>
    <row r="1041" spans="1:20">
      <c r="A1041" s="6" t="s">
        <v>1188</v>
      </c>
      <c r="B1041" s="6" t="s">
        <v>76</v>
      </c>
      <c r="C1041" s="6" t="s">
        <v>90</v>
      </c>
      <c r="D1041" s="6" t="s">
        <v>119</v>
      </c>
      <c r="E1041" s="6" t="s">
        <v>120</v>
      </c>
      <c r="F1041" s="7">
        <v>1</v>
      </c>
      <c r="G1041" s="7">
        <v>125</v>
      </c>
      <c r="H1041" s="16">
        <v>45238</v>
      </c>
      <c r="I1041" s="6">
        <v>45</v>
      </c>
      <c r="J1041" s="6" t="s">
        <v>121</v>
      </c>
      <c r="K1041" s="6" t="s">
        <v>298</v>
      </c>
      <c r="L1041" s="11">
        <f>F1041*Controls!$B$6</f>
        <v>1</v>
      </c>
      <c r="M1041" s="11">
        <f>G1041*Controls!$B$6</f>
        <v>125</v>
      </c>
      <c r="N1041" s="12">
        <f>IF(L1041=0,0,SUMIFS('PSI Plan'!$N$6:$N$173,'PSI Plan'!$B$6:$B$173,B1041,'PSI Plan'!$C$6:$C$173,I1041))</f>
        <v>0</v>
      </c>
      <c r="O1041" s="11">
        <f t="shared" si="32"/>
        <v>0</v>
      </c>
      <c r="P1041" s="11">
        <f t="shared" si="33"/>
        <v>0</v>
      </c>
      <c r="Q1041" s="6"/>
      <c r="R1041" s="6"/>
      <c r="S1041" s="6"/>
      <c r="T1041" s="6"/>
    </row>
    <row r="1042" spans="1:20">
      <c r="A1042" s="6" t="s">
        <v>1189</v>
      </c>
      <c r="B1042" s="6" t="s">
        <v>69</v>
      </c>
      <c r="C1042" s="6" t="s">
        <v>90</v>
      </c>
      <c r="D1042" s="6" t="s">
        <v>119</v>
      </c>
      <c r="E1042" s="6" t="s">
        <v>120</v>
      </c>
      <c r="F1042" s="7">
        <v>1</v>
      </c>
      <c r="G1042" s="7">
        <v>125</v>
      </c>
      <c r="H1042" s="16">
        <v>45210</v>
      </c>
      <c r="I1042" s="6">
        <v>41</v>
      </c>
      <c r="J1042" s="6" t="s">
        <v>121</v>
      </c>
      <c r="K1042" s="6" t="s">
        <v>298</v>
      </c>
      <c r="L1042" s="11">
        <f>F1042*Controls!$B$6</f>
        <v>1</v>
      </c>
      <c r="M1042" s="11">
        <f>G1042*Controls!$B$6</f>
        <v>125</v>
      </c>
      <c r="N1042" s="12">
        <f>IF(L1042=0,0,SUMIFS('PSI Plan'!$N$6:$N$173,'PSI Plan'!$B$6:$B$173,B1042,'PSI Plan'!$C$6:$C$173,I1042))</f>
        <v>0</v>
      </c>
      <c r="O1042" s="11">
        <f t="shared" si="32"/>
        <v>0</v>
      </c>
      <c r="P1042" s="11">
        <f t="shared" si="33"/>
        <v>0</v>
      </c>
      <c r="Q1042" s="6"/>
      <c r="R1042" s="6"/>
      <c r="S1042" s="6"/>
      <c r="T1042" s="6"/>
    </row>
    <row r="1043" spans="1:20">
      <c r="A1043" s="6" t="s">
        <v>1190</v>
      </c>
      <c r="B1043" s="6" t="s">
        <v>66</v>
      </c>
      <c r="C1043" s="6" t="s">
        <v>90</v>
      </c>
      <c r="D1043" s="6" t="s">
        <v>119</v>
      </c>
      <c r="E1043" s="6" t="s">
        <v>120</v>
      </c>
      <c r="F1043" s="7">
        <v>11</v>
      </c>
      <c r="G1043" s="7">
        <v>1375</v>
      </c>
      <c r="H1043" s="16">
        <v>45265</v>
      </c>
      <c r="I1043" s="6">
        <v>49</v>
      </c>
      <c r="J1043" s="6" t="s">
        <v>121</v>
      </c>
      <c r="K1043" s="6" t="s">
        <v>139</v>
      </c>
      <c r="L1043" s="11">
        <f>F1043*Controls!$B$6</f>
        <v>11</v>
      </c>
      <c r="M1043" s="11">
        <f>G1043*Controls!$B$6</f>
        <v>1375</v>
      </c>
      <c r="N1043" s="12">
        <f>IF(L1043=0,0,SUMIFS('PSI Plan'!$N$6:$N$173,'PSI Plan'!$B$6:$B$173,B1043,'PSI Plan'!$C$6:$C$173,I1043))</f>
        <v>0</v>
      </c>
      <c r="O1043" s="11">
        <f t="shared" si="32"/>
        <v>0</v>
      </c>
      <c r="P1043" s="11">
        <f t="shared" si="33"/>
        <v>0</v>
      </c>
      <c r="Q1043" s="6"/>
      <c r="R1043" s="6"/>
      <c r="S1043" s="6"/>
      <c r="T1043" s="6"/>
    </row>
    <row r="1044" spans="1:20">
      <c r="A1044" s="6" t="s">
        <v>1191</v>
      </c>
      <c r="B1044" s="6" t="s">
        <v>77</v>
      </c>
      <c r="C1044" s="6" t="s">
        <v>90</v>
      </c>
      <c r="D1044" s="6" t="s">
        <v>119</v>
      </c>
      <c r="E1044" s="6" t="s">
        <v>120</v>
      </c>
      <c r="F1044" s="7">
        <v>10</v>
      </c>
      <c r="G1044" s="7">
        <v>1250</v>
      </c>
      <c r="H1044" s="16">
        <v>45213</v>
      </c>
      <c r="I1044" s="6">
        <v>41</v>
      </c>
      <c r="J1044" s="6" t="s">
        <v>121</v>
      </c>
      <c r="K1044" s="6" t="s">
        <v>139</v>
      </c>
      <c r="L1044" s="11">
        <f>F1044*Controls!$B$6</f>
        <v>10</v>
      </c>
      <c r="M1044" s="11">
        <f>G1044*Controls!$B$6</f>
        <v>1250</v>
      </c>
      <c r="N1044" s="12">
        <f>IF(L1044=0,0,SUMIFS('PSI Plan'!$N$6:$N$173,'PSI Plan'!$B$6:$B$173,B1044,'PSI Plan'!$C$6:$C$173,I1044))</f>
        <v>0</v>
      </c>
      <c r="O1044" s="11">
        <f t="shared" si="32"/>
        <v>0</v>
      </c>
      <c r="P1044" s="11">
        <f t="shared" si="33"/>
        <v>0</v>
      </c>
      <c r="Q1044" s="6"/>
      <c r="R1044" s="6"/>
      <c r="S1044" s="6"/>
      <c r="T1044" s="6"/>
    </row>
    <row r="1045" spans="1:20">
      <c r="A1045" s="6" t="s">
        <v>1192</v>
      </c>
      <c r="B1045" s="6" t="s">
        <v>76</v>
      </c>
      <c r="C1045" s="6" t="s">
        <v>90</v>
      </c>
      <c r="D1045" s="6" t="s">
        <v>119</v>
      </c>
      <c r="E1045" s="6" t="s">
        <v>120</v>
      </c>
      <c r="F1045" s="7">
        <v>7</v>
      </c>
      <c r="G1045" s="7">
        <v>875</v>
      </c>
      <c r="H1045" s="16">
        <v>45213</v>
      </c>
      <c r="I1045" s="6">
        <v>41</v>
      </c>
      <c r="J1045" s="6" t="s">
        <v>121</v>
      </c>
      <c r="K1045" s="6" t="s">
        <v>139</v>
      </c>
      <c r="L1045" s="11">
        <f>F1045*Controls!$B$6</f>
        <v>7</v>
      </c>
      <c r="M1045" s="11">
        <f>G1045*Controls!$B$6</f>
        <v>875</v>
      </c>
      <c r="N1045" s="12">
        <f>IF(L1045=0,0,SUMIFS('PSI Plan'!$N$6:$N$173,'PSI Plan'!$B$6:$B$173,B1045,'PSI Plan'!$C$6:$C$173,I1045))</f>
        <v>0</v>
      </c>
      <c r="O1045" s="11">
        <f t="shared" si="32"/>
        <v>0</v>
      </c>
      <c r="P1045" s="11">
        <f t="shared" si="33"/>
        <v>0</v>
      </c>
      <c r="Q1045" s="6"/>
      <c r="R1045" s="6"/>
      <c r="S1045" s="6"/>
      <c r="T1045" s="6"/>
    </row>
    <row r="1046" spans="1:20">
      <c r="A1046" s="6" t="s">
        <v>1193</v>
      </c>
      <c r="B1046" s="6" t="s">
        <v>69</v>
      </c>
      <c r="C1046" s="6" t="s">
        <v>90</v>
      </c>
      <c r="D1046" s="6" t="s">
        <v>119</v>
      </c>
      <c r="E1046" s="6" t="s">
        <v>120</v>
      </c>
      <c r="F1046" s="7">
        <v>12</v>
      </c>
      <c r="G1046" s="7">
        <v>1500</v>
      </c>
      <c r="H1046" s="16">
        <v>45263</v>
      </c>
      <c r="I1046" s="6">
        <v>49</v>
      </c>
      <c r="J1046" s="6" t="s">
        <v>121</v>
      </c>
      <c r="K1046" s="6" t="s">
        <v>139</v>
      </c>
      <c r="L1046" s="11">
        <f>F1046*Controls!$B$6</f>
        <v>12</v>
      </c>
      <c r="M1046" s="11">
        <f>G1046*Controls!$B$6</f>
        <v>1500</v>
      </c>
      <c r="N1046" s="12">
        <f>IF(L1046=0,0,SUMIFS('PSI Plan'!$N$6:$N$173,'PSI Plan'!$B$6:$B$173,B1046,'PSI Plan'!$C$6:$C$173,I1046))</f>
        <v>0</v>
      </c>
      <c r="O1046" s="11">
        <f t="shared" si="32"/>
        <v>0</v>
      </c>
      <c r="P1046" s="11">
        <f t="shared" si="33"/>
        <v>0</v>
      </c>
      <c r="Q1046" s="6"/>
      <c r="R1046" s="6"/>
      <c r="S1046" s="6"/>
      <c r="T1046" s="6"/>
    </row>
    <row r="1047" spans="1:20">
      <c r="A1047" s="6" t="s">
        <v>1194</v>
      </c>
      <c r="B1047" s="6" t="s">
        <v>77</v>
      </c>
      <c r="C1047" s="6" t="s">
        <v>90</v>
      </c>
      <c r="D1047" s="6" t="s">
        <v>119</v>
      </c>
      <c r="E1047" s="6" t="s">
        <v>120</v>
      </c>
      <c r="F1047" s="7">
        <v>9</v>
      </c>
      <c r="G1047" s="7">
        <v>1125</v>
      </c>
      <c r="H1047" s="16">
        <v>45207</v>
      </c>
      <c r="I1047" s="6">
        <v>41</v>
      </c>
      <c r="J1047" s="6" t="s">
        <v>121</v>
      </c>
      <c r="K1047" s="6" t="s">
        <v>132</v>
      </c>
      <c r="L1047" s="11">
        <f>F1047*Controls!$B$6</f>
        <v>9</v>
      </c>
      <c r="M1047" s="11">
        <f>G1047*Controls!$B$6</f>
        <v>1125</v>
      </c>
      <c r="N1047" s="12">
        <f>IF(L1047=0,0,SUMIFS('PSI Plan'!$N$6:$N$173,'PSI Plan'!$B$6:$B$173,B1047,'PSI Plan'!$C$6:$C$173,I1047))</f>
        <v>0</v>
      </c>
      <c r="O1047" s="11">
        <f t="shared" si="32"/>
        <v>0</v>
      </c>
      <c r="P1047" s="11">
        <f t="shared" si="33"/>
        <v>0</v>
      </c>
      <c r="Q1047" s="6"/>
      <c r="R1047" s="6"/>
      <c r="S1047" s="6"/>
      <c r="T1047" s="6"/>
    </row>
    <row r="1048" spans="1:20">
      <c r="A1048" s="6" t="s">
        <v>1195</v>
      </c>
      <c r="B1048" s="6" t="s">
        <v>69</v>
      </c>
      <c r="C1048" s="6" t="s">
        <v>90</v>
      </c>
      <c r="D1048" s="6" t="s">
        <v>119</v>
      </c>
      <c r="E1048" s="6" t="s">
        <v>120</v>
      </c>
      <c r="F1048" s="7">
        <v>6</v>
      </c>
      <c r="G1048" s="7">
        <v>750</v>
      </c>
      <c r="H1048" s="16">
        <v>45277</v>
      </c>
      <c r="I1048" s="6">
        <v>51</v>
      </c>
      <c r="J1048" s="6" t="s">
        <v>121</v>
      </c>
      <c r="K1048" s="6" t="s">
        <v>132</v>
      </c>
      <c r="L1048" s="11">
        <f>F1048*Controls!$B$6</f>
        <v>6</v>
      </c>
      <c r="M1048" s="11">
        <f>G1048*Controls!$B$6</f>
        <v>750</v>
      </c>
      <c r="N1048" s="12">
        <f>IF(L1048=0,0,SUMIFS('PSI Plan'!$N$6:$N$173,'PSI Plan'!$B$6:$B$173,B1048,'PSI Plan'!$C$6:$C$173,I1048))</f>
        <v>0</v>
      </c>
      <c r="O1048" s="11">
        <f t="shared" si="32"/>
        <v>0</v>
      </c>
      <c r="P1048" s="11">
        <f t="shared" si="33"/>
        <v>0</v>
      </c>
      <c r="Q1048" s="6"/>
      <c r="R1048" s="6"/>
      <c r="S1048" s="6"/>
      <c r="T1048" s="6"/>
    </row>
    <row r="1049" spans="1:20">
      <c r="A1049" s="6" t="s">
        <v>1196</v>
      </c>
      <c r="B1049" s="6" t="s">
        <v>66</v>
      </c>
      <c r="C1049" s="6" t="s">
        <v>90</v>
      </c>
      <c r="D1049" s="6" t="s">
        <v>119</v>
      </c>
      <c r="E1049" s="6" t="s">
        <v>120</v>
      </c>
      <c r="F1049" s="7">
        <v>10</v>
      </c>
      <c r="G1049" s="7">
        <v>1250</v>
      </c>
      <c r="H1049" s="16">
        <v>45224</v>
      </c>
      <c r="I1049" s="6">
        <v>43</v>
      </c>
      <c r="J1049" s="6" t="s">
        <v>121</v>
      </c>
      <c r="K1049" s="6" t="s">
        <v>122</v>
      </c>
      <c r="L1049" s="11">
        <f>F1049*Controls!$B$6</f>
        <v>10</v>
      </c>
      <c r="M1049" s="11">
        <f>G1049*Controls!$B$6</f>
        <v>1250</v>
      </c>
      <c r="N1049" s="12">
        <f>IF(L1049=0,0,SUMIFS('PSI Plan'!$N$6:$N$173,'PSI Plan'!$B$6:$B$173,B1049,'PSI Plan'!$C$6:$C$173,I1049))</f>
        <v>0</v>
      </c>
      <c r="O1049" s="11">
        <f t="shared" si="32"/>
        <v>0</v>
      </c>
      <c r="P1049" s="11">
        <f t="shared" si="33"/>
        <v>0</v>
      </c>
      <c r="Q1049" s="6"/>
      <c r="R1049" s="6"/>
      <c r="S1049" s="6"/>
      <c r="T1049" s="6"/>
    </row>
    <row r="1050" spans="1:20">
      <c r="A1050" s="6" t="s">
        <v>1197</v>
      </c>
      <c r="B1050" s="6" t="s">
        <v>77</v>
      </c>
      <c r="C1050" s="6" t="s">
        <v>90</v>
      </c>
      <c r="D1050" s="6" t="s">
        <v>119</v>
      </c>
      <c r="E1050" s="6" t="s">
        <v>120</v>
      </c>
      <c r="F1050" s="7">
        <v>19</v>
      </c>
      <c r="G1050" s="7">
        <v>2375</v>
      </c>
      <c r="H1050" s="16">
        <v>45224</v>
      </c>
      <c r="I1050" s="6">
        <v>43</v>
      </c>
      <c r="J1050" s="6" t="s">
        <v>121</v>
      </c>
      <c r="K1050" s="6" t="s">
        <v>122</v>
      </c>
      <c r="L1050" s="11">
        <f>F1050*Controls!$B$6</f>
        <v>19</v>
      </c>
      <c r="M1050" s="11">
        <f>G1050*Controls!$B$6</f>
        <v>2375</v>
      </c>
      <c r="N1050" s="12">
        <f>IF(L1050=0,0,SUMIFS('PSI Plan'!$N$6:$N$173,'PSI Plan'!$B$6:$B$173,B1050,'PSI Plan'!$C$6:$C$173,I1050))</f>
        <v>0</v>
      </c>
      <c r="O1050" s="11">
        <f t="shared" si="32"/>
        <v>0</v>
      </c>
      <c r="P1050" s="11">
        <f t="shared" si="33"/>
        <v>0</v>
      </c>
      <c r="Q1050" s="6"/>
      <c r="R1050" s="6"/>
      <c r="S1050" s="6"/>
      <c r="T1050" s="6"/>
    </row>
    <row r="1051" spans="1:20">
      <c r="A1051" s="6" t="s">
        <v>1198</v>
      </c>
      <c r="B1051" s="6" t="s">
        <v>76</v>
      </c>
      <c r="C1051" s="6" t="s">
        <v>90</v>
      </c>
      <c r="D1051" s="6" t="s">
        <v>119</v>
      </c>
      <c r="E1051" s="6" t="s">
        <v>120</v>
      </c>
      <c r="F1051" s="7">
        <v>15</v>
      </c>
      <c r="G1051" s="7">
        <v>1875</v>
      </c>
      <c r="H1051" s="16">
        <v>45226</v>
      </c>
      <c r="I1051" s="6">
        <v>43</v>
      </c>
      <c r="J1051" s="6" t="s">
        <v>121</v>
      </c>
      <c r="K1051" s="6" t="s">
        <v>122</v>
      </c>
      <c r="L1051" s="11">
        <f>F1051*Controls!$B$6</f>
        <v>15</v>
      </c>
      <c r="M1051" s="11">
        <f>G1051*Controls!$B$6</f>
        <v>1875</v>
      </c>
      <c r="N1051" s="12">
        <f>IF(L1051=0,0,SUMIFS('PSI Plan'!$N$6:$N$173,'PSI Plan'!$B$6:$B$173,B1051,'PSI Plan'!$C$6:$C$173,I1051))</f>
        <v>0</v>
      </c>
      <c r="O1051" s="11">
        <f t="shared" si="32"/>
        <v>0</v>
      </c>
      <c r="P1051" s="11">
        <f t="shared" si="33"/>
        <v>0</v>
      </c>
      <c r="Q1051" s="6"/>
      <c r="R1051" s="6"/>
      <c r="S1051" s="6"/>
      <c r="T1051" s="6"/>
    </row>
    <row r="1052" spans="1:20">
      <c r="A1052" s="6" t="s">
        <v>1199</v>
      </c>
      <c r="B1052" s="6" t="s">
        <v>67</v>
      </c>
      <c r="C1052" s="6" t="s">
        <v>90</v>
      </c>
      <c r="D1052" s="6" t="s">
        <v>119</v>
      </c>
      <c r="E1052" s="6" t="s">
        <v>120</v>
      </c>
      <c r="F1052" s="7">
        <v>17</v>
      </c>
      <c r="G1052" s="7">
        <v>2125</v>
      </c>
      <c r="H1052" s="16">
        <v>45274</v>
      </c>
      <c r="I1052" s="6">
        <v>50</v>
      </c>
      <c r="J1052" s="6" t="s">
        <v>121</v>
      </c>
      <c r="K1052" s="6" t="s">
        <v>122</v>
      </c>
      <c r="L1052" s="11">
        <f>F1052*Controls!$B$6</f>
        <v>17</v>
      </c>
      <c r="M1052" s="11">
        <f>G1052*Controls!$B$6</f>
        <v>2125</v>
      </c>
      <c r="N1052" s="12">
        <f>IF(L1052=0,0,SUMIFS('PSI Plan'!$N$6:$N$173,'PSI Plan'!$B$6:$B$173,B1052,'PSI Plan'!$C$6:$C$173,I1052))</f>
        <v>0</v>
      </c>
      <c r="O1052" s="11">
        <f t="shared" si="32"/>
        <v>0</v>
      </c>
      <c r="P1052" s="11">
        <f t="shared" si="33"/>
        <v>0</v>
      </c>
      <c r="Q1052" s="6"/>
      <c r="R1052" s="6"/>
      <c r="S1052" s="6"/>
      <c r="T1052" s="6"/>
    </row>
    <row r="1053" spans="1:20">
      <c r="A1053" s="6" t="s">
        <v>1200</v>
      </c>
      <c r="B1053" s="6" t="s">
        <v>66</v>
      </c>
      <c r="C1053" s="6" t="s">
        <v>90</v>
      </c>
      <c r="D1053" s="6" t="s">
        <v>119</v>
      </c>
      <c r="E1053" s="6" t="s">
        <v>120</v>
      </c>
      <c r="F1053" s="7">
        <v>9</v>
      </c>
      <c r="G1053" s="7">
        <v>1125</v>
      </c>
      <c r="H1053" s="16">
        <v>45287</v>
      </c>
      <c r="I1053" s="6">
        <v>52</v>
      </c>
      <c r="J1053" s="6" t="s">
        <v>121</v>
      </c>
      <c r="K1053" s="6" t="s">
        <v>171</v>
      </c>
      <c r="L1053" s="11">
        <f>F1053*Controls!$B$6</f>
        <v>9</v>
      </c>
      <c r="M1053" s="11">
        <f>G1053*Controls!$B$6</f>
        <v>1125</v>
      </c>
      <c r="N1053" s="12">
        <f>IF(L1053=0,0,SUMIFS('PSI Plan'!$N$6:$N$173,'PSI Plan'!$B$6:$B$173,B1053,'PSI Plan'!$C$6:$C$173,I1053))</f>
        <v>0</v>
      </c>
      <c r="O1053" s="11">
        <f t="shared" si="32"/>
        <v>0</v>
      </c>
      <c r="P1053" s="11">
        <f t="shared" si="33"/>
        <v>0</v>
      </c>
      <c r="Q1053" s="6"/>
      <c r="R1053" s="6"/>
      <c r="S1053" s="6"/>
      <c r="T1053" s="6"/>
    </row>
    <row r="1054" spans="1:20">
      <c r="A1054" s="6" t="s">
        <v>1201</v>
      </c>
      <c r="B1054" s="6" t="s">
        <v>77</v>
      </c>
      <c r="C1054" s="6" t="s">
        <v>90</v>
      </c>
      <c r="D1054" s="6" t="s">
        <v>119</v>
      </c>
      <c r="E1054" s="6" t="s">
        <v>120</v>
      </c>
      <c r="F1054" s="7">
        <v>12</v>
      </c>
      <c r="G1054" s="7">
        <v>1500</v>
      </c>
      <c r="H1054" s="16">
        <v>45258</v>
      </c>
      <c r="I1054" s="6">
        <v>48</v>
      </c>
      <c r="J1054" s="6" t="s">
        <v>121</v>
      </c>
      <c r="K1054" s="6" t="s">
        <v>171</v>
      </c>
      <c r="L1054" s="11">
        <f>F1054*Controls!$B$6</f>
        <v>12</v>
      </c>
      <c r="M1054" s="11">
        <f>G1054*Controls!$B$6</f>
        <v>1500</v>
      </c>
      <c r="N1054" s="12">
        <f>IF(L1054=0,0,SUMIFS('PSI Plan'!$N$6:$N$173,'PSI Plan'!$B$6:$B$173,B1054,'PSI Plan'!$C$6:$C$173,I1054))</f>
        <v>0</v>
      </c>
      <c r="O1054" s="11">
        <f t="shared" si="32"/>
        <v>0</v>
      </c>
      <c r="P1054" s="11">
        <f t="shared" si="33"/>
        <v>0</v>
      </c>
      <c r="Q1054" s="6"/>
      <c r="R1054" s="6"/>
      <c r="S1054" s="6"/>
      <c r="T1054" s="6"/>
    </row>
    <row r="1055" spans="1:20">
      <c r="A1055" s="6" t="s">
        <v>1202</v>
      </c>
      <c r="B1055" s="6" t="s">
        <v>76</v>
      </c>
      <c r="C1055" s="6" t="s">
        <v>90</v>
      </c>
      <c r="D1055" s="6" t="s">
        <v>119</v>
      </c>
      <c r="E1055" s="6" t="s">
        <v>120</v>
      </c>
      <c r="F1055" s="7">
        <v>4</v>
      </c>
      <c r="G1055" s="7">
        <v>500</v>
      </c>
      <c r="H1055" s="16">
        <v>45250</v>
      </c>
      <c r="I1055" s="6">
        <v>47</v>
      </c>
      <c r="J1055" s="6" t="s">
        <v>121</v>
      </c>
      <c r="K1055" s="6" t="s">
        <v>171</v>
      </c>
      <c r="L1055" s="11">
        <f>F1055*Controls!$B$6</f>
        <v>4</v>
      </c>
      <c r="M1055" s="11">
        <f>G1055*Controls!$B$6</f>
        <v>500</v>
      </c>
      <c r="N1055" s="12">
        <f>IF(L1055=0,0,SUMIFS('PSI Plan'!$N$6:$N$173,'PSI Plan'!$B$6:$B$173,B1055,'PSI Plan'!$C$6:$C$173,I1055))</f>
        <v>0</v>
      </c>
      <c r="O1055" s="11">
        <f t="shared" si="32"/>
        <v>0</v>
      </c>
      <c r="P1055" s="11">
        <f t="shared" si="33"/>
        <v>0</v>
      </c>
      <c r="Q1055" s="6"/>
      <c r="R1055" s="6"/>
      <c r="S1055" s="6"/>
      <c r="T1055" s="6"/>
    </row>
    <row r="1056" spans="1:20">
      <c r="A1056" s="6" t="s">
        <v>1203</v>
      </c>
      <c r="B1056" s="6" t="s">
        <v>67</v>
      </c>
      <c r="C1056" s="6" t="s">
        <v>90</v>
      </c>
      <c r="D1056" s="6" t="s">
        <v>119</v>
      </c>
      <c r="E1056" s="6" t="s">
        <v>120</v>
      </c>
      <c r="F1056" s="7">
        <v>19</v>
      </c>
      <c r="G1056" s="7">
        <v>2375</v>
      </c>
      <c r="H1056" s="16">
        <v>45247</v>
      </c>
      <c r="I1056" s="6">
        <v>46</v>
      </c>
      <c r="J1056" s="6" t="s">
        <v>121</v>
      </c>
      <c r="K1056" s="6" t="s">
        <v>171</v>
      </c>
      <c r="L1056" s="11">
        <f>F1056*Controls!$B$6</f>
        <v>19</v>
      </c>
      <c r="M1056" s="11">
        <f>G1056*Controls!$B$6</f>
        <v>2375</v>
      </c>
      <c r="N1056" s="12">
        <f>IF(L1056=0,0,SUMIFS('PSI Plan'!$N$6:$N$173,'PSI Plan'!$B$6:$B$173,B1056,'PSI Plan'!$C$6:$C$173,I1056))</f>
        <v>0</v>
      </c>
      <c r="O1056" s="11">
        <f t="shared" si="32"/>
        <v>0</v>
      </c>
      <c r="P1056" s="11">
        <f t="shared" si="33"/>
        <v>0</v>
      </c>
      <c r="Q1056" s="6"/>
      <c r="R1056" s="6"/>
      <c r="S1056" s="6"/>
      <c r="T1056" s="6"/>
    </row>
    <row r="1057" spans="1:20">
      <c r="A1057" s="6" t="s">
        <v>1204</v>
      </c>
      <c r="B1057" s="6" t="s">
        <v>69</v>
      </c>
      <c r="C1057" s="6" t="s">
        <v>90</v>
      </c>
      <c r="D1057" s="6" t="s">
        <v>119</v>
      </c>
      <c r="E1057" s="6" t="s">
        <v>120</v>
      </c>
      <c r="F1057" s="7">
        <v>26</v>
      </c>
      <c r="G1057" s="7">
        <v>3250</v>
      </c>
      <c r="H1057" s="16">
        <v>45225</v>
      </c>
      <c r="I1057" s="6">
        <v>43</v>
      </c>
      <c r="J1057" s="6" t="s">
        <v>121</v>
      </c>
      <c r="K1057" s="6" t="s">
        <v>171</v>
      </c>
      <c r="L1057" s="11">
        <f>F1057*Controls!$B$6</f>
        <v>26</v>
      </c>
      <c r="M1057" s="11">
        <f>G1057*Controls!$B$6</f>
        <v>3250</v>
      </c>
      <c r="N1057" s="12">
        <f>IF(L1057=0,0,SUMIFS('PSI Plan'!$N$6:$N$173,'PSI Plan'!$B$6:$B$173,B1057,'PSI Plan'!$C$6:$C$173,I1057))</f>
        <v>0</v>
      </c>
      <c r="O1057" s="11">
        <f t="shared" si="32"/>
        <v>0</v>
      </c>
      <c r="P1057" s="11">
        <f t="shared" si="33"/>
        <v>0</v>
      </c>
      <c r="Q1057" s="6"/>
      <c r="R1057" s="6"/>
      <c r="S1057" s="6"/>
      <c r="T1057" s="6"/>
    </row>
    <row r="1058" spans="1:20">
      <c r="A1058" s="6" t="s">
        <v>1205</v>
      </c>
      <c r="B1058" s="6" t="s">
        <v>66</v>
      </c>
      <c r="C1058" s="6" t="s">
        <v>100</v>
      </c>
      <c r="D1058" s="6" t="s">
        <v>567</v>
      </c>
      <c r="E1058" s="6" t="s">
        <v>120</v>
      </c>
      <c r="F1058" s="7">
        <v>9</v>
      </c>
      <c r="G1058" s="7">
        <v>1125</v>
      </c>
      <c r="H1058" s="16">
        <v>45213</v>
      </c>
      <c r="I1058" s="6">
        <v>41</v>
      </c>
      <c r="J1058" s="6" t="s">
        <v>121</v>
      </c>
      <c r="K1058" s="6" t="s">
        <v>568</v>
      </c>
      <c r="L1058" s="11">
        <f>F1058*Controls!$B$6</f>
        <v>9</v>
      </c>
      <c r="M1058" s="11">
        <f>G1058*Controls!$B$6</f>
        <v>1125</v>
      </c>
      <c r="N1058" s="12">
        <f>IF(L1058=0,0,SUMIFS('PSI Plan'!$N$6:$N$173,'PSI Plan'!$B$6:$B$173,B1058,'PSI Plan'!$C$6:$C$173,I1058))</f>
        <v>0.22897465437788017</v>
      </c>
      <c r="O1058" s="11">
        <f t="shared" si="32"/>
        <v>2.0607718894009217</v>
      </c>
      <c r="P1058" s="11">
        <f t="shared" si="33"/>
        <v>257.59648617511522</v>
      </c>
      <c r="Q1058" s="6"/>
      <c r="R1058" s="6"/>
      <c r="S1058" s="6"/>
      <c r="T1058" s="6"/>
    </row>
    <row r="1059" spans="1:20">
      <c r="A1059" s="6" t="s">
        <v>1206</v>
      </c>
      <c r="B1059" s="6" t="s">
        <v>76</v>
      </c>
      <c r="C1059" s="6" t="s">
        <v>100</v>
      </c>
      <c r="D1059" s="6" t="s">
        <v>567</v>
      </c>
      <c r="E1059" s="6" t="s">
        <v>120</v>
      </c>
      <c r="F1059" s="7">
        <v>3</v>
      </c>
      <c r="G1059" s="7">
        <v>375</v>
      </c>
      <c r="H1059" s="16">
        <v>45259</v>
      </c>
      <c r="I1059" s="6">
        <v>48</v>
      </c>
      <c r="J1059" s="6" t="s">
        <v>121</v>
      </c>
      <c r="K1059" s="6" t="s">
        <v>568</v>
      </c>
      <c r="L1059" s="11">
        <f>F1059*Controls!$B$6</f>
        <v>3</v>
      </c>
      <c r="M1059" s="11">
        <f>G1059*Controls!$B$6</f>
        <v>375</v>
      </c>
      <c r="N1059" s="12">
        <f>IF(L1059=0,0,SUMIFS('PSI Plan'!$N$6:$N$173,'PSI Plan'!$B$6:$B$173,B1059,'PSI Plan'!$C$6:$C$173,I1059))</f>
        <v>0</v>
      </c>
      <c r="O1059" s="11">
        <f t="shared" si="32"/>
        <v>0</v>
      </c>
      <c r="P1059" s="11">
        <f t="shared" si="33"/>
        <v>0</v>
      </c>
      <c r="Q1059" s="6"/>
      <c r="R1059" s="6"/>
      <c r="S1059" s="6"/>
      <c r="T1059" s="6"/>
    </row>
    <row r="1060" spans="1:20">
      <c r="A1060" s="6" t="s">
        <v>1207</v>
      </c>
      <c r="B1060" s="6" t="s">
        <v>76</v>
      </c>
      <c r="C1060" s="6" t="s">
        <v>99</v>
      </c>
      <c r="D1060" s="6" t="s">
        <v>319</v>
      </c>
      <c r="E1060" s="6" t="s">
        <v>120</v>
      </c>
      <c r="F1060" s="7">
        <v>8</v>
      </c>
      <c r="G1060" s="7">
        <v>1000</v>
      </c>
      <c r="H1060" s="16">
        <v>45225</v>
      </c>
      <c r="I1060" s="6">
        <v>43</v>
      </c>
      <c r="J1060" s="6" t="s">
        <v>121</v>
      </c>
      <c r="K1060" s="6" t="s">
        <v>347</v>
      </c>
      <c r="L1060" s="11">
        <f>F1060*Controls!$B$6</f>
        <v>8</v>
      </c>
      <c r="M1060" s="11">
        <f>G1060*Controls!$B$6</f>
        <v>1000</v>
      </c>
      <c r="N1060" s="12">
        <f>IF(L1060=0,0,SUMIFS('PSI Plan'!$N$6:$N$173,'PSI Plan'!$B$6:$B$173,B1060,'PSI Plan'!$C$6:$C$173,I1060))</f>
        <v>0</v>
      </c>
      <c r="O1060" s="11">
        <f t="shared" si="32"/>
        <v>0</v>
      </c>
      <c r="P1060" s="11">
        <f t="shared" si="33"/>
        <v>0</v>
      </c>
      <c r="Q1060" s="6"/>
      <c r="R1060" s="6"/>
      <c r="S1060" s="6"/>
      <c r="T1060" s="6"/>
    </row>
    <row r="1061" spans="1:20">
      <c r="A1061" s="6" t="s">
        <v>1208</v>
      </c>
      <c r="B1061" s="6" t="s">
        <v>67</v>
      </c>
      <c r="C1061" s="6" t="s">
        <v>99</v>
      </c>
      <c r="D1061" s="6" t="s">
        <v>319</v>
      </c>
      <c r="E1061" s="6" t="s">
        <v>120</v>
      </c>
      <c r="F1061" s="7">
        <v>52</v>
      </c>
      <c r="G1061" s="7">
        <v>6500</v>
      </c>
      <c r="H1061" s="16">
        <v>45209</v>
      </c>
      <c r="I1061" s="6">
        <v>41</v>
      </c>
      <c r="J1061" s="6" t="s">
        <v>121</v>
      </c>
      <c r="K1061" s="6" t="s">
        <v>347</v>
      </c>
      <c r="L1061" s="11">
        <f>F1061*Controls!$B$6</f>
        <v>52</v>
      </c>
      <c r="M1061" s="11">
        <f>G1061*Controls!$B$6</f>
        <v>6500</v>
      </c>
      <c r="N1061" s="12">
        <f>IF(L1061=0,0,SUMIFS('PSI Plan'!$N$6:$N$173,'PSI Plan'!$B$6:$B$173,B1061,'PSI Plan'!$C$6:$C$173,I1061))</f>
        <v>0</v>
      </c>
      <c r="O1061" s="11">
        <f t="shared" si="32"/>
        <v>0</v>
      </c>
      <c r="P1061" s="11">
        <f t="shared" si="33"/>
        <v>0</v>
      </c>
      <c r="Q1061" s="6"/>
      <c r="R1061" s="6"/>
      <c r="S1061" s="6"/>
      <c r="T1061" s="6"/>
    </row>
    <row r="1062" spans="1:20">
      <c r="A1062" s="6" t="s">
        <v>1209</v>
      </c>
      <c r="B1062" s="6" t="s">
        <v>77</v>
      </c>
      <c r="C1062" s="6" t="s">
        <v>99</v>
      </c>
      <c r="D1062" s="6" t="s">
        <v>319</v>
      </c>
      <c r="E1062" s="6" t="s">
        <v>120</v>
      </c>
      <c r="F1062" s="7">
        <v>104</v>
      </c>
      <c r="G1062" s="7">
        <v>13000</v>
      </c>
      <c r="H1062" s="16">
        <v>45283</v>
      </c>
      <c r="I1062" s="6">
        <v>51</v>
      </c>
      <c r="J1062" s="6" t="s">
        <v>121</v>
      </c>
      <c r="K1062" s="6" t="s">
        <v>344</v>
      </c>
      <c r="L1062" s="11">
        <f>F1062*Controls!$B$6</f>
        <v>104</v>
      </c>
      <c r="M1062" s="11">
        <f>G1062*Controls!$B$6</f>
        <v>13000</v>
      </c>
      <c r="N1062" s="12">
        <f>IF(L1062=0,0,SUMIFS('PSI Plan'!$N$6:$N$173,'PSI Plan'!$B$6:$B$173,B1062,'PSI Plan'!$C$6:$C$173,I1062))</f>
        <v>0</v>
      </c>
      <c r="O1062" s="11">
        <f t="shared" si="32"/>
        <v>0</v>
      </c>
      <c r="P1062" s="11">
        <f t="shared" si="33"/>
        <v>0</v>
      </c>
      <c r="Q1062" s="6"/>
      <c r="R1062" s="6"/>
      <c r="S1062" s="6"/>
      <c r="T1062" s="6"/>
    </row>
    <row r="1063" spans="1:20">
      <c r="A1063" s="6" t="s">
        <v>1210</v>
      </c>
      <c r="B1063" s="6" t="s">
        <v>69</v>
      </c>
      <c r="C1063" s="6" t="s">
        <v>99</v>
      </c>
      <c r="D1063" s="6" t="s">
        <v>319</v>
      </c>
      <c r="E1063" s="6" t="s">
        <v>120</v>
      </c>
      <c r="F1063" s="7">
        <v>52</v>
      </c>
      <c r="G1063" s="7">
        <v>6500</v>
      </c>
      <c r="H1063" s="16">
        <v>45257</v>
      </c>
      <c r="I1063" s="6">
        <v>48</v>
      </c>
      <c r="J1063" s="6" t="s">
        <v>121</v>
      </c>
      <c r="K1063" s="6" t="s">
        <v>344</v>
      </c>
      <c r="L1063" s="11">
        <f>F1063*Controls!$B$6</f>
        <v>52</v>
      </c>
      <c r="M1063" s="11">
        <f>G1063*Controls!$B$6</f>
        <v>6500</v>
      </c>
      <c r="N1063" s="12">
        <f>IF(L1063=0,0,SUMIFS('PSI Plan'!$N$6:$N$173,'PSI Plan'!$B$6:$B$173,B1063,'PSI Plan'!$C$6:$C$173,I1063))</f>
        <v>0</v>
      </c>
      <c r="O1063" s="11">
        <f t="shared" si="32"/>
        <v>0</v>
      </c>
      <c r="P1063" s="11">
        <f t="shared" si="33"/>
        <v>0</v>
      </c>
      <c r="Q1063" s="6"/>
      <c r="R1063" s="6"/>
      <c r="S1063" s="6"/>
      <c r="T1063" s="6"/>
    </row>
    <row r="1064" spans="1:20">
      <c r="A1064" s="6" t="s">
        <v>1211</v>
      </c>
      <c r="B1064" s="6" t="s">
        <v>66</v>
      </c>
      <c r="C1064" s="6" t="s">
        <v>100</v>
      </c>
      <c r="D1064" s="6" t="s">
        <v>567</v>
      </c>
      <c r="E1064" s="6" t="s">
        <v>120</v>
      </c>
      <c r="F1064" s="7">
        <v>6</v>
      </c>
      <c r="G1064" s="7">
        <v>750</v>
      </c>
      <c r="H1064" s="16">
        <v>45247</v>
      </c>
      <c r="I1064" s="6">
        <v>46</v>
      </c>
      <c r="J1064" s="6" t="s">
        <v>121</v>
      </c>
      <c r="K1064" s="6" t="s">
        <v>781</v>
      </c>
      <c r="L1064" s="11">
        <f>F1064*Controls!$B$6</f>
        <v>6</v>
      </c>
      <c r="M1064" s="11">
        <f>G1064*Controls!$B$6</f>
        <v>750</v>
      </c>
      <c r="N1064" s="12">
        <f>IF(L1064=0,0,SUMIFS('PSI Plan'!$N$6:$N$173,'PSI Plan'!$B$6:$B$173,B1064,'PSI Plan'!$C$6:$C$173,I1064))</f>
        <v>0</v>
      </c>
      <c r="O1064" s="11">
        <f t="shared" si="32"/>
        <v>0</v>
      </c>
      <c r="P1064" s="11">
        <f t="shared" si="33"/>
        <v>0</v>
      </c>
      <c r="Q1064" s="6"/>
      <c r="R1064" s="6"/>
      <c r="S1064" s="6"/>
      <c r="T1064" s="6"/>
    </row>
    <row r="1065" spans="1:20">
      <c r="A1065" s="6" t="s">
        <v>1212</v>
      </c>
      <c r="B1065" s="6" t="s">
        <v>67</v>
      </c>
      <c r="C1065" s="6" t="s">
        <v>100</v>
      </c>
      <c r="D1065" s="6" t="s">
        <v>567</v>
      </c>
      <c r="E1065" s="6" t="s">
        <v>120</v>
      </c>
      <c r="F1065" s="7">
        <v>6</v>
      </c>
      <c r="G1065" s="7">
        <v>750</v>
      </c>
      <c r="H1065" s="16">
        <v>45220</v>
      </c>
      <c r="I1065" s="6">
        <v>42</v>
      </c>
      <c r="J1065" s="6" t="s">
        <v>121</v>
      </c>
      <c r="K1065" s="6" t="s">
        <v>781</v>
      </c>
      <c r="L1065" s="11">
        <f>F1065*Controls!$B$6</f>
        <v>6</v>
      </c>
      <c r="M1065" s="11">
        <f>G1065*Controls!$B$6</f>
        <v>750</v>
      </c>
      <c r="N1065" s="12">
        <f>IF(L1065=0,0,SUMIFS('PSI Plan'!$N$6:$N$173,'PSI Plan'!$B$6:$B$173,B1065,'PSI Plan'!$C$6:$C$173,I1065))</f>
        <v>0</v>
      </c>
      <c r="O1065" s="11">
        <f t="shared" si="32"/>
        <v>0</v>
      </c>
      <c r="P1065" s="11">
        <f t="shared" si="33"/>
        <v>0</v>
      </c>
      <c r="Q1065" s="6"/>
      <c r="R1065" s="6"/>
      <c r="S1065" s="6"/>
      <c r="T1065" s="6"/>
    </row>
    <row r="1066" spans="1:20">
      <c r="A1066" s="6" t="s">
        <v>1213</v>
      </c>
      <c r="B1066" s="6" t="s">
        <v>69</v>
      </c>
      <c r="C1066" s="6" t="s">
        <v>100</v>
      </c>
      <c r="D1066" s="6" t="s">
        <v>567</v>
      </c>
      <c r="E1066" s="6" t="s">
        <v>120</v>
      </c>
      <c r="F1066" s="7">
        <v>5</v>
      </c>
      <c r="G1066" s="7">
        <v>625</v>
      </c>
      <c r="H1066" s="16">
        <v>45283</v>
      </c>
      <c r="I1066" s="6">
        <v>51</v>
      </c>
      <c r="J1066" s="6" t="s">
        <v>121</v>
      </c>
      <c r="K1066" s="6" t="s">
        <v>781</v>
      </c>
      <c r="L1066" s="11">
        <f>F1066*Controls!$B$6</f>
        <v>5</v>
      </c>
      <c r="M1066" s="11">
        <f>G1066*Controls!$B$6</f>
        <v>625</v>
      </c>
      <c r="N1066" s="12">
        <f>IF(L1066=0,0,SUMIFS('PSI Plan'!$N$6:$N$173,'PSI Plan'!$B$6:$B$173,B1066,'PSI Plan'!$C$6:$C$173,I1066))</f>
        <v>0</v>
      </c>
      <c r="O1066" s="11">
        <f t="shared" si="32"/>
        <v>0</v>
      </c>
      <c r="P1066" s="11">
        <f t="shared" si="33"/>
        <v>0</v>
      </c>
      <c r="Q1066" s="6"/>
      <c r="R1066" s="6"/>
      <c r="S1066" s="6"/>
      <c r="T1066" s="6"/>
    </row>
    <row r="1067" spans="1:20">
      <c r="A1067" s="6" t="s">
        <v>1214</v>
      </c>
      <c r="B1067" s="6" t="s">
        <v>66</v>
      </c>
      <c r="C1067" s="6" t="s">
        <v>90</v>
      </c>
      <c r="D1067" s="6" t="s">
        <v>119</v>
      </c>
      <c r="E1067" s="6" t="s">
        <v>120</v>
      </c>
      <c r="F1067" s="7">
        <v>4</v>
      </c>
      <c r="G1067" s="7">
        <v>500</v>
      </c>
      <c r="H1067" s="16">
        <v>45266</v>
      </c>
      <c r="I1067" s="6">
        <v>49</v>
      </c>
      <c r="J1067" s="6" t="s">
        <v>121</v>
      </c>
      <c r="K1067" s="6" t="s">
        <v>855</v>
      </c>
      <c r="L1067" s="11">
        <f>F1067*Controls!$B$6</f>
        <v>4</v>
      </c>
      <c r="M1067" s="11">
        <f>G1067*Controls!$B$6</f>
        <v>500</v>
      </c>
      <c r="N1067" s="12">
        <f>IF(L1067=0,0,SUMIFS('PSI Plan'!$N$6:$N$173,'PSI Plan'!$B$6:$B$173,B1067,'PSI Plan'!$C$6:$C$173,I1067))</f>
        <v>0</v>
      </c>
      <c r="O1067" s="11">
        <f t="shared" si="32"/>
        <v>0</v>
      </c>
      <c r="P1067" s="11">
        <f t="shared" si="33"/>
        <v>0</v>
      </c>
      <c r="Q1067" s="6"/>
      <c r="R1067" s="6"/>
      <c r="S1067" s="6"/>
      <c r="T1067" s="6"/>
    </row>
    <row r="1068" spans="1:20">
      <c r="A1068" s="6" t="s">
        <v>1215</v>
      </c>
      <c r="B1068" s="6" t="s">
        <v>77</v>
      </c>
      <c r="C1068" s="6" t="s">
        <v>90</v>
      </c>
      <c r="D1068" s="6" t="s">
        <v>119</v>
      </c>
      <c r="E1068" s="6" t="s">
        <v>120</v>
      </c>
      <c r="F1068" s="7">
        <v>7</v>
      </c>
      <c r="G1068" s="7">
        <v>875</v>
      </c>
      <c r="H1068" s="16">
        <v>45237</v>
      </c>
      <c r="I1068" s="6">
        <v>45</v>
      </c>
      <c r="J1068" s="6" t="s">
        <v>121</v>
      </c>
      <c r="K1068" s="6" t="s">
        <v>855</v>
      </c>
      <c r="L1068" s="11">
        <f>F1068*Controls!$B$6</f>
        <v>7</v>
      </c>
      <c r="M1068" s="11">
        <f>G1068*Controls!$B$6</f>
        <v>875</v>
      </c>
      <c r="N1068" s="12">
        <f>IF(L1068=0,0,SUMIFS('PSI Plan'!$N$6:$N$173,'PSI Plan'!$B$6:$B$173,B1068,'PSI Plan'!$C$6:$C$173,I1068))</f>
        <v>0</v>
      </c>
      <c r="O1068" s="11">
        <f t="shared" si="32"/>
        <v>0</v>
      </c>
      <c r="P1068" s="11">
        <f t="shared" si="33"/>
        <v>0</v>
      </c>
      <c r="Q1068" s="6"/>
      <c r="R1068" s="6"/>
      <c r="S1068" s="6"/>
      <c r="T1068" s="6"/>
    </row>
    <row r="1069" spans="1:20">
      <c r="A1069" s="6" t="s">
        <v>1216</v>
      </c>
      <c r="B1069" s="6" t="s">
        <v>76</v>
      </c>
      <c r="C1069" s="6" t="s">
        <v>90</v>
      </c>
      <c r="D1069" s="6" t="s">
        <v>119</v>
      </c>
      <c r="E1069" s="6" t="s">
        <v>120</v>
      </c>
      <c r="F1069" s="7">
        <v>14</v>
      </c>
      <c r="G1069" s="7">
        <v>1750</v>
      </c>
      <c r="H1069" s="16">
        <v>45207</v>
      </c>
      <c r="I1069" s="6">
        <v>41</v>
      </c>
      <c r="J1069" s="6" t="s">
        <v>121</v>
      </c>
      <c r="K1069" s="6" t="s">
        <v>855</v>
      </c>
      <c r="L1069" s="11">
        <f>F1069*Controls!$B$6</f>
        <v>14</v>
      </c>
      <c r="M1069" s="11">
        <f>G1069*Controls!$B$6</f>
        <v>1750</v>
      </c>
      <c r="N1069" s="12">
        <f>IF(L1069=0,0,SUMIFS('PSI Plan'!$N$6:$N$173,'PSI Plan'!$B$6:$B$173,B1069,'PSI Plan'!$C$6:$C$173,I1069))</f>
        <v>0</v>
      </c>
      <c r="O1069" s="11">
        <f t="shared" si="32"/>
        <v>0</v>
      </c>
      <c r="P1069" s="11">
        <f t="shared" si="33"/>
        <v>0</v>
      </c>
      <c r="Q1069" s="6"/>
      <c r="R1069" s="6"/>
      <c r="S1069" s="6"/>
      <c r="T1069" s="6"/>
    </row>
    <row r="1070" spans="1:20">
      <c r="A1070" s="6" t="s">
        <v>1217</v>
      </c>
      <c r="B1070" s="6" t="s">
        <v>69</v>
      </c>
      <c r="C1070" s="6" t="s">
        <v>90</v>
      </c>
      <c r="D1070" s="6" t="s">
        <v>119</v>
      </c>
      <c r="E1070" s="6" t="s">
        <v>120</v>
      </c>
      <c r="F1070" s="7">
        <v>4</v>
      </c>
      <c r="G1070" s="7">
        <v>500</v>
      </c>
      <c r="H1070" s="16">
        <v>45214</v>
      </c>
      <c r="I1070" s="6">
        <v>42</v>
      </c>
      <c r="J1070" s="6" t="s">
        <v>121</v>
      </c>
      <c r="K1070" s="6" t="s">
        <v>855</v>
      </c>
      <c r="L1070" s="11">
        <f>F1070*Controls!$B$6</f>
        <v>4</v>
      </c>
      <c r="M1070" s="11">
        <f>G1070*Controls!$B$6</f>
        <v>500</v>
      </c>
      <c r="N1070" s="12">
        <f>IF(L1070=0,0,SUMIFS('PSI Plan'!$N$6:$N$173,'PSI Plan'!$B$6:$B$173,B1070,'PSI Plan'!$C$6:$C$173,I1070))</f>
        <v>0</v>
      </c>
      <c r="O1070" s="11">
        <f t="shared" si="32"/>
        <v>0</v>
      </c>
      <c r="P1070" s="11">
        <f t="shared" si="33"/>
        <v>0</v>
      </c>
      <c r="Q1070" s="6"/>
      <c r="R1070" s="6"/>
      <c r="S1070" s="6"/>
      <c r="T1070" s="6"/>
    </row>
    <row r="1071" spans="1:20">
      <c r="A1071" s="6" t="s">
        <v>1218</v>
      </c>
      <c r="B1071" s="6" t="s">
        <v>77</v>
      </c>
      <c r="C1071" s="6" t="s">
        <v>90</v>
      </c>
      <c r="D1071" s="6" t="s">
        <v>119</v>
      </c>
      <c r="E1071" s="6" t="s">
        <v>120</v>
      </c>
      <c r="F1071" s="7">
        <v>17</v>
      </c>
      <c r="G1071" s="7">
        <v>2125</v>
      </c>
      <c r="H1071" s="16">
        <v>45219</v>
      </c>
      <c r="I1071" s="6">
        <v>42</v>
      </c>
      <c r="J1071" s="6" t="s">
        <v>121</v>
      </c>
      <c r="K1071" s="6" t="s">
        <v>171</v>
      </c>
      <c r="L1071" s="11">
        <f>F1071*Controls!$B$6</f>
        <v>17</v>
      </c>
      <c r="M1071" s="11">
        <f>G1071*Controls!$B$6</f>
        <v>2125</v>
      </c>
      <c r="N1071" s="12">
        <f>IF(L1071=0,0,SUMIFS('PSI Plan'!$N$6:$N$173,'PSI Plan'!$B$6:$B$173,B1071,'PSI Plan'!$C$6:$C$173,I1071))</f>
        <v>0</v>
      </c>
      <c r="O1071" s="11">
        <f t="shared" si="32"/>
        <v>0</v>
      </c>
      <c r="P1071" s="11">
        <f t="shared" si="33"/>
        <v>0</v>
      </c>
      <c r="Q1071" s="6"/>
      <c r="R1071" s="6"/>
      <c r="S1071" s="6"/>
      <c r="T1071" s="6"/>
    </row>
    <row r="1072" spans="1:20">
      <c r="A1072" s="6" t="s">
        <v>1219</v>
      </c>
      <c r="B1072" s="6" t="s">
        <v>76</v>
      </c>
      <c r="C1072" s="6" t="s">
        <v>90</v>
      </c>
      <c r="D1072" s="6" t="s">
        <v>119</v>
      </c>
      <c r="E1072" s="6" t="s">
        <v>120</v>
      </c>
      <c r="F1072" s="7">
        <v>4</v>
      </c>
      <c r="G1072" s="7">
        <v>500</v>
      </c>
      <c r="H1072" s="16">
        <v>45207</v>
      </c>
      <c r="I1072" s="6">
        <v>41</v>
      </c>
      <c r="J1072" s="6" t="s">
        <v>121</v>
      </c>
      <c r="K1072" s="6" t="s">
        <v>171</v>
      </c>
      <c r="L1072" s="11">
        <f>F1072*Controls!$B$6</f>
        <v>4</v>
      </c>
      <c r="M1072" s="11">
        <f>G1072*Controls!$B$6</f>
        <v>500</v>
      </c>
      <c r="N1072" s="12">
        <f>IF(L1072=0,0,SUMIFS('PSI Plan'!$N$6:$N$173,'PSI Plan'!$B$6:$B$173,B1072,'PSI Plan'!$C$6:$C$173,I1072))</f>
        <v>0</v>
      </c>
      <c r="O1072" s="11">
        <f t="shared" si="32"/>
        <v>0</v>
      </c>
      <c r="P1072" s="11">
        <f t="shared" si="33"/>
        <v>0</v>
      </c>
      <c r="Q1072" s="6"/>
      <c r="R1072" s="6"/>
      <c r="S1072" s="6"/>
      <c r="T1072" s="6"/>
    </row>
    <row r="1073" spans="1:20">
      <c r="A1073" s="6" t="s">
        <v>1220</v>
      </c>
      <c r="B1073" s="6" t="s">
        <v>67</v>
      </c>
      <c r="C1073" s="6" t="s">
        <v>90</v>
      </c>
      <c r="D1073" s="6" t="s">
        <v>119</v>
      </c>
      <c r="E1073" s="6" t="s">
        <v>120</v>
      </c>
      <c r="F1073" s="7">
        <v>25</v>
      </c>
      <c r="G1073" s="7">
        <v>3125</v>
      </c>
      <c r="H1073" s="16">
        <v>45273</v>
      </c>
      <c r="I1073" s="6">
        <v>50</v>
      </c>
      <c r="J1073" s="6" t="s">
        <v>121</v>
      </c>
      <c r="K1073" s="6" t="s">
        <v>171</v>
      </c>
      <c r="L1073" s="11">
        <f>F1073*Controls!$B$6</f>
        <v>25</v>
      </c>
      <c r="M1073" s="11">
        <f>G1073*Controls!$B$6</f>
        <v>3125</v>
      </c>
      <c r="N1073" s="12">
        <f>IF(L1073=0,0,SUMIFS('PSI Plan'!$N$6:$N$173,'PSI Plan'!$B$6:$B$173,B1073,'PSI Plan'!$C$6:$C$173,I1073))</f>
        <v>0</v>
      </c>
      <c r="O1073" s="11">
        <f t="shared" si="32"/>
        <v>0</v>
      </c>
      <c r="P1073" s="11">
        <f t="shared" si="33"/>
        <v>0</v>
      </c>
      <c r="Q1073" s="6"/>
      <c r="R1073" s="6"/>
      <c r="S1073" s="6"/>
      <c r="T1073" s="6"/>
    </row>
    <row r="1074" spans="1:20">
      <c r="A1074" s="6" t="s">
        <v>1221</v>
      </c>
      <c r="B1074" s="6" t="s">
        <v>69</v>
      </c>
      <c r="C1074" s="6" t="s">
        <v>90</v>
      </c>
      <c r="D1074" s="6" t="s">
        <v>119</v>
      </c>
      <c r="E1074" s="6" t="s">
        <v>120</v>
      </c>
      <c r="F1074" s="7">
        <v>3</v>
      </c>
      <c r="G1074" s="7">
        <v>375</v>
      </c>
      <c r="H1074" s="16">
        <v>45252</v>
      </c>
      <c r="I1074" s="6">
        <v>47</v>
      </c>
      <c r="J1074" s="6" t="s">
        <v>121</v>
      </c>
      <c r="K1074" s="6" t="s">
        <v>171</v>
      </c>
      <c r="L1074" s="11">
        <f>F1074*Controls!$B$6</f>
        <v>3</v>
      </c>
      <c r="M1074" s="11">
        <f>G1074*Controls!$B$6</f>
        <v>375</v>
      </c>
      <c r="N1074" s="12">
        <f>IF(L1074=0,0,SUMIFS('PSI Plan'!$N$6:$N$173,'PSI Plan'!$B$6:$B$173,B1074,'PSI Plan'!$C$6:$C$173,I1074))</f>
        <v>0</v>
      </c>
      <c r="O1074" s="11">
        <f t="shared" si="32"/>
        <v>0</v>
      </c>
      <c r="P1074" s="11">
        <f t="shared" si="33"/>
        <v>0</v>
      </c>
      <c r="Q1074" s="6"/>
      <c r="R1074" s="6"/>
      <c r="S1074" s="6"/>
      <c r="T1074" s="6"/>
    </row>
    <row r="1075" spans="1:20">
      <c r="A1075" s="6" t="s">
        <v>1222</v>
      </c>
      <c r="B1075" s="6" t="s">
        <v>77</v>
      </c>
      <c r="C1075" s="6" t="s">
        <v>90</v>
      </c>
      <c r="D1075" s="6" t="s">
        <v>119</v>
      </c>
      <c r="E1075" s="6" t="s">
        <v>120</v>
      </c>
      <c r="F1075" s="7">
        <v>7</v>
      </c>
      <c r="G1075" s="7">
        <v>875</v>
      </c>
      <c r="H1075" s="16">
        <v>45258</v>
      </c>
      <c r="I1075" s="6">
        <v>48</v>
      </c>
      <c r="J1075" s="6" t="s">
        <v>121</v>
      </c>
      <c r="K1075" s="6" t="s">
        <v>725</v>
      </c>
      <c r="L1075" s="11">
        <f>F1075*Controls!$B$6</f>
        <v>7</v>
      </c>
      <c r="M1075" s="11">
        <f>G1075*Controls!$B$6</f>
        <v>875</v>
      </c>
      <c r="N1075" s="12">
        <f>IF(L1075=0,0,SUMIFS('PSI Plan'!$N$6:$N$173,'PSI Plan'!$B$6:$B$173,B1075,'PSI Plan'!$C$6:$C$173,I1075))</f>
        <v>0</v>
      </c>
      <c r="O1075" s="11">
        <f t="shared" si="32"/>
        <v>0</v>
      </c>
      <c r="P1075" s="11">
        <f t="shared" si="33"/>
        <v>0</v>
      </c>
      <c r="Q1075" s="6"/>
      <c r="R1075" s="6"/>
      <c r="S1075" s="6"/>
      <c r="T1075" s="6"/>
    </row>
    <row r="1076" spans="1:20">
      <c r="A1076" s="6" t="s">
        <v>1223</v>
      </c>
      <c r="B1076" s="6" t="s">
        <v>69</v>
      </c>
      <c r="C1076" s="6" t="s">
        <v>90</v>
      </c>
      <c r="D1076" s="6" t="s">
        <v>119</v>
      </c>
      <c r="E1076" s="6" t="s">
        <v>120</v>
      </c>
      <c r="F1076" s="7">
        <v>19</v>
      </c>
      <c r="G1076" s="7">
        <v>2375</v>
      </c>
      <c r="H1076" s="16">
        <v>45276</v>
      </c>
      <c r="I1076" s="6">
        <v>50</v>
      </c>
      <c r="J1076" s="6" t="s">
        <v>121</v>
      </c>
      <c r="K1076" s="6" t="s">
        <v>725</v>
      </c>
      <c r="L1076" s="11">
        <f>F1076*Controls!$B$6</f>
        <v>19</v>
      </c>
      <c r="M1076" s="11">
        <f>G1076*Controls!$B$6</f>
        <v>2375</v>
      </c>
      <c r="N1076" s="12">
        <f>IF(L1076=0,0,SUMIFS('PSI Plan'!$N$6:$N$173,'PSI Plan'!$B$6:$B$173,B1076,'PSI Plan'!$C$6:$C$173,I1076))</f>
        <v>0</v>
      </c>
      <c r="O1076" s="11">
        <f t="shared" si="32"/>
        <v>0</v>
      </c>
      <c r="P1076" s="11">
        <f t="shared" si="33"/>
        <v>0</v>
      </c>
      <c r="Q1076" s="6"/>
      <c r="R1076" s="6"/>
      <c r="S1076" s="6"/>
      <c r="T1076" s="6"/>
    </row>
    <row r="1077" spans="1:20">
      <c r="A1077" s="6" t="s">
        <v>1224</v>
      </c>
      <c r="B1077" s="6" t="s">
        <v>69</v>
      </c>
      <c r="C1077" s="6" t="s">
        <v>90</v>
      </c>
      <c r="D1077" s="6" t="s">
        <v>119</v>
      </c>
      <c r="E1077" s="6" t="s">
        <v>120</v>
      </c>
      <c r="F1077" s="7">
        <v>8</v>
      </c>
      <c r="G1077" s="7">
        <v>1000</v>
      </c>
      <c r="H1077" s="16">
        <v>45237</v>
      </c>
      <c r="I1077" s="6">
        <v>45</v>
      </c>
      <c r="J1077" s="6" t="s">
        <v>121</v>
      </c>
      <c r="K1077" s="6" t="s">
        <v>298</v>
      </c>
      <c r="L1077" s="11">
        <f>F1077*Controls!$B$6</f>
        <v>8</v>
      </c>
      <c r="M1077" s="11">
        <f>G1077*Controls!$B$6</f>
        <v>1000</v>
      </c>
      <c r="N1077" s="12">
        <f>IF(L1077=0,0,SUMIFS('PSI Plan'!$N$6:$N$173,'PSI Plan'!$B$6:$B$173,B1077,'PSI Plan'!$C$6:$C$173,I1077))</f>
        <v>0</v>
      </c>
      <c r="O1077" s="11">
        <f t="shared" si="32"/>
        <v>0</v>
      </c>
      <c r="P1077" s="11">
        <f t="shared" si="33"/>
        <v>0</v>
      </c>
      <c r="Q1077" s="6"/>
      <c r="R1077" s="6"/>
      <c r="S1077" s="6"/>
      <c r="T1077" s="6"/>
    </row>
    <row r="1078" spans="1:20">
      <c r="A1078" s="6" t="s">
        <v>1225</v>
      </c>
      <c r="B1078" s="6" t="s">
        <v>66</v>
      </c>
      <c r="C1078" s="6" t="s">
        <v>90</v>
      </c>
      <c r="D1078" s="6" t="s">
        <v>119</v>
      </c>
      <c r="E1078" s="6" t="s">
        <v>120</v>
      </c>
      <c r="F1078" s="7">
        <v>26</v>
      </c>
      <c r="G1078" s="7">
        <v>3250</v>
      </c>
      <c r="H1078" s="16">
        <v>45208</v>
      </c>
      <c r="I1078" s="6">
        <v>41</v>
      </c>
      <c r="J1078" s="6" t="s">
        <v>121</v>
      </c>
      <c r="K1078" s="6" t="s">
        <v>122</v>
      </c>
      <c r="L1078" s="11">
        <f>F1078*Controls!$B$6</f>
        <v>26</v>
      </c>
      <c r="M1078" s="11">
        <f>G1078*Controls!$B$6</f>
        <v>3250</v>
      </c>
      <c r="N1078" s="12">
        <f>IF(L1078=0,0,SUMIFS('PSI Plan'!$N$6:$N$173,'PSI Plan'!$B$6:$B$173,B1078,'PSI Plan'!$C$6:$C$173,I1078))</f>
        <v>0.22897465437788017</v>
      </c>
      <c r="O1078" s="11">
        <f t="shared" si="32"/>
        <v>5.9533410138248843</v>
      </c>
      <c r="P1078" s="11">
        <f t="shared" si="33"/>
        <v>744.16762672811058</v>
      </c>
      <c r="Q1078" s="6"/>
      <c r="R1078" s="6"/>
      <c r="S1078" s="6"/>
      <c r="T1078" s="6"/>
    </row>
    <row r="1079" spans="1:20">
      <c r="A1079" s="6" t="s">
        <v>1226</v>
      </c>
      <c r="B1079" s="6" t="s">
        <v>77</v>
      </c>
      <c r="C1079" s="6" t="s">
        <v>90</v>
      </c>
      <c r="D1079" s="6" t="s">
        <v>119</v>
      </c>
      <c r="E1079" s="6" t="s">
        <v>120</v>
      </c>
      <c r="F1079" s="7">
        <v>6</v>
      </c>
      <c r="G1079" s="7">
        <v>750</v>
      </c>
      <c r="H1079" s="16">
        <v>45208</v>
      </c>
      <c r="I1079" s="6">
        <v>41</v>
      </c>
      <c r="J1079" s="6" t="s">
        <v>121</v>
      </c>
      <c r="K1079" s="6" t="s">
        <v>122</v>
      </c>
      <c r="L1079" s="11">
        <f>F1079*Controls!$B$6</f>
        <v>6</v>
      </c>
      <c r="M1079" s="11">
        <f>G1079*Controls!$B$6</f>
        <v>750</v>
      </c>
      <c r="N1079" s="12">
        <f>IF(L1079=0,0,SUMIFS('PSI Plan'!$N$6:$N$173,'PSI Plan'!$B$6:$B$173,B1079,'PSI Plan'!$C$6:$C$173,I1079))</f>
        <v>0</v>
      </c>
      <c r="O1079" s="11">
        <f t="shared" si="32"/>
        <v>0</v>
      </c>
      <c r="P1079" s="11">
        <f t="shared" si="33"/>
        <v>0</v>
      </c>
      <c r="Q1079" s="6"/>
      <c r="R1079" s="6"/>
      <c r="S1079" s="6"/>
      <c r="T1079" s="6"/>
    </row>
    <row r="1080" spans="1:20">
      <c r="A1080" s="6" t="s">
        <v>1227</v>
      </c>
      <c r="B1080" s="6" t="s">
        <v>76</v>
      </c>
      <c r="C1080" s="6" t="s">
        <v>90</v>
      </c>
      <c r="D1080" s="6" t="s">
        <v>119</v>
      </c>
      <c r="E1080" s="6" t="s">
        <v>120</v>
      </c>
      <c r="F1080" s="7">
        <v>24</v>
      </c>
      <c r="G1080" s="7">
        <v>3000</v>
      </c>
      <c r="H1080" s="16">
        <v>45251</v>
      </c>
      <c r="I1080" s="6">
        <v>47</v>
      </c>
      <c r="J1080" s="6" t="s">
        <v>121</v>
      </c>
      <c r="K1080" s="6" t="s">
        <v>122</v>
      </c>
      <c r="L1080" s="11">
        <f>F1080*Controls!$B$6</f>
        <v>24</v>
      </c>
      <c r="M1080" s="11">
        <f>G1080*Controls!$B$6</f>
        <v>3000</v>
      </c>
      <c r="N1080" s="12">
        <f>IF(L1080=0,0,SUMIFS('PSI Plan'!$N$6:$N$173,'PSI Plan'!$B$6:$B$173,B1080,'PSI Plan'!$C$6:$C$173,I1080))</f>
        <v>0</v>
      </c>
      <c r="O1080" s="11">
        <f t="shared" si="32"/>
        <v>0</v>
      </c>
      <c r="P1080" s="11">
        <f t="shared" si="33"/>
        <v>0</v>
      </c>
      <c r="Q1080" s="6"/>
      <c r="R1080" s="6"/>
      <c r="S1080" s="6"/>
      <c r="T1080" s="6"/>
    </row>
    <row r="1081" spans="1:20">
      <c r="A1081" s="6" t="s">
        <v>1228</v>
      </c>
      <c r="B1081" s="6" t="s">
        <v>69</v>
      </c>
      <c r="C1081" s="6" t="s">
        <v>90</v>
      </c>
      <c r="D1081" s="6" t="s">
        <v>119</v>
      </c>
      <c r="E1081" s="6" t="s">
        <v>120</v>
      </c>
      <c r="F1081" s="7">
        <v>4</v>
      </c>
      <c r="G1081" s="7">
        <v>500</v>
      </c>
      <c r="H1081" s="16">
        <v>45239</v>
      </c>
      <c r="I1081" s="6">
        <v>45</v>
      </c>
      <c r="J1081" s="6" t="s">
        <v>121</v>
      </c>
      <c r="K1081" s="6" t="s">
        <v>122</v>
      </c>
      <c r="L1081" s="11">
        <f>F1081*Controls!$B$6</f>
        <v>4</v>
      </c>
      <c r="M1081" s="11">
        <f>G1081*Controls!$B$6</f>
        <v>500</v>
      </c>
      <c r="N1081" s="12">
        <f>IF(L1081=0,0,SUMIFS('PSI Plan'!$N$6:$N$173,'PSI Plan'!$B$6:$B$173,B1081,'PSI Plan'!$C$6:$C$173,I1081))</f>
        <v>0</v>
      </c>
      <c r="O1081" s="11">
        <f t="shared" si="32"/>
        <v>0</v>
      </c>
      <c r="P1081" s="11">
        <f t="shared" si="33"/>
        <v>0</v>
      </c>
      <c r="Q1081" s="6"/>
      <c r="R1081" s="6"/>
      <c r="S1081" s="6"/>
      <c r="T1081" s="6"/>
    </row>
    <row r="1082" spans="1:20">
      <c r="A1082" s="6" t="s">
        <v>1229</v>
      </c>
      <c r="B1082" s="6" t="s">
        <v>66</v>
      </c>
      <c r="C1082" s="6" t="s">
        <v>90</v>
      </c>
      <c r="D1082" s="6" t="s">
        <v>119</v>
      </c>
      <c r="E1082" s="6" t="s">
        <v>120</v>
      </c>
      <c r="F1082" s="7">
        <v>3</v>
      </c>
      <c r="G1082" s="7">
        <v>375</v>
      </c>
      <c r="H1082" s="16">
        <v>45257</v>
      </c>
      <c r="I1082" s="6">
        <v>48</v>
      </c>
      <c r="J1082" s="6" t="s">
        <v>121</v>
      </c>
      <c r="K1082" s="6" t="s">
        <v>139</v>
      </c>
      <c r="L1082" s="11">
        <f>F1082*Controls!$B$6</f>
        <v>3</v>
      </c>
      <c r="M1082" s="11">
        <f>G1082*Controls!$B$6</f>
        <v>375</v>
      </c>
      <c r="N1082" s="12">
        <f>IF(L1082=0,0,SUMIFS('PSI Plan'!$N$6:$N$173,'PSI Plan'!$B$6:$B$173,B1082,'PSI Plan'!$C$6:$C$173,I1082))</f>
        <v>0</v>
      </c>
      <c r="O1082" s="11">
        <f t="shared" si="32"/>
        <v>0</v>
      </c>
      <c r="P1082" s="11">
        <f t="shared" si="33"/>
        <v>0</v>
      </c>
      <c r="Q1082" s="6"/>
      <c r="R1082" s="6"/>
      <c r="S1082" s="6"/>
      <c r="T1082" s="6"/>
    </row>
    <row r="1083" spans="1:20">
      <c r="A1083" s="6" t="s">
        <v>1230</v>
      </c>
      <c r="B1083" s="6" t="s">
        <v>77</v>
      </c>
      <c r="C1083" s="6" t="s">
        <v>90</v>
      </c>
      <c r="D1083" s="6" t="s">
        <v>119</v>
      </c>
      <c r="E1083" s="6" t="s">
        <v>120</v>
      </c>
      <c r="F1083" s="7">
        <v>2</v>
      </c>
      <c r="G1083" s="7">
        <v>250</v>
      </c>
      <c r="H1083" s="16">
        <v>45279</v>
      </c>
      <c r="I1083" s="6">
        <v>51</v>
      </c>
      <c r="J1083" s="6" t="s">
        <v>121</v>
      </c>
      <c r="K1083" s="6" t="s">
        <v>139</v>
      </c>
      <c r="L1083" s="11">
        <f>F1083*Controls!$B$6</f>
        <v>2</v>
      </c>
      <c r="M1083" s="11">
        <f>G1083*Controls!$B$6</f>
        <v>250</v>
      </c>
      <c r="N1083" s="12">
        <f>IF(L1083=0,0,SUMIFS('PSI Plan'!$N$6:$N$173,'PSI Plan'!$B$6:$B$173,B1083,'PSI Plan'!$C$6:$C$173,I1083))</f>
        <v>0</v>
      </c>
      <c r="O1083" s="11">
        <f t="shared" si="32"/>
        <v>0</v>
      </c>
      <c r="P1083" s="11">
        <f t="shared" si="33"/>
        <v>0</v>
      </c>
      <c r="Q1083" s="6"/>
      <c r="R1083" s="6"/>
      <c r="S1083" s="6"/>
      <c r="T1083" s="6"/>
    </row>
    <row r="1084" spans="1:20">
      <c r="A1084" s="6" t="s">
        <v>1231</v>
      </c>
      <c r="B1084" s="6" t="s">
        <v>76</v>
      </c>
      <c r="C1084" s="6" t="s">
        <v>90</v>
      </c>
      <c r="D1084" s="6" t="s">
        <v>119</v>
      </c>
      <c r="E1084" s="6" t="s">
        <v>120</v>
      </c>
      <c r="F1084" s="7">
        <v>1</v>
      </c>
      <c r="G1084" s="7">
        <v>125</v>
      </c>
      <c r="H1084" s="16">
        <v>45251</v>
      </c>
      <c r="I1084" s="6">
        <v>47</v>
      </c>
      <c r="J1084" s="6" t="s">
        <v>121</v>
      </c>
      <c r="K1084" s="6" t="s">
        <v>139</v>
      </c>
      <c r="L1084" s="11">
        <f>F1084*Controls!$B$6</f>
        <v>1</v>
      </c>
      <c r="M1084" s="11">
        <f>G1084*Controls!$B$6</f>
        <v>125</v>
      </c>
      <c r="N1084" s="12">
        <f>IF(L1084=0,0,SUMIFS('PSI Plan'!$N$6:$N$173,'PSI Plan'!$B$6:$B$173,B1084,'PSI Plan'!$C$6:$C$173,I1084))</f>
        <v>0</v>
      </c>
      <c r="O1084" s="11">
        <f t="shared" si="32"/>
        <v>0</v>
      </c>
      <c r="P1084" s="11">
        <f t="shared" si="33"/>
        <v>0</v>
      </c>
      <c r="Q1084" s="6"/>
      <c r="R1084" s="6"/>
      <c r="S1084" s="6"/>
      <c r="T1084" s="6"/>
    </row>
    <row r="1085" spans="1:20">
      <c r="A1085" s="6" t="s">
        <v>1232</v>
      </c>
      <c r="B1085" s="6" t="s">
        <v>69</v>
      </c>
      <c r="C1085" s="6" t="s">
        <v>90</v>
      </c>
      <c r="D1085" s="6" t="s">
        <v>119</v>
      </c>
      <c r="E1085" s="6" t="s">
        <v>120</v>
      </c>
      <c r="F1085" s="7">
        <v>4</v>
      </c>
      <c r="G1085" s="7">
        <v>500</v>
      </c>
      <c r="H1085" s="16">
        <v>45286</v>
      </c>
      <c r="I1085" s="6">
        <v>52</v>
      </c>
      <c r="J1085" s="6" t="s">
        <v>121</v>
      </c>
      <c r="K1085" s="6" t="s">
        <v>139</v>
      </c>
      <c r="L1085" s="11">
        <f>F1085*Controls!$B$6</f>
        <v>4</v>
      </c>
      <c r="M1085" s="11">
        <f>G1085*Controls!$B$6</f>
        <v>500</v>
      </c>
      <c r="N1085" s="12">
        <f>IF(L1085=0,0,SUMIFS('PSI Plan'!$N$6:$N$173,'PSI Plan'!$B$6:$B$173,B1085,'PSI Plan'!$C$6:$C$173,I1085))</f>
        <v>0</v>
      </c>
      <c r="O1085" s="11">
        <f t="shared" si="32"/>
        <v>0</v>
      </c>
      <c r="P1085" s="11">
        <f t="shared" si="33"/>
        <v>0</v>
      </c>
      <c r="Q1085" s="6"/>
      <c r="R1085" s="6"/>
      <c r="S1085" s="6"/>
      <c r="T1085" s="6"/>
    </row>
    <row r="1086" spans="1:20">
      <c r="A1086" s="6" t="s">
        <v>1233</v>
      </c>
      <c r="B1086" s="6" t="s">
        <v>77</v>
      </c>
      <c r="C1086" s="6" t="s">
        <v>90</v>
      </c>
      <c r="D1086" s="6" t="s">
        <v>119</v>
      </c>
      <c r="E1086" s="6" t="s">
        <v>120</v>
      </c>
      <c r="F1086" s="7">
        <v>4</v>
      </c>
      <c r="G1086" s="7">
        <v>500</v>
      </c>
      <c r="H1086" s="16">
        <v>45227</v>
      </c>
      <c r="I1086" s="6">
        <v>43</v>
      </c>
      <c r="J1086" s="6" t="s">
        <v>121</v>
      </c>
      <c r="K1086" s="6" t="s">
        <v>132</v>
      </c>
      <c r="L1086" s="11">
        <f>F1086*Controls!$B$6</f>
        <v>4</v>
      </c>
      <c r="M1086" s="11">
        <f>G1086*Controls!$B$6</f>
        <v>500</v>
      </c>
      <c r="N1086" s="12">
        <f>IF(L1086=0,0,SUMIFS('PSI Plan'!$N$6:$N$173,'PSI Plan'!$B$6:$B$173,B1086,'PSI Plan'!$C$6:$C$173,I1086))</f>
        <v>0</v>
      </c>
      <c r="O1086" s="11">
        <f t="shared" si="32"/>
        <v>0</v>
      </c>
      <c r="P1086" s="11">
        <f t="shared" si="33"/>
        <v>0</v>
      </c>
      <c r="Q1086" s="6"/>
      <c r="R1086" s="6"/>
      <c r="S1086" s="6"/>
      <c r="T1086" s="6"/>
    </row>
    <row r="1087" spans="1:20">
      <c r="A1087" s="6" t="s">
        <v>1234</v>
      </c>
      <c r="B1087" s="6" t="s">
        <v>69</v>
      </c>
      <c r="C1087" s="6" t="s">
        <v>90</v>
      </c>
      <c r="D1087" s="6" t="s">
        <v>119</v>
      </c>
      <c r="E1087" s="6" t="s">
        <v>120</v>
      </c>
      <c r="F1087" s="7">
        <v>2</v>
      </c>
      <c r="G1087" s="7">
        <v>250</v>
      </c>
      <c r="H1087" s="16">
        <v>45242</v>
      </c>
      <c r="I1087" s="6">
        <v>46</v>
      </c>
      <c r="J1087" s="6" t="s">
        <v>121</v>
      </c>
      <c r="K1087" s="6" t="s">
        <v>132</v>
      </c>
      <c r="L1087" s="11">
        <f>F1087*Controls!$B$6</f>
        <v>2</v>
      </c>
      <c r="M1087" s="11">
        <f>G1087*Controls!$B$6</f>
        <v>250</v>
      </c>
      <c r="N1087" s="12">
        <f>IF(L1087=0,0,SUMIFS('PSI Plan'!$N$6:$N$173,'PSI Plan'!$B$6:$B$173,B1087,'PSI Plan'!$C$6:$C$173,I1087))</f>
        <v>0</v>
      </c>
      <c r="O1087" s="11">
        <f t="shared" si="32"/>
        <v>0</v>
      </c>
      <c r="P1087" s="11">
        <f t="shared" si="33"/>
        <v>0</v>
      </c>
      <c r="Q1087" s="6"/>
      <c r="R1087" s="6"/>
      <c r="S1087" s="6"/>
      <c r="T1087" s="6"/>
    </row>
    <row r="1088" spans="1:20">
      <c r="A1088" s="6" t="s">
        <v>1235</v>
      </c>
      <c r="B1088" s="6" t="s">
        <v>77</v>
      </c>
      <c r="C1088" s="6" t="s">
        <v>99</v>
      </c>
      <c r="D1088" s="6" t="s">
        <v>319</v>
      </c>
      <c r="E1088" s="6" t="s">
        <v>120</v>
      </c>
      <c r="F1088" s="7">
        <v>3</v>
      </c>
      <c r="G1088" s="7">
        <v>375</v>
      </c>
      <c r="H1088" s="16">
        <v>45264</v>
      </c>
      <c r="I1088" s="6">
        <v>49</v>
      </c>
      <c r="J1088" s="6" t="s">
        <v>121</v>
      </c>
      <c r="K1088" s="6" t="s">
        <v>361</v>
      </c>
      <c r="L1088" s="11">
        <f>F1088*Controls!$B$6</f>
        <v>3</v>
      </c>
      <c r="M1088" s="11">
        <f>G1088*Controls!$B$6</f>
        <v>375</v>
      </c>
      <c r="N1088" s="12">
        <f>IF(L1088=0,0,SUMIFS('PSI Plan'!$N$6:$N$173,'PSI Plan'!$B$6:$B$173,B1088,'PSI Plan'!$C$6:$C$173,I1088))</f>
        <v>0</v>
      </c>
      <c r="O1088" s="11">
        <f t="shared" si="32"/>
        <v>0</v>
      </c>
      <c r="P1088" s="11">
        <f t="shared" si="33"/>
        <v>0</v>
      </c>
      <c r="Q1088" s="6"/>
      <c r="R1088" s="6"/>
      <c r="S1088" s="6"/>
      <c r="T1088" s="6"/>
    </row>
    <row r="1089" spans="1:20">
      <c r="A1089" s="6" t="s">
        <v>1236</v>
      </c>
      <c r="B1089" s="6" t="s">
        <v>67</v>
      </c>
      <c r="C1089" s="6" t="s">
        <v>99</v>
      </c>
      <c r="D1089" s="6" t="s">
        <v>319</v>
      </c>
      <c r="E1089" s="6" t="s">
        <v>120</v>
      </c>
      <c r="F1089" s="7">
        <v>36</v>
      </c>
      <c r="G1089" s="7">
        <v>4500</v>
      </c>
      <c r="H1089" s="16">
        <v>45222</v>
      </c>
      <c r="I1089" s="6">
        <v>43</v>
      </c>
      <c r="J1089" s="6" t="s">
        <v>121</v>
      </c>
      <c r="K1089" s="6" t="s">
        <v>361</v>
      </c>
      <c r="L1089" s="11">
        <f>F1089*Controls!$B$6</f>
        <v>36</v>
      </c>
      <c r="M1089" s="11">
        <f>G1089*Controls!$B$6</f>
        <v>4500</v>
      </c>
      <c r="N1089" s="12">
        <f>IF(L1089=0,0,SUMIFS('PSI Plan'!$N$6:$N$173,'PSI Plan'!$B$6:$B$173,B1089,'PSI Plan'!$C$6:$C$173,I1089))</f>
        <v>0</v>
      </c>
      <c r="O1089" s="11">
        <f t="shared" si="32"/>
        <v>0</v>
      </c>
      <c r="P1089" s="11">
        <f t="shared" si="33"/>
        <v>0</v>
      </c>
      <c r="Q1089" s="6"/>
      <c r="R1089" s="6"/>
      <c r="S1089" s="6"/>
      <c r="T1089" s="6"/>
    </row>
    <row r="1090" spans="1:20">
      <c r="A1090" s="6" t="s">
        <v>1237</v>
      </c>
      <c r="B1090" s="6" t="s">
        <v>69</v>
      </c>
      <c r="C1090" s="6" t="s">
        <v>99</v>
      </c>
      <c r="D1090" s="6" t="s">
        <v>319</v>
      </c>
      <c r="E1090" s="6" t="s">
        <v>120</v>
      </c>
      <c r="F1090" s="7">
        <v>18</v>
      </c>
      <c r="G1090" s="7">
        <v>2250</v>
      </c>
      <c r="H1090" s="16">
        <v>45242</v>
      </c>
      <c r="I1090" s="6">
        <v>46</v>
      </c>
      <c r="J1090" s="6" t="s">
        <v>121</v>
      </c>
      <c r="K1090" s="6" t="s">
        <v>361</v>
      </c>
      <c r="L1090" s="11">
        <f>F1090*Controls!$B$6</f>
        <v>18</v>
      </c>
      <c r="M1090" s="11">
        <f>G1090*Controls!$B$6</f>
        <v>2250</v>
      </c>
      <c r="N1090" s="12">
        <f>IF(L1090=0,0,SUMIFS('PSI Plan'!$N$6:$N$173,'PSI Plan'!$B$6:$B$173,B1090,'PSI Plan'!$C$6:$C$173,I1090))</f>
        <v>0</v>
      </c>
      <c r="O1090" s="11">
        <f t="shared" ref="O1090:O1153" si="34">L1090*N1090</f>
        <v>0</v>
      </c>
      <c r="P1090" s="11">
        <f t="shared" ref="P1090:P1153" si="35">M1090*N1090</f>
        <v>0</v>
      </c>
      <c r="Q1090" s="6"/>
      <c r="R1090" s="6"/>
      <c r="S1090" s="6"/>
      <c r="T1090" s="6"/>
    </row>
    <row r="1091" spans="1:20">
      <c r="A1091" s="6" t="s">
        <v>1238</v>
      </c>
      <c r="B1091" s="6" t="s">
        <v>77</v>
      </c>
      <c r="C1091" s="6" t="s">
        <v>90</v>
      </c>
      <c r="D1091" s="6" t="s">
        <v>119</v>
      </c>
      <c r="E1091" s="6" t="s">
        <v>120</v>
      </c>
      <c r="F1091" s="7">
        <v>4</v>
      </c>
      <c r="G1091" s="7">
        <v>500</v>
      </c>
      <c r="H1091" s="16">
        <v>45217</v>
      </c>
      <c r="I1091" s="6">
        <v>42</v>
      </c>
      <c r="J1091" s="6" t="s">
        <v>121</v>
      </c>
      <c r="K1091" s="6" t="s">
        <v>132</v>
      </c>
      <c r="L1091" s="11">
        <f>F1091*Controls!$B$6</f>
        <v>4</v>
      </c>
      <c r="M1091" s="11">
        <f>G1091*Controls!$B$6</f>
        <v>500</v>
      </c>
      <c r="N1091" s="12">
        <f>IF(L1091=0,0,SUMIFS('PSI Plan'!$N$6:$N$173,'PSI Plan'!$B$6:$B$173,B1091,'PSI Plan'!$C$6:$C$173,I1091))</f>
        <v>0</v>
      </c>
      <c r="O1091" s="11">
        <f t="shared" si="34"/>
        <v>0</v>
      </c>
      <c r="P1091" s="11">
        <f t="shared" si="35"/>
        <v>0</v>
      </c>
      <c r="Q1091" s="6"/>
      <c r="R1091" s="6"/>
      <c r="S1091" s="6"/>
      <c r="T1091" s="6"/>
    </row>
    <row r="1092" spans="1:20">
      <c r="A1092" s="6" t="s">
        <v>1239</v>
      </c>
      <c r="B1092" s="6" t="s">
        <v>69</v>
      </c>
      <c r="C1092" s="6" t="s">
        <v>90</v>
      </c>
      <c r="D1092" s="6" t="s">
        <v>119</v>
      </c>
      <c r="E1092" s="6" t="s">
        <v>120</v>
      </c>
      <c r="F1092" s="7">
        <v>3</v>
      </c>
      <c r="G1092" s="7">
        <v>375</v>
      </c>
      <c r="H1092" s="16">
        <v>45273</v>
      </c>
      <c r="I1092" s="6">
        <v>50</v>
      </c>
      <c r="J1092" s="6" t="s">
        <v>121</v>
      </c>
      <c r="K1092" s="6" t="s">
        <v>132</v>
      </c>
      <c r="L1092" s="11">
        <f>F1092*Controls!$B$6</f>
        <v>3</v>
      </c>
      <c r="M1092" s="11">
        <f>G1092*Controls!$B$6</f>
        <v>375</v>
      </c>
      <c r="N1092" s="12">
        <f>IF(L1092=0,0,SUMIFS('PSI Plan'!$N$6:$N$173,'PSI Plan'!$B$6:$B$173,B1092,'PSI Plan'!$C$6:$C$173,I1092))</f>
        <v>0</v>
      </c>
      <c r="O1092" s="11">
        <f t="shared" si="34"/>
        <v>0</v>
      </c>
      <c r="P1092" s="11">
        <f t="shared" si="35"/>
        <v>0</v>
      </c>
      <c r="Q1092" s="6"/>
      <c r="R1092" s="6"/>
      <c r="S1092" s="6"/>
      <c r="T1092" s="6"/>
    </row>
    <row r="1093" spans="1:20">
      <c r="A1093" s="6" t="s">
        <v>1240</v>
      </c>
      <c r="B1093" s="6" t="s">
        <v>77</v>
      </c>
      <c r="C1093" s="6" t="s">
        <v>90</v>
      </c>
      <c r="D1093" s="6" t="s">
        <v>119</v>
      </c>
      <c r="E1093" s="6" t="s">
        <v>120</v>
      </c>
      <c r="F1093" s="7">
        <v>4</v>
      </c>
      <c r="G1093" s="7">
        <v>500</v>
      </c>
      <c r="H1093" s="16">
        <v>45246</v>
      </c>
      <c r="I1093" s="6">
        <v>46</v>
      </c>
      <c r="J1093" s="6" t="s">
        <v>121</v>
      </c>
      <c r="K1093" s="6" t="s">
        <v>725</v>
      </c>
      <c r="L1093" s="11">
        <f>F1093*Controls!$B$6</f>
        <v>4</v>
      </c>
      <c r="M1093" s="11">
        <f>G1093*Controls!$B$6</f>
        <v>500</v>
      </c>
      <c r="N1093" s="12">
        <f>IF(L1093=0,0,SUMIFS('PSI Plan'!$N$6:$N$173,'PSI Plan'!$B$6:$B$173,B1093,'PSI Plan'!$C$6:$C$173,I1093))</f>
        <v>0</v>
      </c>
      <c r="O1093" s="11">
        <f t="shared" si="34"/>
        <v>0</v>
      </c>
      <c r="P1093" s="11">
        <f t="shared" si="35"/>
        <v>0</v>
      </c>
      <c r="Q1093" s="6"/>
      <c r="R1093" s="6"/>
      <c r="S1093" s="6"/>
      <c r="T1093" s="6"/>
    </row>
    <row r="1094" spans="1:20">
      <c r="A1094" s="6" t="s">
        <v>1241</v>
      </c>
      <c r="B1094" s="6" t="s">
        <v>69</v>
      </c>
      <c r="C1094" s="6" t="s">
        <v>90</v>
      </c>
      <c r="D1094" s="6" t="s">
        <v>119</v>
      </c>
      <c r="E1094" s="6" t="s">
        <v>120</v>
      </c>
      <c r="F1094" s="7">
        <v>3</v>
      </c>
      <c r="G1094" s="7">
        <v>375</v>
      </c>
      <c r="H1094" s="16">
        <v>45233</v>
      </c>
      <c r="I1094" s="6">
        <v>44</v>
      </c>
      <c r="J1094" s="6" t="s">
        <v>121</v>
      </c>
      <c r="K1094" s="6" t="s">
        <v>725</v>
      </c>
      <c r="L1094" s="11">
        <f>F1094*Controls!$B$6</f>
        <v>3</v>
      </c>
      <c r="M1094" s="11">
        <f>G1094*Controls!$B$6</f>
        <v>375</v>
      </c>
      <c r="N1094" s="12">
        <f>IF(L1094=0,0,SUMIFS('PSI Plan'!$N$6:$N$173,'PSI Plan'!$B$6:$B$173,B1094,'PSI Plan'!$C$6:$C$173,I1094))</f>
        <v>0</v>
      </c>
      <c r="O1094" s="11">
        <f t="shared" si="34"/>
        <v>0</v>
      </c>
      <c r="P1094" s="11">
        <f t="shared" si="35"/>
        <v>0</v>
      </c>
      <c r="Q1094" s="6"/>
      <c r="R1094" s="6"/>
      <c r="S1094" s="6"/>
      <c r="T1094" s="6"/>
    </row>
    <row r="1095" spans="1:20">
      <c r="A1095" s="6" t="s">
        <v>1242</v>
      </c>
      <c r="B1095" s="6" t="s">
        <v>66</v>
      </c>
      <c r="C1095" s="6" t="s">
        <v>90</v>
      </c>
      <c r="D1095" s="6" t="s">
        <v>119</v>
      </c>
      <c r="E1095" s="6" t="s">
        <v>120</v>
      </c>
      <c r="F1095" s="7">
        <v>2</v>
      </c>
      <c r="G1095" s="7">
        <v>250</v>
      </c>
      <c r="H1095" s="16">
        <v>45233</v>
      </c>
      <c r="I1095" s="6">
        <v>44</v>
      </c>
      <c r="J1095" s="6" t="s">
        <v>121</v>
      </c>
      <c r="K1095" s="6" t="s">
        <v>298</v>
      </c>
      <c r="L1095" s="11">
        <f>F1095*Controls!$B$6</f>
        <v>2</v>
      </c>
      <c r="M1095" s="11">
        <f>G1095*Controls!$B$6</f>
        <v>250</v>
      </c>
      <c r="N1095" s="12">
        <f>IF(L1095=0,0,SUMIFS('PSI Plan'!$N$6:$N$173,'PSI Plan'!$B$6:$B$173,B1095,'PSI Plan'!$C$6:$C$173,I1095))</f>
        <v>0</v>
      </c>
      <c r="O1095" s="11">
        <f t="shared" si="34"/>
        <v>0</v>
      </c>
      <c r="P1095" s="11">
        <f t="shared" si="35"/>
        <v>0</v>
      </c>
      <c r="Q1095" s="6"/>
      <c r="R1095" s="6"/>
      <c r="S1095" s="6"/>
      <c r="T1095" s="6"/>
    </row>
    <row r="1096" spans="1:20">
      <c r="A1096" s="6" t="s">
        <v>1243</v>
      </c>
      <c r="B1096" s="6" t="s">
        <v>77</v>
      </c>
      <c r="C1096" s="6" t="s">
        <v>90</v>
      </c>
      <c r="D1096" s="6" t="s">
        <v>119</v>
      </c>
      <c r="E1096" s="6" t="s">
        <v>120</v>
      </c>
      <c r="F1096" s="7">
        <v>2</v>
      </c>
      <c r="G1096" s="7">
        <v>250</v>
      </c>
      <c r="H1096" s="16">
        <v>45257</v>
      </c>
      <c r="I1096" s="6">
        <v>48</v>
      </c>
      <c r="J1096" s="6" t="s">
        <v>121</v>
      </c>
      <c r="K1096" s="6" t="s">
        <v>298</v>
      </c>
      <c r="L1096" s="11">
        <f>F1096*Controls!$B$6</f>
        <v>2</v>
      </c>
      <c r="M1096" s="11">
        <f>G1096*Controls!$B$6</f>
        <v>250</v>
      </c>
      <c r="N1096" s="12">
        <f>IF(L1096=0,0,SUMIFS('PSI Plan'!$N$6:$N$173,'PSI Plan'!$B$6:$B$173,B1096,'PSI Plan'!$C$6:$C$173,I1096))</f>
        <v>0</v>
      </c>
      <c r="O1096" s="11">
        <f t="shared" si="34"/>
        <v>0</v>
      </c>
      <c r="P1096" s="11">
        <f t="shared" si="35"/>
        <v>0</v>
      </c>
      <c r="Q1096" s="6"/>
      <c r="R1096" s="6"/>
      <c r="S1096" s="6"/>
      <c r="T1096" s="6"/>
    </row>
    <row r="1097" spans="1:20">
      <c r="A1097" s="6" t="s">
        <v>1244</v>
      </c>
      <c r="B1097" s="6" t="s">
        <v>76</v>
      </c>
      <c r="C1097" s="6" t="s">
        <v>90</v>
      </c>
      <c r="D1097" s="6" t="s">
        <v>119</v>
      </c>
      <c r="E1097" s="6" t="s">
        <v>120</v>
      </c>
      <c r="F1097" s="7">
        <v>2</v>
      </c>
      <c r="G1097" s="7">
        <v>250</v>
      </c>
      <c r="H1097" s="16">
        <v>45273</v>
      </c>
      <c r="I1097" s="6">
        <v>50</v>
      </c>
      <c r="J1097" s="6" t="s">
        <v>121</v>
      </c>
      <c r="K1097" s="6" t="s">
        <v>298</v>
      </c>
      <c r="L1097" s="11">
        <f>F1097*Controls!$B$6</f>
        <v>2</v>
      </c>
      <c r="M1097" s="11">
        <f>G1097*Controls!$B$6</f>
        <v>250</v>
      </c>
      <c r="N1097" s="12">
        <f>IF(L1097=0,0,SUMIFS('PSI Plan'!$N$6:$N$173,'PSI Plan'!$B$6:$B$173,B1097,'PSI Plan'!$C$6:$C$173,I1097))</f>
        <v>0</v>
      </c>
      <c r="O1097" s="11">
        <f t="shared" si="34"/>
        <v>0</v>
      </c>
      <c r="P1097" s="11">
        <f t="shared" si="35"/>
        <v>0</v>
      </c>
      <c r="Q1097" s="6"/>
      <c r="R1097" s="6"/>
      <c r="S1097" s="6"/>
      <c r="T1097" s="6"/>
    </row>
    <row r="1098" spans="1:20">
      <c r="A1098" s="6" t="s">
        <v>1245</v>
      </c>
      <c r="B1098" s="6" t="s">
        <v>69</v>
      </c>
      <c r="C1098" s="6" t="s">
        <v>90</v>
      </c>
      <c r="D1098" s="6" t="s">
        <v>119</v>
      </c>
      <c r="E1098" s="6" t="s">
        <v>120</v>
      </c>
      <c r="F1098" s="7">
        <v>13</v>
      </c>
      <c r="G1098" s="7">
        <v>1625</v>
      </c>
      <c r="H1098" s="16">
        <v>45247</v>
      </c>
      <c r="I1098" s="6">
        <v>46</v>
      </c>
      <c r="J1098" s="6" t="s">
        <v>121</v>
      </c>
      <c r="K1098" s="6" t="s">
        <v>298</v>
      </c>
      <c r="L1098" s="11">
        <f>F1098*Controls!$B$6</f>
        <v>13</v>
      </c>
      <c r="M1098" s="11">
        <f>G1098*Controls!$B$6</f>
        <v>1625</v>
      </c>
      <c r="N1098" s="12">
        <f>IF(L1098=0,0,SUMIFS('PSI Plan'!$N$6:$N$173,'PSI Plan'!$B$6:$B$173,B1098,'PSI Plan'!$C$6:$C$173,I1098))</f>
        <v>0</v>
      </c>
      <c r="O1098" s="11">
        <f t="shared" si="34"/>
        <v>0</v>
      </c>
      <c r="P1098" s="11">
        <f t="shared" si="35"/>
        <v>0</v>
      </c>
      <c r="Q1098" s="6"/>
      <c r="R1098" s="6"/>
      <c r="S1098" s="6"/>
      <c r="T1098" s="6"/>
    </row>
    <row r="1099" spans="1:20">
      <c r="A1099" s="6" t="s">
        <v>1246</v>
      </c>
      <c r="B1099" s="6" t="s">
        <v>66</v>
      </c>
      <c r="C1099" s="6" t="s">
        <v>90</v>
      </c>
      <c r="D1099" s="6" t="s">
        <v>119</v>
      </c>
      <c r="E1099" s="6" t="s">
        <v>120</v>
      </c>
      <c r="F1099" s="7">
        <v>36</v>
      </c>
      <c r="G1099" s="7">
        <v>4500</v>
      </c>
      <c r="H1099" s="16">
        <v>45210</v>
      </c>
      <c r="I1099" s="6">
        <v>41</v>
      </c>
      <c r="J1099" s="6" t="s">
        <v>121</v>
      </c>
      <c r="K1099" s="6" t="s">
        <v>122</v>
      </c>
      <c r="L1099" s="11">
        <f>F1099*Controls!$B$6</f>
        <v>36</v>
      </c>
      <c r="M1099" s="11">
        <f>G1099*Controls!$B$6</f>
        <v>4500</v>
      </c>
      <c r="N1099" s="12">
        <f>IF(L1099=0,0,SUMIFS('PSI Plan'!$N$6:$N$173,'PSI Plan'!$B$6:$B$173,B1099,'PSI Plan'!$C$6:$C$173,I1099))</f>
        <v>0.22897465437788017</v>
      </c>
      <c r="O1099" s="11">
        <f t="shared" si="34"/>
        <v>8.2430875576036868</v>
      </c>
      <c r="P1099" s="11">
        <f t="shared" si="35"/>
        <v>1030.3859447004609</v>
      </c>
      <c r="Q1099" s="6"/>
      <c r="R1099" s="6"/>
      <c r="S1099" s="6"/>
      <c r="T1099" s="6"/>
    </row>
    <row r="1100" spans="1:20">
      <c r="A1100" s="6" t="s">
        <v>1247</v>
      </c>
      <c r="B1100" s="6" t="s">
        <v>77</v>
      </c>
      <c r="C1100" s="6" t="s">
        <v>90</v>
      </c>
      <c r="D1100" s="6" t="s">
        <v>119</v>
      </c>
      <c r="E1100" s="6" t="s">
        <v>120</v>
      </c>
      <c r="F1100" s="7">
        <v>39</v>
      </c>
      <c r="G1100" s="7">
        <v>4875</v>
      </c>
      <c r="H1100" s="16">
        <v>45253</v>
      </c>
      <c r="I1100" s="6">
        <v>47</v>
      </c>
      <c r="J1100" s="6" t="s">
        <v>121</v>
      </c>
      <c r="K1100" s="6" t="s">
        <v>122</v>
      </c>
      <c r="L1100" s="11">
        <f>F1100*Controls!$B$6</f>
        <v>39</v>
      </c>
      <c r="M1100" s="11">
        <f>G1100*Controls!$B$6</f>
        <v>4875</v>
      </c>
      <c r="N1100" s="12">
        <f>IF(L1100=0,0,SUMIFS('PSI Plan'!$N$6:$N$173,'PSI Plan'!$B$6:$B$173,B1100,'PSI Plan'!$C$6:$C$173,I1100))</f>
        <v>0</v>
      </c>
      <c r="O1100" s="11">
        <f t="shared" si="34"/>
        <v>0</v>
      </c>
      <c r="P1100" s="11">
        <f t="shared" si="35"/>
        <v>0</v>
      </c>
      <c r="Q1100" s="6"/>
      <c r="R1100" s="6"/>
      <c r="S1100" s="6"/>
      <c r="T1100" s="6"/>
    </row>
    <row r="1101" spans="1:20">
      <c r="A1101" s="6" t="s">
        <v>1248</v>
      </c>
      <c r="B1101" s="6" t="s">
        <v>66</v>
      </c>
      <c r="C1101" s="6" t="s">
        <v>90</v>
      </c>
      <c r="D1101" s="6" t="s">
        <v>119</v>
      </c>
      <c r="E1101" s="6" t="s">
        <v>120</v>
      </c>
      <c r="F1101" s="7">
        <v>7</v>
      </c>
      <c r="G1101" s="7">
        <v>875</v>
      </c>
      <c r="H1101" s="16">
        <v>45217</v>
      </c>
      <c r="I1101" s="6">
        <v>42</v>
      </c>
      <c r="J1101" s="6" t="s">
        <v>121</v>
      </c>
      <c r="K1101" s="6" t="s">
        <v>139</v>
      </c>
      <c r="L1101" s="11">
        <f>F1101*Controls!$B$6</f>
        <v>7</v>
      </c>
      <c r="M1101" s="11">
        <f>G1101*Controls!$B$6</f>
        <v>875</v>
      </c>
      <c r="N1101" s="12">
        <f>IF(L1101=0,0,SUMIFS('PSI Plan'!$N$6:$N$173,'PSI Plan'!$B$6:$B$173,B1101,'PSI Plan'!$C$6:$C$173,I1101))</f>
        <v>0.59807073954983925</v>
      </c>
      <c r="O1101" s="11">
        <f t="shared" si="34"/>
        <v>4.186495176848875</v>
      </c>
      <c r="P1101" s="11">
        <f t="shared" si="35"/>
        <v>523.31189710610931</v>
      </c>
      <c r="Q1101" s="6"/>
      <c r="R1101" s="6"/>
      <c r="S1101" s="6"/>
      <c r="T1101" s="6"/>
    </row>
    <row r="1102" spans="1:20">
      <c r="A1102" s="6" t="s">
        <v>1249</v>
      </c>
      <c r="B1102" s="6" t="s">
        <v>77</v>
      </c>
      <c r="C1102" s="6" t="s">
        <v>90</v>
      </c>
      <c r="D1102" s="6" t="s">
        <v>119</v>
      </c>
      <c r="E1102" s="6" t="s">
        <v>120</v>
      </c>
      <c r="F1102" s="7">
        <v>4</v>
      </c>
      <c r="G1102" s="7">
        <v>500</v>
      </c>
      <c r="H1102" s="16">
        <v>45262</v>
      </c>
      <c r="I1102" s="6">
        <v>48</v>
      </c>
      <c r="J1102" s="6" t="s">
        <v>121</v>
      </c>
      <c r="K1102" s="6" t="s">
        <v>139</v>
      </c>
      <c r="L1102" s="11">
        <f>F1102*Controls!$B$6</f>
        <v>4</v>
      </c>
      <c r="M1102" s="11">
        <f>G1102*Controls!$B$6</f>
        <v>500</v>
      </c>
      <c r="N1102" s="12">
        <f>IF(L1102=0,0,SUMIFS('PSI Plan'!$N$6:$N$173,'PSI Plan'!$B$6:$B$173,B1102,'PSI Plan'!$C$6:$C$173,I1102))</f>
        <v>0</v>
      </c>
      <c r="O1102" s="11">
        <f t="shared" si="34"/>
        <v>0</v>
      </c>
      <c r="P1102" s="11">
        <f t="shared" si="35"/>
        <v>0</v>
      </c>
      <c r="Q1102" s="6"/>
      <c r="R1102" s="6"/>
      <c r="S1102" s="6"/>
      <c r="T1102" s="6"/>
    </row>
    <row r="1103" spans="1:20">
      <c r="A1103" s="6" t="s">
        <v>1250</v>
      </c>
      <c r="B1103" s="6" t="s">
        <v>76</v>
      </c>
      <c r="C1103" s="6" t="s">
        <v>90</v>
      </c>
      <c r="D1103" s="6" t="s">
        <v>119</v>
      </c>
      <c r="E1103" s="6" t="s">
        <v>120</v>
      </c>
      <c r="F1103" s="7">
        <v>5</v>
      </c>
      <c r="G1103" s="7">
        <v>625</v>
      </c>
      <c r="H1103" s="16">
        <v>45217</v>
      </c>
      <c r="I1103" s="6">
        <v>42</v>
      </c>
      <c r="J1103" s="6" t="s">
        <v>121</v>
      </c>
      <c r="K1103" s="6" t="s">
        <v>139</v>
      </c>
      <c r="L1103" s="11">
        <f>F1103*Controls!$B$6</f>
        <v>5</v>
      </c>
      <c r="M1103" s="11">
        <f>G1103*Controls!$B$6</f>
        <v>625</v>
      </c>
      <c r="N1103" s="12">
        <f>IF(L1103=0,0,SUMIFS('PSI Plan'!$N$6:$N$173,'PSI Plan'!$B$6:$B$173,B1103,'PSI Plan'!$C$6:$C$173,I1103))</f>
        <v>0</v>
      </c>
      <c r="O1103" s="11">
        <f t="shared" si="34"/>
        <v>0</v>
      </c>
      <c r="P1103" s="11">
        <f t="shared" si="35"/>
        <v>0</v>
      </c>
      <c r="Q1103" s="6"/>
      <c r="R1103" s="6"/>
      <c r="S1103" s="6"/>
      <c r="T1103" s="6"/>
    </row>
    <row r="1104" spans="1:20">
      <c r="A1104" s="6" t="s">
        <v>1251</v>
      </c>
      <c r="B1104" s="6" t="s">
        <v>69</v>
      </c>
      <c r="C1104" s="6" t="s">
        <v>90</v>
      </c>
      <c r="D1104" s="6" t="s">
        <v>119</v>
      </c>
      <c r="E1104" s="6" t="s">
        <v>120</v>
      </c>
      <c r="F1104" s="7">
        <v>9</v>
      </c>
      <c r="G1104" s="7">
        <v>1125</v>
      </c>
      <c r="H1104" s="16">
        <v>45249</v>
      </c>
      <c r="I1104" s="6">
        <v>47</v>
      </c>
      <c r="J1104" s="6" t="s">
        <v>121</v>
      </c>
      <c r="K1104" s="6" t="s">
        <v>139</v>
      </c>
      <c r="L1104" s="11">
        <f>F1104*Controls!$B$6</f>
        <v>9</v>
      </c>
      <c r="M1104" s="11">
        <f>G1104*Controls!$B$6</f>
        <v>1125</v>
      </c>
      <c r="N1104" s="12">
        <f>IF(L1104=0,0,SUMIFS('PSI Plan'!$N$6:$N$173,'PSI Plan'!$B$6:$B$173,B1104,'PSI Plan'!$C$6:$C$173,I1104))</f>
        <v>0</v>
      </c>
      <c r="O1104" s="11">
        <f t="shared" si="34"/>
        <v>0</v>
      </c>
      <c r="P1104" s="11">
        <f t="shared" si="35"/>
        <v>0</v>
      </c>
      <c r="Q1104" s="6"/>
      <c r="R1104" s="6"/>
      <c r="S1104" s="6"/>
      <c r="T1104" s="6"/>
    </row>
    <row r="1105" spans="1:20">
      <c r="A1105" s="6" t="s">
        <v>1252</v>
      </c>
      <c r="B1105" s="6" t="s">
        <v>76</v>
      </c>
      <c r="C1105" s="6" t="s">
        <v>90</v>
      </c>
      <c r="D1105" s="6" t="s">
        <v>119</v>
      </c>
      <c r="E1105" s="6" t="s">
        <v>120</v>
      </c>
      <c r="F1105" s="7">
        <v>12</v>
      </c>
      <c r="G1105" s="7">
        <v>1500</v>
      </c>
      <c r="H1105" s="16">
        <v>45288</v>
      </c>
      <c r="I1105" s="6">
        <v>52</v>
      </c>
      <c r="J1105" s="6" t="s">
        <v>121</v>
      </c>
      <c r="K1105" s="6" t="s">
        <v>171</v>
      </c>
      <c r="L1105" s="11">
        <f>F1105*Controls!$B$6</f>
        <v>12</v>
      </c>
      <c r="M1105" s="11">
        <f>G1105*Controls!$B$6</f>
        <v>1500</v>
      </c>
      <c r="N1105" s="12">
        <f>IF(L1105=0,0,SUMIFS('PSI Plan'!$N$6:$N$173,'PSI Plan'!$B$6:$B$173,B1105,'PSI Plan'!$C$6:$C$173,I1105))</f>
        <v>0</v>
      </c>
      <c r="O1105" s="11">
        <f t="shared" si="34"/>
        <v>0</v>
      </c>
      <c r="P1105" s="11">
        <f t="shared" si="35"/>
        <v>0</v>
      </c>
      <c r="Q1105" s="6"/>
      <c r="R1105" s="6"/>
      <c r="S1105" s="6"/>
      <c r="T1105" s="6"/>
    </row>
    <row r="1106" spans="1:20">
      <c r="A1106" s="6" t="s">
        <v>1253</v>
      </c>
      <c r="B1106" s="6" t="s">
        <v>66</v>
      </c>
      <c r="C1106" s="6" t="s">
        <v>90</v>
      </c>
      <c r="D1106" s="6" t="s">
        <v>119</v>
      </c>
      <c r="E1106" s="6" t="s">
        <v>120</v>
      </c>
      <c r="F1106" s="7">
        <v>12</v>
      </c>
      <c r="G1106" s="7">
        <v>1500</v>
      </c>
      <c r="H1106" s="16">
        <v>45262</v>
      </c>
      <c r="I1106" s="6">
        <v>48</v>
      </c>
      <c r="J1106" s="6" t="s">
        <v>121</v>
      </c>
      <c r="K1106" s="6" t="s">
        <v>855</v>
      </c>
      <c r="L1106" s="11">
        <f>F1106*Controls!$B$6</f>
        <v>12</v>
      </c>
      <c r="M1106" s="11">
        <f>G1106*Controls!$B$6</f>
        <v>1500</v>
      </c>
      <c r="N1106" s="12">
        <f>IF(L1106=0,0,SUMIFS('PSI Plan'!$N$6:$N$173,'PSI Plan'!$B$6:$B$173,B1106,'PSI Plan'!$C$6:$C$173,I1106))</f>
        <v>0</v>
      </c>
      <c r="O1106" s="11">
        <f t="shared" si="34"/>
        <v>0</v>
      </c>
      <c r="P1106" s="11">
        <f t="shared" si="35"/>
        <v>0</v>
      </c>
      <c r="Q1106" s="6"/>
      <c r="R1106" s="6"/>
      <c r="S1106" s="6"/>
      <c r="T1106" s="6"/>
    </row>
    <row r="1107" spans="1:20">
      <c r="A1107" s="6" t="s">
        <v>1254</v>
      </c>
      <c r="B1107" s="6" t="s">
        <v>76</v>
      </c>
      <c r="C1107" s="6" t="s">
        <v>90</v>
      </c>
      <c r="D1107" s="6" t="s">
        <v>119</v>
      </c>
      <c r="E1107" s="6" t="s">
        <v>120</v>
      </c>
      <c r="F1107" s="7">
        <v>14</v>
      </c>
      <c r="G1107" s="7">
        <v>1750</v>
      </c>
      <c r="H1107" s="16">
        <v>45288</v>
      </c>
      <c r="I1107" s="6">
        <v>52</v>
      </c>
      <c r="J1107" s="6" t="s">
        <v>121</v>
      </c>
      <c r="K1107" s="6" t="s">
        <v>855</v>
      </c>
      <c r="L1107" s="11">
        <f>F1107*Controls!$B$6</f>
        <v>14</v>
      </c>
      <c r="M1107" s="11">
        <f>G1107*Controls!$B$6</f>
        <v>1750</v>
      </c>
      <c r="N1107" s="12">
        <f>IF(L1107=0,0,SUMIFS('PSI Plan'!$N$6:$N$173,'PSI Plan'!$B$6:$B$173,B1107,'PSI Plan'!$C$6:$C$173,I1107))</f>
        <v>0</v>
      </c>
      <c r="O1107" s="11">
        <f t="shared" si="34"/>
        <v>0</v>
      </c>
      <c r="P1107" s="11">
        <f t="shared" si="35"/>
        <v>0</v>
      </c>
      <c r="Q1107" s="6"/>
      <c r="R1107" s="6"/>
      <c r="S1107" s="6"/>
      <c r="T1107" s="6"/>
    </row>
    <row r="1108" spans="1:20">
      <c r="A1108" s="6" t="s">
        <v>1255</v>
      </c>
      <c r="B1108" s="6" t="s">
        <v>69</v>
      </c>
      <c r="C1108" s="6" t="s">
        <v>90</v>
      </c>
      <c r="D1108" s="6" t="s">
        <v>119</v>
      </c>
      <c r="E1108" s="6" t="s">
        <v>120</v>
      </c>
      <c r="F1108" s="7">
        <v>9</v>
      </c>
      <c r="G1108" s="7">
        <v>1125</v>
      </c>
      <c r="H1108" s="16">
        <v>45226</v>
      </c>
      <c r="I1108" s="6">
        <v>43</v>
      </c>
      <c r="J1108" s="6" t="s">
        <v>121</v>
      </c>
      <c r="K1108" s="6" t="s">
        <v>855</v>
      </c>
      <c r="L1108" s="11">
        <f>F1108*Controls!$B$6</f>
        <v>9</v>
      </c>
      <c r="M1108" s="11">
        <f>G1108*Controls!$B$6</f>
        <v>1125</v>
      </c>
      <c r="N1108" s="12">
        <f>IF(L1108=0,0,SUMIFS('PSI Plan'!$N$6:$N$173,'PSI Plan'!$B$6:$B$173,B1108,'PSI Plan'!$C$6:$C$173,I1108))</f>
        <v>0</v>
      </c>
      <c r="O1108" s="11">
        <f t="shared" si="34"/>
        <v>0</v>
      </c>
      <c r="P1108" s="11">
        <f t="shared" si="35"/>
        <v>0</v>
      </c>
      <c r="Q1108" s="6"/>
      <c r="R1108" s="6"/>
      <c r="S1108" s="6"/>
      <c r="T1108" s="6"/>
    </row>
    <row r="1109" spans="1:20">
      <c r="A1109" s="6" t="s">
        <v>1256</v>
      </c>
      <c r="B1109" s="6" t="s">
        <v>66</v>
      </c>
      <c r="C1109" s="6" t="s">
        <v>90</v>
      </c>
      <c r="D1109" s="6" t="s">
        <v>119</v>
      </c>
      <c r="E1109" s="6" t="s">
        <v>120</v>
      </c>
      <c r="F1109" s="7">
        <v>6</v>
      </c>
      <c r="G1109" s="7">
        <v>750</v>
      </c>
      <c r="H1109" s="16">
        <v>45223</v>
      </c>
      <c r="I1109" s="6">
        <v>43</v>
      </c>
      <c r="J1109" s="6" t="s">
        <v>121</v>
      </c>
      <c r="K1109" s="6" t="s">
        <v>150</v>
      </c>
      <c r="L1109" s="11">
        <f>F1109*Controls!$B$6</f>
        <v>6</v>
      </c>
      <c r="M1109" s="11">
        <f>G1109*Controls!$B$6</f>
        <v>750</v>
      </c>
      <c r="N1109" s="12">
        <f>IF(L1109=0,0,SUMIFS('PSI Plan'!$N$6:$N$173,'PSI Plan'!$B$6:$B$173,B1109,'PSI Plan'!$C$6:$C$173,I1109))</f>
        <v>0</v>
      </c>
      <c r="O1109" s="11">
        <f t="shared" si="34"/>
        <v>0</v>
      </c>
      <c r="P1109" s="11">
        <f t="shared" si="35"/>
        <v>0</v>
      </c>
      <c r="Q1109" s="6"/>
      <c r="R1109" s="6"/>
      <c r="S1109" s="6"/>
      <c r="T1109" s="6"/>
    </row>
    <row r="1110" spans="1:20">
      <c r="A1110" s="6" t="s">
        <v>1257</v>
      </c>
      <c r="B1110" s="6" t="s">
        <v>77</v>
      </c>
      <c r="C1110" s="6" t="s">
        <v>90</v>
      </c>
      <c r="D1110" s="6" t="s">
        <v>119</v>
      </c>
      <c r="E1110" s="6" t="s">
        <v>120</v>
      </c>
      <c r="F1110" s="7">
        <v>4</v>
      </c>
      <c r="G1110" s="7">
        <v>500</v>
      </c>
      <c r="H1110" s="16">
        <v>45226</v>
      </c>
      <c r="I1110" s="6">
        <v>43</v>
      </c>
      <c r="J1110" s="6" t="s">
        <v>121</v>
      </c>
      <c r="K1110" s="6" t="s">
        <v>150</v>
      </c>
      <c r="L1110" s="11">
        <f>F1110*Controls!$B$6</f>
        <v>4</v>
      </c>
      <c r="M1110" s="11">
        <f>G1110*Controls!$B$6</f>
        <v>500</v>
      </c>
      <c r="N1110" s="12">
        <f>IF(L1110=0,0,SUMIFS('PSI Plan'!$N$6:$N$173,'PSI Plan'!$B$6:$B$173,B1110,'PSI Plan'!$C$6:$C$173,I1110))</f>
        <v>0</v>
      </c>
      <c r="O1110" s="11">
        <f t="shared" si="34"/>
        <v>0</v>
      </c>
      <c r="P1110" s="11">
        <f t="shared" si="35"/>
        <v>0</v>
      </c>
      <c r="Q1110" s="6"/>
      <c r="R1110" s="6"/>
      <c r="S1110" s="6"/>
      <c r="T1110" s="6"/>
    </row>
    <row r="1111" spans="1:20">
      <c r="A1111" s="6" t="s">
        <v>1258</v>
      </c>
      <c r="B1111" s="6" t="s">
        <v>76</v>
      </c>
      <c r="C1111" s="6" t="s">
        <v>90</v>
      </c>
      <c r="D1111" s="6" t="s">
        <v>119</v>
      </c>
      <c r="E1111" s="6" t="s">
        <v>120</v>
      </c>
      <c r="F1111" s="7">
        <v>7</v>
      </c>
      <c r="G1111" s="7">
        <v>875</v>
      </c>
      <c r="H1111" s="16">
        <v>45225</v>
      </c>
      <c r="I1111" s="6">
        <v>43</v>
      </c>
      <c r="J1111" s="6" t="s">
        <v>121</v>
      </c>
      <c r="K1111" s="6" t="s">
        <v>150</v>
      </c>
      <c r="L1111" s="11">
        <f>F1111*Controls!$B$6</f>
        <v>7</v>
      </c>
      <c r="M1111" s="11">
        <f>G1111*Controls!$B$6</f>
        <v>875</v>
      </c>
      <c r="N1111" s="12">
        <f>IF(L1111=0,0,SUMIFS('PSI Plan'!$N$6:$N$173,'PSI Plan'!$B$6:$B$173,B1111,'PSI Plan'!$C$6:$C$173,I1111))</f>
        <v>0</v>
      </c>
      <c r="O1111" s="11">
        <f t="shared" si="34"/>
        <v>0</v>
      </c>
      <c r="P1111" s="11">
        <f t="shared" si="35"/>
        <v>0</v>
      </c>
      <c r="Q1111" s="6"/>
      <c r="R1111" s="6"/>
      <c r="S1111" s="6"/>
      <c r="T1111" s="6"/>
    </row>
    <row r="1112" spans="1:20">
      <c r="A1112" s="6" t="s">
        <v>1259</v>
      </c>
      <c r="B1112" s="6" t="s">
        <v>69</v>
      </c>
      <c r="C1112" s="6" t="s">
        <v>90</v>
      </c>
      <c r="D1112" s="6" t="s">
        <v>119</v>
      </c>
      <c r="E1112" s="6" t="s">
        <v>120</v>
      </c>
      <c r="F1112" s="7">
        <v>2</v>
      </c>
      <c r="G1112" s="7">
        <v>250</v>
      </c>
      <c r="H1112" s="16">
        <v>45215</v>
      </c>
      <c r="I1112" s="6">
        <v>42</v>
      </c>
      <c r="J1112" s="6" t="s">
        <v>121</v>
      </c>
      <c r="K1112" s="6" t="s">
        <v>150</v>
      </c>
      <c r="L1112" s="11">
        <f>F1112*Controls!$B$6</f>
        <v>2</v>
      </c>
      <c r="M1112" s="11">
        <f>G1112*Controls!$B$6</f>
        <v>250</v>
      </c>
      <c r="N1112" s="12">
        <f>IF(L1112=0,0,SUMIFS('PSI Plan'!$N$6:$N$173,'PSI Plan'!$B$6:$B$173,B1112,'PSI Plan'!$C$6:$C$173,I1112))</f>
        <v>0</v>
      </c>
      <c r="O1112" s="11">
        <f t="shared" si="34"/>
        <v>0</v>
      </c>
      <c r="P1112" s="11">
        <f t="shared" si="35"/>
        <v>0</v>
      </c>
      <c r="Q1112" s="6"/>
      <c r="R1112" s="6"/>
      <c r="S1112" s="6"/>
      <c r="T1112" s="6"/>
    </row>
    <row r="1113" spans="1:20">
      <c r="A1113" s="6" t="s">
        <v>1260</v>
      </c>
      <c r="B1113" s="6" t="s">
        <v>66</v>
      </c>
      <c r="C1113" s="6" t="s">
        <v>99</v>
      </c>
      <c r="D1113" s="6" t="s">
        <v>319</v>
      </c>
      <c r="E1113" s="6" t="s">
        <v>120</v>
      </c>
      <c r="F1113" s="7">
        <v>2</v>
      </c>
      <c r="G1113" s="7">
        <v>250</v>
      </c>
      <c r="H1113" s="16">
        <v>45258</v>
      </c>
      <c r="I1113" s="6">
        <v>48</v>
      </c>
      <c r="J1113" s="6" t="s">
        <v>121</v>
      </c>
      <c r="K1113" s="6" t="s">
        <v>459</v>
      </c>
      <c r="L1113" s="11">
        <f>F1113*Controls!$B$6</f>
        <v>2</v>
      </c>
      <c r="M1113" s="11">
        <f>G1113*Controls!$B$6</f>
        <v>250</v>
      </c>
      <c r="N1113" s="12">
        <f>IF(L1113=0,0,SUMIFS('PSI Plan'!$N$6:$N$173,'PSI Plan'!$B$6:$B$173,B1113,'PSI Plan'!$C$6:$C$173,I1113))</f>
        <v>0</v>
      </c>
      <c r="O1113" s="11">
        <f t="shared" si="34"/>
        <v>0</v>
      </c>
      <c r="P1113" s="11">
        <f t="shared" si="35"/>
        <v>0</v>
      </c>
      <c r="Q1113" s="6"/>
      <c r="R1113" s="6"/>
      <c r="S1113" s="6"/>
      <c r="T1113" s="6"/>
    </row>
    <row r="1114" spans="1:20">
      <c r="A1114" s="6" t="s">
        <v>1261</v>
      </c>
      <c r="B1114" s="6" t="s">
        <v>77</v>
      </c>
      <c r="C1114" s="6" t="s">
        <v>99</v>
      </c>
      <c r="D1114" s="6" t="s">
        <v>319</v>
      </c>
      <c r="E1114" s="6" t="s">
        <v>120</v>
      </c>
      <c r="F1114" s="7">
        <v>52</v>
      </c>
      <c r="G1114" s="7">
        <v>6500</v>
      </c>
      <c r="H1114" s="16">
        <v>45271</v>
      </c>
      <c r="I1114" s="6">
        <v>50</v>
      </c>
      <c r="J1114" s="6" t="s">
        <v>121</v>
      </c>
      <c r="K1114" s="6" t="s">
        <v>459</v>
      </c>
      <c r="L1114" s="11">
        <f>F1114*Controls!$B$6</f>
        <v>52</v>
      </c>
      <c r="M1114" s="11">
        <f>G1114*Controls!$B$6</f>
        <v>6500</v>
      </c>
      <c r="N1114" s="12">
        <f>IF(L1114=0,0,SUMIFS('PSI Plan'!$N$6:$N$173,'PSI Plan'!$B$6:$B$173,B1114,'PSI Plan'!$C$6:$C$173,I1114))</f>
        <v>0</v>
      </c>
      <c r="O1114" s="11">
        <f t="shared" si="34"/>
        <v>0</v>
      </c>
      <c r="P1114" s="11">
        <f t="shared" si="35"/>
        <v>0</v>
      </c>
      <c r="Q1114" s="6"/>
      <c r="R1114" s="6"/>
      <c r="S1114" s="6"/>
      <c r="T1114" s="6"/>
    </row>
    <row r="1115" spans="1:20">
      <c r="A1115" s="6" t="s">
        <v>1262</v>
      </c>
      <c r="B1115" s="6" t="s">
        <v>67</v>
      </c>
      <c r="C1115" s="6" t="s">
        <v>99</v>
      </c>
      <c r="D1115" s="6" t="s">
        <v>319</v>
      </c>
      <c r="E1115" s="6" t="s">
        <v>120</v>
      </c>
      <c r="F1115" s="7">
        <v>4</v>
      </c>
      <c r="G1115" s="7">
        <v>500</v>
      </c>
      <c r="H1115" s="16">
        <v>45200</v>
      </c>
      <c r="I1115" s="6">
        <v>40</v>
      </c>
      <c r="J1115" s="6" t="s">
        <v>121</v>
      </c>
      <c r="K1115" s="6" t="s">
        <v>459</v>
      </c>
      <c r="L1115" s="11">
        <f>F1115*Controls!$B$6</f>
        <v>4</v>
      </c>
      <c r="M1115" s="11">
        <f>G1115*Controls!$B$6</f>
        <v>500</v>
      </c>
      <c r="N1115" s="12">
        <f>IF(L1115=0,0,SUMIFS('PSI Plan'!$N$6:$N$173,'PSI Plan'!$B$6:$B$173,B1115,'PSI Plan'!$C$6:$C$173,I1115))</f>
        <v>0</v>
      </c>
      <c r="O1115" s="11">
        <f t="shared" si="34"/>
        <v>0</v>
      </c>
      <c r="P1115" s="11">
        <f t="shared" si="35"/>
        <v>0</v>
      </c>
      <c r="Q1115" s="6"/>
      <c r="R1115" s="6"/>
      <c r="S1115" s="6"/>
      <c r="T1115" s="6"/>
    </row>
    <row r="1116" spans="1:20">
      <c r="A1116" s="6" t="s">
        <v>1263</v>
      </c>
      <c r="B1116" s="6" t="s">
        <v>66</v>
      </c>
      <c r="C1116" s="6" t="s">
        <v>104</v>
      </c>
      <c r="D1116" s="6" t="s">
        <v>571</v>
      </c>
      <c r="E1116" s="6" t="s">
        <v>120</v>
      </c>
      <c r="F1116" s="7">
        <v>69</v>
      </c>
      <c r="G1116" s="7">
        <v>8625</v>
      </c>
      <c r="H1116" s="16">
        <v>45258</v>
      </c>
      <c r="I1116" s="6">
        <v>48</v>
      </c>
      <c r="J1116" s="6" t="s">
        <v>121</v>
      </c>
      <c r="K1116" s="6" t="s">
        <v>1264</v>
      </c>
      <c r="L1116" s="11">
        <f>F1116*Controls!$B$6</f>
        <v>69</v>
      </c>
      <c r="M1116" s="11">
        <f>G1116*Controls!$B$6</f>
        <v>8625</v>
      </c>
      <c r="N1116" s="12">
        <f>IF(L1116=0,0,SUMIFS('PSI Plan'!$N$6:$N$173,'PSI Plan'!$B$6:$B$173,B1116,'PSI Plan'!$C$6:$C$173,I1116))</f>
        <v>0</v>
      </c>
      <c r="O1116" s="11">
        <f t="shared" si="34"/>
        <v>0</v>
      </c>
      <c r="P1116" s="11">
        <f t="shared" si="35"/>
        <v>0</v>
      </c>
      <c r="Q1116" s="6"/>
      <c r="R1116" s="6"/>
      <c r="S1116" s="6"/>
      <c r="T1116" s="6"/>
    </row>
    <row r="1117" spans="1:20">
      <c r="A1117" s="6" t="s">
        <v>1265</v>
      </c>
      <c r="B1117" s="6" t="s">
        <v>77</v>
      </c>
      <c r="C1117" s="6" t="s">
        <v>104</v>
      </c>
      <c r="D1117" s="6" t="s">
        <v>571</v>
      </c>
      <c r="E1117" s="6" t="s">
        <v>120</v>
      </c>
      <c r="F1117" s="7">
        <v>21</v>
      </c>
      <c r="G1117" s="7">
        <v>2625</v>
      </c>
      <c r="H1117" s="16">
        <v>45264</v>
      </c>
      <c r="I1117" s="6">
        <v>49</v>
      </c>
      <c r="J1117" s="6" t="s">
        <v>121</v>
      </c>
      <c r="K1117" s="6" t="s">
        <v>1264</v>
      </c>
      <c r="L1117" s="11">
        <f>F1117*Controls!$B$6</f>
        <v>21</v>
      </c>
      <c r="M1117" s="11">
        <f>G1117*Controls!$B$6</f>
        <v>2625</v>
      </c>
      <c r="N1117" s="12">
        <f>IF(L1117=0,0,SUMIFS('PSI Plan'!$N$6:$N$173,'PSI Plan'!$B$6:$B$173,B1117,'PSI Plan'!$C$6:$C$173,I1117))</f>
        <v>0</v>
      </c>
      <c r="O1117" s="11">
        <f t="shared" si="34"/>
        <v>0</v>
      </c>
      <c r="P1117" s="11">
        <f t="shared" si="35"/>
        <v>0</v>
      </c>
      <c r="Q1117" s="6"/>
      <c r="R1117" s="6"/>
      <c r="S1117" s="6"/>
      <c r="T1117" s="6"/>
    </row>
    <row r="1118" spans="1:20">
      <c r="A1118" s="6" t="s">
        <v>1266</v>
      </c>
      <c r="B1118" s="6" t="s">
        <v>76</v>
      </c>
      <c r="C1118" s="6" t="s">
        <v>104</v>
      </c>
      <c r="D1118" s="6" t="s">
        <v>571</v>
      </c>
      <c r="E1118" s="6" t="s">
        <v>120</v>
      </c>
      <c r="F1118" s="7">
        <v>119</v>
      </c>
      <c r="G1118" s="7">
        <v>14875</v>
      </c>
      <c r="H1118" s="16">
        <v>45242</v>
      </c>
      <c r="I1118" s="6">
        <v>46</v>
      </c>
      <c r="J1118" s="6" t="s">
        <v>121</v>
      </c>
      <c r="K1118" s="6" t="s">
        <v>1264</v>
      </c>
      <c r="L1118" s="11">
        <f>F1118*Controls!$B$6</f>
        <v>119</v>
      </c>
      <c r="M1118" s="11">
        <f>G1118*Controls!$B$6</f>
        <v>14875</v>
      </c>
      <c r="N1118" s="12">
        <f>IF(L1118=0,0,SUMIFS('PSI Plan'!$N$6:$N$173,'PSI Plan'!$B$6:$B$173,B1118,'PSI Plan'!$C$6:$C$173,I1118))</f>
        <v>0</v>
      </c>
      <c r="O1118" s="11">
        <f t="shared" si="34"/>
        <v>0</v>
      </c>
      <c r="P1118" s="11">
        <f t="shared" si="35"/>
        <v>0</v>
      </c>
      <c r="Q1118" s="6"/>
      <c r="R1118" s="6"/>
      <c r="S1118" s="6"/>
      <c r="T1118" s="6"/>
    </row>
    <row r="1119" spans="1:20">
      <c r="A1119" s="6" t="s">
        <v>1267</v>
      </c>
      <c r="B1119" s="6" t="s">
        <v>67</v>
      </c>
      <c r="C1119" s="6" t="s">
        <v>104</v>
      </c>
      <c r="D1119" s="6" t="s">
        <v>571</v>
      </c>
      <c r="E1119" s="6" t="s">
        <v>120</v>
      </c>
      <c r="F1119" s="7">
        <v>483</v>
      </c>
      <c r="G1119" s="7">
        <v>60375</v>
      </c>
      <c r="H1119" s="16">
        <v>45240</v>
      </c>
      <c r="I1119" s="6">
        <v>45</v>
      </c>
      <c r="J1119" s="6" t="s">
        <v>121</v>
      </c>
      <c r="K1119" s="6" t="s">
        <v>1264</v>
      </c>
      <c r="L1119" s="11">
        <f>F1119*Controls!$B$6</f>
        <v>483</v>
      </c>
      <c r="M1119" s="11">
        <f>G1119*Controls!$B$6</f>
        <v>60375</v>
      </c>
      <c r="N1119" s="12">
        <f>IF(L1119=0,0,SUMIFS('PSI Plan'!$N$6:$N$173,'PSI Plan'!$B$6:$B$173,B1119,'PSI Plan'!$C$6:$C$173,I1119))</f>
        <v>0</v>
      </c>
      <c r="O1119" s="11">
        <f t="shared" si="34"/>
        <v>0</v>
      </c>
      <c r="P1119" s="11">
        <f t="shared" si="35"/>
        <v>0</v>
      </c>
      <c r="Q1119" s="6"/>
      <c r="R1119" s="6"/>
      <c r="S1119" s="6"/>
      <c r="T1119" s="6"/>
    </row>
    <row r="1120" spans="1:20">
      <c r="A1120" s="6" t="s">
        <v>1268</v>
      </c>
      <c r="B1120" s="6" t="s">
        <v>66</v>
      </c>
      <c r="C1120" s="6" t="s">
        <v>100</v>
      </c>
      <c r="D1120" s="6" t="s">
        <v>567</v>
      </c>
      <c r="E1120" s="6" t="s">
        <v>120</v>
      </c>
      <c r="F1120" s="7">
        <v>9</v>
      </c>
      <c r="G1120" s="7">
        <v>1125</v>
      </c>
      <c r="H1120" s="16">
        <v>45289</v>
      </c>
      <c r="I1120" s="6">
        <v>52</v>
      </c>
      <c r="J1120" s="6" t="s">
        <v>121</v>
      </c>
      <c r="K1120" s="6" t="s">
        <v>781</v>
      </c>
      <c r="L1120" s="11">
        <f>F1120*Controls!$B$6</f>
        <v>9</v>
      </c>
      <c r="M1120" s="11">
        <f>G1120*Controls!$B$6</f>
        <v>1125</v>
      </c>
      <c r="N1120" s="12">
        <f>IF(L1120=0,0,SUMIFS('PSI Plan'!$N$6:$N$173,'PSI Plan'!$B$6:$B$173,B1120,'PSI Plan'!$C$6:$C$173,I1120))</f>
        <v>0</v>
      </c>
      <c r="O1120" s="11">
        <f t="shared" si="34"/>
        <v>0</v>
      </c>
      <c r="P1120" s="11">
        <f t="shared" si="35"/>
        <v>0</v>
      </c>
      <c r="Q1120" s="6"/>
      <c r="R1120" s="6"/>
      <c r="S1120" s="6"/>
      <c r="T1120" s="6"/>
    </row>
    <row r="1121" spans="1:20">
      <c r="A1121" s="6" t="s">
        <v>1269</v>
      </c>
      <c r="B1121" s="6" t="s">
        <v>67</v>
      </c>
      <c r="C1121" s="6" t="s">
        <v>100</v>
      </c>
      <c r="D1121" s="6" t="s">
        <v>567</v>
      </c>
      <c r="E1121" s="6" t="s">
        <v>120</v>
      </c>
      <c r="F1121" s="7">
        <v>5</v>
      </c>
      <c r="G1121" s="7">
        <v>625</v>
      </c>
      <c r="H1121" s="16">
        <v>45248</v>
      </c>
      <c r="I1121" s="6">
        <v>46</v>
      </c>
      <c r="J1121" s="6" t="s">
        <v>121</v>
      </c>
      <c r="K1121" s="6" t="s">
        <v>781</v>
      </c>
      <c r="L1121" s="11">
        <f>F1121*Controls!$B$6</f>
        <v>5</v>
      </c>
      <c r="M1121" s="11">
        <f>G1121*Controls!$B$6</f>
        <v>625</v>
      </c>
      <c r="N1121" s="12">
        <f>IF(L1121=0,0,SUMIFS('PSI Plan'!$N$6:$N$173,'PSI Plan'!$B$6:$B$173,B1121,'PSI Plan'!$C$6:$C$173,I1121))</f>
        <v>0</v>
      </c>
      <c r="O1121" s="11">
        <f t="shared" si="34"/>
        <v>0</v>
      </c>
      <c r="P1121" s="11">
        <f t="shared" si="35"/>
        <v>0</v>
      </c>
      <c r="Q1121" s="6"/>
      <c r="R1121" s="6"/>
      <c r="S1121" s="6"/>
      <c r="T1121" s="6"/>
    </row>
    <row r="1122" spans="1:20">
      <c r="A1122" s="6" t="s">
        <v>1270</v>
      </c>
      <c r="B1122" s="6" t="s">
        <v>69</v>
      </c>
      <c r="C1122" s="6" t="s">
        <v>100</v>
      </c>
      <c r="D1122" s="6" t="s">
        <v>567</v>
      </c>
      <c r="E1122" s="6" t="s">
        <v>120</v>
      </c>
      <c r="F1122" s="7">
        <v>4</v>
      </c>
      <c r="G1122" s="7">
        <v>500</v>
      </c>
      <c r="H1122" s="16">
        <v>45232</v>
      </c>
      <c r="I1122" s="6">
        <v>44</v>
      </c>
      <c r="J1122" s="6" t="s">
        <v>121</v>
      </c>
      <c r="K1122" s="6" t="s">
        <v>781</v>
      </c>
      <c r="L1122" s="11">
        <f>F1122*Controls!$B$6</f>
        <v>4</v>
      </c>
      <c r="M1122" s="11">
        <f>G1122*Controls!$B$6</f>
        <v>500</v>
      </c>
      <c r="N1122" s="12">
        <f>IF(L1122=0,0,SUMIFS('PSI Plan'!$N$6:$N$173,'PSI Plan'!$B$6:$B$173,B1122,'PSI Plan'!$C$6:$C$173,I1122))</f>
        <v>0</v>
      </c>
      <c r="O1122" s="11">
        <f t="shared" si="34"/>
        <v>0</v>
      </c>
      <c r="P1122" s="11">
        <f t="shared" si="35"/>
        <v>0</v>
      </c>
      <c r="Q1122" s="6"/>
      <c r="R1122" s="6"/>
      <c r="S1122" s="6"/>
      <c r="T1122" s="6"/>
    </row>
    <row r="1123" spans="1:20">
      <c r="A1123" s="6" t="s">
        <v>1271</v>
      </c>
      <c r="B1123" s="6" t="s">
        <v>77</v>
      </c>
      <c r="C1123" s="6" t="s">
        <v>90</v>
      </c>
      <c r="D1123" s="6" t="s">
        <v>119</v>
      </c>
      <c r="E1123" s="6" t="s">
        <v>120</v>
      </c>
      <c r="F1123" s="7">
        <v>13</v>
      </c>
      <c r="G1123" s="7">
        <v>1625</v>
      </c>
      <c r="H1123" s="16">
        <v>45233</v>
      </c>
      <c r="I1123" s="6">
        <v>44</v>
      </c>
      <c r="J1123" s="6" t="s">
        <v>121</v>
      </c>
      <c r="K1123" s="6" t="s">
        <v>855</v>
      </c>
      <c r="L1123" s="11">
        <f>F1123*Controls!$B$6</f>
        <v>13</v>
      </c>
      <c r="M1123" s="11">
        <f>G1123*Controls!$B$6</f>
        <v>1625</v>
      </c>
      <c r="N1123" s="12">
        <f>IF(L1123=0,0,SUMIFS('PSI Plan'!$N$6:$N$173,'PSI Plan'!$B$6:$B$173,B1123,'PSI Plan'!$C$6:$C$173,I1123))</f>
        <v>0</v>
      </c>
      <c r="O1123" s="11">
        <f t="shared" si="34"/>
        <v>0</v>
      </c>
      <c r="P1123" s="11">
        <f t="shared" si="35"/>
        <v>0</v>
      </c>
      <c r="Q1123" s="6"/>
      <c r="R1123" s="6"/>
      <c r="S1123" s="6"/>
      <c r="T1123" s="6"/>
    </row>
    <row r="1124" spans="1:20">
      <c r="A1124" s="6" t="s">
        <v>1272</v>
      </c>
      <c r="B1124" s="6" t="s">
        <v>76</v>
      </c>
      <c r="C1124" s="6" t="s">
        <v>90</v>
      </c>
      <c r="D1124" s="6" t="s">
        <v>119</v>
      </c>
      <c r="E1124" s="6" t="s">
        <v>120</v>
      </c>
      <c r="F1124" s="7">
        <v>13</v>
      </c>
      <c r="G1124" s="7">
        <v>1625</v>
      </c>
      <c r="H1124" s="16">
        <v>45223</v>
      </c>
      <c r="I1124" s="6">
        <v>43</v>
      </c>
      <c r="J1124" s="6" t="s">
        <v>121</v>
      </c>
      <c r="K1124" s="6" t="s">
        <v>855</v>
      </c>
      <c r="L1124" s="11">
        <f>F1124*Controls!$B$6</f>
        <v>13</v>
      </c>
      <c r="M1124" s="11">
        <f>G1124*Controls!$B$6</f>
        <v>1625</v>
      </c>
      <c r="N1124" s="12">
        <f>IF(L1124=0,0,SUMIFS('PSI Plan'!$N$6:$N$173,'PSI Plan'!$B$6:$B$173,B1124,'PSI Plan'!$C$6:$C$173,I1124))</f>
        <v>0</v>
      </c>
      <c r="O1124" s="11">
        <f t="shared" si="34"/>
        <v>0</v>
      </c>
      <c r="P1124" s="11">
        <f t="shared" si="35"/>
        <v>0</v>
      </c>
      <c r="Q1124" s="6"/>
      <c r="R1124" s="6"/>
      <c r="S1124" s="6"/>
      <c r="T1124" s="6"/>
    </row>
    <row r="1125" spans="1:20">
      <c r="A1125" s="6" t="s">
        <v>1273</v>
      </c>
      <c r="B1125" s="6" t="s">
        <v>69</v>
      </c>
      <c r="C1125" s="6" t="s">
        <v>90</v>
      </c>
      <c r="D1125" s="6" t="s">
        <v>119</v>
      </c>
      <c r="E1125" s="6" t="s">
        <v>120</v>
      </c>
      <c r="F1125" s="7">
        <v>13</v>
      </c>
      <c r="G1125" s="7">
        <v>1625</v>
      </c>
      <c r="H1125" s="16">
        <v>45219</v>
      </c>
      <c r="I1125" s="6">
        <v>42</v>
      </c>
      <c r="J1125" s="6" t="s">
        <v>121</v>
      </c>
      <c r="K1125" s="6" t="s">
        <v>855</v>
      </c>
      <c r="L1125" s="11">
        <f>F1125*Controls!$B$6</f>
        <v>13</v>
      </c>
      <c r="M1125" s="11">
        <f>G1125*Controls!$B$6</f>
        <v>1625</v>
      </c>
      <c r="N1125" s="12">
        <f>IF(L1125=0,0,SUMIFS('PSI Plan'!$N$6:$N$173,'PSI Plan'!$B$6:$B$173,B1125,'PSI Plan'!$C$6:$C$173,I1125))</f>
        <v>0</v>
      </c>
      <c r="O1125" s="11">
        <f t="shared" si="34"/>
        <v>0</v>
      </c>
      <c r="P1125" s="11">
        <f t="shared" si="35"/>
        <v>0</v>
      </c>
      <c r="Q1125" s="6"/>
      <c r="R1125" s="6"/>
      <c r="S1125" s="6"/>
      <c r="T1125" s="6"/>
    </row>
    <row r="1126" spans="1:20">
      <c r="A1126" s="6" t="s">
        <v>1274</v>
      </c>
      <c r="B1126" s="6" t="s">
        <v>77</v>
      </c>
      <c r="C1126" s="6" t="s">
        <v>90</v>
      </c>
      <c r="D1126" s="6" t="s">
        <v>119</v>
      </c>
      <c r="E1126" s="6" t="s">
        <v>120</v>
      </c>
      <c r="F1126" s="7">
        <v>26</v>
      </c>
      <c r="G1126" s="7">
        <v>3250</v>
      </c>
      <c r="H1126" s="16">
        <v>45280</v>
      </c>
      <c r="I1126" s="6">
        <v>51</v>
      </c>
      <c r="J1126" s="6" t="s">
        <v>121</v>
      </c>
      <c r="K1126" s="6" t="s">
        <v>171</v>
      </c>
      <c r="L1126" s="11">
        <f>F1126*Controls!$B$6</f>
        <v>26</v>
      </c>
      <c r="M1126" s="11">
        <f>G1126*Controls!$B$6</f>
        <v>3250</v>
      </c>
      <c r="N1126" s="12">
        <f>IF(L1126=0,0,SUMIFS('PSI Plan'!$N$6:$N$173,'PSI Plan'!$B$6:$B$173,B1126,'PSI Plan'!$C$6:$C$173,I1126))</f>
        <v>0</v>
      </c>
      <c r="O1126" s="11">
        <f t="shared" si="34"/>
        <v>0</v>
      </c>
      <c r="P1126" s="11">
        <f t="shared" si="35"/>
        <v>0</v>
      </c>
      <c r="Q1126" s="6"/>
      <c r="R1126" s="6"/>
      <c r="S1126" s="6"/>
      <c r="T1126" s="6"/>
    </row>
    <row r="1127" spans="1:20">
      <c r="A1127" s="6" t="s">
        <v>1275</v>
      </c>
      <c r="B1127" s="6" t="s">
        <v>69</v>
      </c>
      <c r="C1127" s="6" t="s">
        <v>90</v>
      </c>
      <c r="D1127" s="6" t="s">
        <v>119</v>
      </c>
      <c r="E1127" s="6" t="s">
        <v>120</v>
      </c>
      <c r="F1127" s="7">
        <v>26</v>
      </c>
      <c r="G1127" s="7">
        <v>3250</v>
      </c>
      <c r="H1127" s="16">
        <v>45239</v>
      </c>
      <c r="I1127" s="6">
        <v>45</v>
      </c>
      <c r="J1127" s="6" t="s">
        <v>121</v>
      </c>
      <c r="K1127" s="6" t="s">
        <v>171</v>
      </c>
      <c r="L1127" s="11">
        <f>F1127*Controls!$B$6</f>
        <v>26</v>
      </c>
      <c r="M1127" s="11">
        <f>G1127*Controls!$B$6</f>
        <v>3250</v>
      </c>
      <c r="N1127" s="12">
        <f>IF(L1127=0,0,SUMIFS('PSI Plan'!$N$6:$N$173,'PSI Plan'!$B$6:$B$173,B1127,'PSI Plan'!$C$6:$C$173,I1127))</f>
        <v>0</v>
      </c>
      <c r="O1127" s="11">
        <f t="shared" si="34"/>
        <v>0</v>
      </c>
      <c r="P1127" s="11">
        <f t="shared" si="35"/>
        <v>0</v>
      </c>
      <c r="Q1127" s="6"/>
      <c r="R1127" s="6"/>
      <c r="S1127" s="6"/>
      <c r="T1127" s="6"/>
    </row>
    <row r="1128" spans="1:20">
      <c r="A1128" s="6" t="s">
        <v>1276</v>
      </c>
      <c r="B1128" s="6" t="s">
        <v>77</v>
      </c>
      <c r="C1128" s="6" t="s">
        <v>90</v>
      </c>
      <c r="D1128" s="6" t="s">
        <v>119</v>
      </c>
      <c r="E1128" s="6" t="s">
        <v>120</v>
      </c>
      <c r="F1128" s="7">
        <v>7</v>
      </c>
      <c r="G1128" s="7">
        <v>875</v>
      </c>
      <c r="H1128" s="16">
        <v>45202</v>
      </c>
      <c r="I1128" s="6">
        <v>40</v>
      </c>
      <c r="J1128" s="6" t="s">
        <v>121</v>
      </c>
      <c r="K1128" s="6" t="s">
        <v>725</v>
      </c>
      <c r="L1128" s="11">
        <f>F1128*Controls!$B$6</f>
        <v>7</v>
      </c>
      <c r="M1128" s="11">
        <f>G1128*Controls!$B$6</f>
        <v>875</v>
      </c>
      <c r="N1128" s="12">
        <f>IF(L1128=0,0,SUMIFS('PSI Plan'!$N$6:$N$173,'PSI Plan'!$B$6:$B$173,B1128,'PSI Plan'!$C$6:$C$173,I1128))</f>
        <v>0</v>
      </c>
      <c r="O1128" s="11">
        <f t="shared" si="34"/>
        <v>0</v>
      </c>
      <c r="P1128" s="11">
        <f t="shared" si="35"/>
        <v>0</v>
      </c>
      <c r="Q1128" s="6"/>
      <c r="R1128" s="6"/>
      <c r="S1128" s="6"/>
      <c r="T1128" s="6"/>
    </row>
    <row r="1129" spans="1:20">
      <c r="A1129" s="6" t="s">
        <v>1277</v>
      </c>
      <c r="B1129" s="6" t="s">
        <v>69</v>
      </c>
      <c r="C1129" s="6" t="s">
        <v>90</v>
      </c>
      <c r="D1129" s="6" t="s">
        <v>119</v>
      </c>
      <c r="E1129" s="6" t="s">
        <v>120</v>
      </c>
      <c r="F1129" s="7">
        <v>18</v>
      </c>
      <c r="G1129" s="7">
        <v>2250</v>
      </c>
      <c r="H1129" s="16">
        <v>45290</v>
      </c>
      <c r="I1129" s="6">
        <v>52</v>
      </c>
      <c r="J1129" s="6" t="s">
        <v>121</v>
      </c>
      <c r="K1129" s="6" t="s">
        <v>725</v>
      </c>
      <c r="L1129" s="11">
        <f>F1129*Controls!$B$6</f>
        <v>18</v>
      </c>
      <c r="M1129" s="11">
        <f>G1129*Controls!$B$6</f>
        <v>2250</v>
      </c>
      <c r="N1129" s="12">
        <f>IF(L1129=0,0,SUMIFS('PSI Plan'!$N$6:$N$173,'PSI Plan'!$B$6:$B$173,B1129,'PSI Plan'!$C$6:$C$173,I1129))</f>
        <v>0</v>
      </c>
      <c r="O1129" s="11">
        <f t="shared" si="34"/>
        <v>0</v>
      </c>
      <c r="P1129" s="11">
        <f t="shared" si="35"/>
        <v>0</v>
      </c>
      <c r="Q1129" s="6"/>
      <c r="R1129" s="6"/>
      <c r="S1129" s="6"/>
      <c r="T1129" s="6"/>
    </row>
    <row r="1130" spans="1:20">
      <c r="A1130" s="6" t="s">
        <v>1278</v>
      </c>
      <c r="B1130" s="6" t="s">
        <v>66</v>
      </c>
      <c r="C1130" s="6" t="s">
        <v>90</v>
      </c>
      <c r="D1130" s="6" t="s">
        <v>119</v>
      </c>
      <c r="E1130" s="6" t="s">
        <v>120</v>
      </c>
      <c r="F1130" s="7">
        <v>10</v>
      </c>
      <c r="G1130" s="7">
        <v>1250</v>
      </c>
      <c r="H1130" s="16">
        <v>45244</v>
      </c>
      <c r="I1130" s="6">
        <v>46</v>
      </c>
      <c r="J1130" s="6" t="s">
        <v>121</v>
      </c>
      <c r="K1130" s="6" t="s">
        <v>139</v>
      </c>
      <c r="L1130" s="11">
        <f>F1130*Controls!$B$6</f>
        <v>10</v>
      </c>
      <c r="M1130" s="11">
        <f>G1130*Controls!$B$6</f>
        <v>1250</v>
      </c>
      <c r="N1130" s="12">
        <f>IF(L1130=0,0,SUMIFS('PSI Plan'!$N$6:$N$173,'PSI Plan'!$B$6:$B$173,B1130,'PSI Plan'!$C$6:$C$173,I1130))</f>
        <v>0</v>
      </c>
      <c r="O1130" s="11">
        <f t="shared" si="34"/>
        <v>0</v>
      </c>
      <c r="P1130" s="11">
        <f t="shared" si="35"/>
        <v>0</v>
      </c>
      <c r="Q1130" s="6"/>
      <c r="R1130" s="6"/>
      <c r="S1130" s="6"/>
      <c r="T1130" s="6"/>
    </row>
    <row r="1131" spans="1:20">
      <c r="A1131" s="6" t="s">
        <v>1279</v>
      </c>
      <c r="B1131" s="6" t="s">
        <v>77</v>
      </c>
      <c r="C1131" s="6" t="s">
        <v>90</v>
      </c>
      <c r="D1131" s="6" t="s">
        <v>119</v>
      </c>
      <c r="E1131" s="6" t="s">
        <v>120</v>
      </c>
      <c r="F1131" s="7">
        <v>16</v>
      </c>
      <c r="G1131" s="7">
        <v>2000</v>
      </c>
      <c r="H1131" s="16">
        <v>45212</v>
      </c>
      <c r="I1131" s="6">
        <v>41</v>
      </c>
      <c r="J1131" s="6" t="s">
        <v>121</v>
      </c>
      <c r="K1131" s="6" t="s">
        <v>139</v>
      </c>
      <c r="L1131" s="11">
        <f>F1131*Controls!$B$6</f>
        <v>16</v>
      </c>
      <c r="M1131" s="11">
        <f>G1131*Controls!$B$6</f>
        <v>2000</v>
      </c>
      <c r="N1131" s="12">
        <f>IF(L1131=0,0,SUMIFS('PSI Plan'!$N$6:$N$173,'PSI Plan'!$B$6:$B$173,B1131,'PSI Plan'!$C$6:$C$173,I1131))</f>
        <v>0</v>
      </c>
      <c r="O1131" s="11">
        <f t="shared" si="34"/>
        <v>0</v>
      </c>
      <c r="P1131" s="11">
        <f t="shared" si="35"/>
        <v>0</v>
      </c>
      <c r="Q1131" s="6"/>
      <c r="R1131" s="6"/>
      <c r="S1131" s="6"/>
      <c r="T1131" s="6"/>
    </row>
    <row r="1132" spans="1:20">
      <c r="A1132" s="6" t="s">
        <v>1280</v>
      </c>
      <c r="B1132" s="6" t="s">
        <v>76</v>
      </c>
      <c r="C1132" s="6" t="s">
        <v>90</v>
      </c>
      <c r="D1132" s="6" t="s">
        <v>119</v>
      </c>
      <c r="E1132" s="6" t="s">
        <v>120</v>
      </c>
      <c r="F1132" s="7">
        <v>5</v>
      </c>
      <c r="G1132" s="7">
        <v>625</v>
      </c>
      <c r="H1132" s="16">
        <v>45256</v>
      </c>
      <c r="I1132" s="6">
        <v>48</v>
      </c>
      <c r="J1132" s="6" t="s">
        <v>121</v>
      </c>
      <c r="K1132" s="6" t="s">
        <v>139</v>
      </c>
      <c r="L1132" s="11">
        <f>F1132*Controls!$B$6</f>
        <v>5</v>
      </c>
      <c r="M1132" s="11">
        <f>G1132*Controls!$B$6</f>
        <v>625</v>
      </c>
      <c r="N1132" s="12">
        <f>IF(L1132=0,0,SUMIFS('PSI Plan'!$N$6:$N$173,'PSI Plan'!$B$6:$B$173,B1132,'PSI Plan'!$C$6:$C$173,I1132))</f>
        <v>0</v>
      </c>
      <c r="O1132" s="11">
        <f t="shared" si="34"/>
        <v>0</v>
      </c>
      <c r="P1132" s="11">
        <f t="shared" si="35"/>
        <v>0</v>
      </c>
      <c r="Q1132" s="6"/>
      <c r="R1132" s="6"/>
      <c r="S1132" s="6"/>
      <c r="T1132" s="6"/>
    </row>
    <row r="1133" spans="1:20">
      <c r="A1133" s="6" t="s">
        <v>1281</v>
      </c>
      <c r="B1133" s="6" t="s">
        <v>69</v>
      </c>
      <c r="C1133" s="6" t="s">
        <v>90</v>
      </c>
      <c r="D1133" s="6" t="s">
        <v>119</v>
      </c>
      <c r="E1133" s="6" t="s">
        <v>120</v>
      </c>
      <c r="F1133" s="7">
        <v>14</v>
      </c>
      <c r="G1133" s="7">
        <v>1750</v>
      </c>
      <c r="H1133" s="16">
        <v>45231</v>
      </c>
      <c r="I1133" s="6">
        <v>44</v>
      </c>
      <c r="J1133" s="6" t="s">
        <v>121</v>
      </c>
      <c r="K1133" s="6" t="s">
        <v>139</v>
      </c>
      <c r="L1133" s="11">
        <f>F1133*Controls!$B$6</f>
        <v>14</v>
      </c>
      <c r="M1133" s="11">
        <f>G1133*Controls!$B$6</f>
        <v>1750</v>
      </c>
      <c r="N1133" s="12">
        <f>IF(L1133=0,0,SUMIFS('PSI Plan'!$N$6:$N$173,'PSI Plan'!$B$6:$B$173,B1133,'PSI Plan'!$C$6:$C$173,I1133))</f>
        <v>0</v>
      </c>
      <c r="O1133" s="11">
        <f t="shared" si="34"/>
        <v>0</v>
      </c>
      <c r="P1133" s="11">
        <f t="shared" si="35"/>
        <v>0</v>
      </c>
      <c r="Q1133" s="6"/>
      <c r="R1133" s="6"/>
      <c r="S1133" s="6"/>
      <c r="T1133" s="6"/>
    </row>
    <row r="1134" spans="1:20">
      <c r="A1134" s="6" t="s">
        <v>1282</v>
      </c>
      <c r="B1134" s="6" t="s">
        <v>69</v>
      </c>
      <c r="C1134" s="6" t="s">
        <v>90</v>
      </c>
      <c r="D1134" s="6" t="s">
        <v>119</v>
      </c>
      <c r="E1134" s="6" t="s">
        <v>120</v>
      </c>
      <c r="F1134" s="7">
        <v>5</v>
      </c>
      <c r="G1134" s="7">
        <v>625</v>
      </c>
      <c r="H1134" s="16">
        <v>45219</v>
      </c>
      <c r="I1134" s="6">
        <v>42</v>
      </c>
      <c r="J1134" s="6" t="s">
        <v>121</v>
      </c>
      <c r="K1134" s="6" t="s">
        <v>132</v>
      </c>
      <c r="L1134" s="11">
        <f>F1134*Controls!$B$6</f>
        <v>5</v>
      </c>
      <c r="M1134" s="11">
        <f>G1134*Controls!$B$6</f>
        <v>625</v>
      </c>
      <c r="N1134" s="12">
        <f>IF(L1134=0,0,SUMIFS('PSI Plan'!$N$6:$N$173,'PSI Plan'!$B$6:$B$173,B1134,'PSI Plan'!$C$6:$C$173,I1134))</f>
        <v>0</v>
      </c>
      <c r="O1134" s="11">
        <f t="shared" si="34"/>
        <v>0</v>
      </c>
      <c r="P1134" s="11">
        <f t="shared" si="35"/>
        <v>0</v>
      </c>
      <c r="Q1134" s="6"/>
      <c r="R1134" s="6"/>
      <c r="S1134" s="6"/>
      <c r="T1134" s="6"/>
    </row>
    <row r="1135" spans="1:20">
      <c r="A1135" s="6" t="s">
        <v>1283</v>
      </c>
      <c r="B1135" s="6" t="s">
        <v>76</v>
      </c>
      <c r="C1135" s="6" t="s">
        <v>90</v>
      </c>
      <c r="D1135" s="6" t="s">
        <v>119</v>
      </c>
      <c r="E1135" s="6" t="s">
        <v>120</v>
      </c>
      <c r="F1135" s="7">
        <v>1</v>
      </c>
      <c r="G1135" s="7">
        <v>125</v>
      </c>
      <c r="H1135" s="16">
        <v>45234</v>
      </c>
      <c r="I1135" s="6">
        <v>44</v>
      </c>
      <c r="J1135" s="6" t="s">
        <v>121</v>
      </c>
      <c r="K1135" s="6" t="s">
        <v>298</v>
      </c>
      <c r="L1135" s="11">
        <f>F1135*Controls!$B$6</f>
        <v>1</v>
      </c>
      <c r="M1135" s="11">
        <f>G1135*Controls!$B$6</f>
        <v>125</v>
      </c>
      <c r="N1135" s="12">
        <f>IF(L1135=0,0,SUMIFS('PSI Plan'!$N$6:$N$173,'PSI Plan'!$B$6:$B$173,B1135,'PSI Plan'!$C$6:$C$173,I1135))</f>
        <v>0</v>
      </c>
      <c r="O1135" s="11">
        <f t="shared" si="34"/>
        <v>0</v>
      </c>
      <c r="P1135" s="11">
        <f t="shared" si="35"/>
        <v>0</v>
      </c>
      <c r="Q1135" s="6"/>
      <c r="R1135" s="6"/>
      <c r="S1135" s="6"/>
      <c r="T1135" s="6"/>
    </row>
    <row r="1136" spans="1:20">
      <c r="A1136" s="6" t="s">
        <v>1284</v>
      </c>
      <c r="B1136" s="6" t="s">
        <v>69</v>
      </c>
      <c r="C1136" s="6" t="s">
        <v>90</v>
      </c>
      <c r="D1136" s="6" t="s">
        <v>119</v>
      </c>
      <c r="E1136" s="6" t="s">
        <v>120</v>
      </c>
      <c r="F1136" s="7">
        <v>10</v>
      </c>
      <c r="G1136" s="7">
        <v>1250</v>
      </c>
      <c r="H1136" s="16">
        <v>45212</v>
      </c>
      <c r="I1136" s="6">
        <v>41</v>
      </c>
      <c r="J1136" s="6" t="s">
        <v>121</v>
      </c>
      <c r="K1136" s="6" t="s">
        <v>298</v>
      </c>
      <c r="L1136" s="11">
        <f>F1136*Controls!$B$6</f>
        <v>10</v>
      </c>
      <c r="M1136" s="11">
        <f>G1136*Controls!$B$6</f>
        <v>1250</v>
      </c>
      <c r="N1136" s="12">
        <f>IF(L1136=0,0,SUMIFS('PSI Plan'!$N$6:$N$173,'PSI Plan'!$B$6:$B$173,B1136,'PSI Plan'!$C$6:$C$173,I1136))</f>
        <v>0</v>
      </c>
      <c r="O1136" s="11">
        <f t="shared" si="34"/>
        <v>0</v>
      </c>
      <c r="P1136" s="11">
        <f t="shared" si="35"/>
        <v>0</v>
      </c>
      <c r="Q1136" s="6"/>
      <c r="R1136" s="6"/>
      <c r="S1136" s="6"/>
      <c r="T1136" s="6"/>
    </row>
    <row r="1137" spans="1:20">
      <c r="A1137" s="6" t="s">
        <v>1285</v>
      </c>
      <c r="B1137" s="6" t="s">
        <v>66</v>
      </c>
      <c r="C1137" s="6" t="s">
        <v>90</v>
      </c>
      <c r="D1137" s="6" t="s">
        <v>119</v>
      </c>
      <c r="E1137" s="6" t="s">
        <v>120</v>
      </c>
      <c r="F1137" s="7">
        <v>11</v>
      </c>
      <c r="G1137" s="7">
        <v>1375</v>
      </c>
      <c r="H1137" s="16">
        <v>45210</v>
      </c>
      <c r="I1137" s="6">
        <v>41</v>
      </c>
      <c r="J1137" s="6" t="s">
        <v>121</v>
      </c>
      <c r="K1137" s="6" t="s">
        <v>122</v>
      </c>
      <c r="L1137" s="11">
        <f>F1137*Controls!$B$6</f>
        <v>11</v>
      </c>
      <c r="M1137" s="11">
        <f>G1137*Controls!$B$6</f>
        <v>1375</v>
      </c>
      <c r="N1137" s="12">
        <f>IF(L1137=0,0,SUMIFS('PSI Plan'!$N$6:$N$173,'PSI Plan'!$B$6:$B$173,B1137,'PSI Plan'!$C$6:$C$173,I1137))</f>
        <v>0.22897465437788017</v>
      </c>
      <c r="O1137" s="11">
        <f t="shared" si="34"/>
        <v>2.5187211981566819</v>
      </c>
      <c r="P1137" s="11">
        <f t="shared" si="35"/>
        <v>314.84014976958525</v>
      </c>
      <c r="Q1137" s="6"/>
      <c r="R1137" s="6"/>
      <c r="S1137" s="6"/>
      <c r="T1137" s="6"/>
    </row>
    <row r="1138" spans="1:20">
      <c r="A1138" s="6" t="s">
        <v>1286</v>
      </c>
      <c r="B1138" s="6" t="s">
        <v>77</v>
      </c>
      <c r="C1138" s="6" t="s">
        <v>90</v>
      </c>
      <c r="D1138" s="6" t="s">
        <v>119</v>
      </c>
      <c r="E1138" s="6" t="s">
        <v>120</v>
      </c>
      <c r="F1138" s="7">
        <v>17</v>
      </c>
      <c r="G1138" s="7">
        <v>2125</v>
      </c>
      <c r="H1138" s="16">
        <v>45214</v>
      </c>
      <c r="I1138" s="6">
        <v>42</v>
      </c>
      <c r="J1138" s="6" t="s">
        <v>121</v>
      </c>
      <c r="K1138" s="6" t="s">
        <v>122</v>
      </c>
      <c r="L1138" s="11">
        <f>F1138*Controls!$B$6</f>
        <v>17</v>
      </c>
      <c r="M1138" s="11">
        <f>G1138*Controls!$B$6</f>
        <v>2125</v>
      </c>
      <c r="N1138" s="12">
        <f>IF(L1138=0,0,SUMIFS('PSI Plan'!$N$6:$N$173,'PSI Plan'!$B$6:$B$173,B1138,'PSI Plan'!$C$6:$C$173,I1138))</f>
        <v>0</v>
      </c>
      <c r="O1138" s="11">
        <f t="shared" si="34"/>
        <v>0</v>
      </c>
      <c r="P1138" s="11">
        <f t="shared" si="35"/>
        <v>0</v>
      </c>
      <c r="Q1138" s="6"/>
      <c r="R1138" s="6"/>
      <c r="S1138" s="6"/>
      <c r="T1138" s="6"/>
    </row>
    <row r="1139" spans="1:20">
      <c r="A1139" s="6" t="s">
        <v>1287</v>
      </c>
      <c r="B1139" s="6" t="s">
        <v>69</v>
      </c>
      <c r="C1139" s="6" t="s">
        <v>90</v>
      </c>
      <c r="D1139" s="6" t="s">
        <v>119</v>
      </c>
      <c r="E1139" s="6" t="s">
        <v>120</v>
      </c>
      <c r="F1139" s="7">
        <v>52</v>
      </c>
      <c r="G1139" s="7">
        <v>6500</v>
      </c>
      <c r="H1139" s="16">
        <v>45224</v>
      </c>
      <c r="I1139" s="6">
        <v>43</v>
      </c>
      <c r="J1139" s="6" t="s">
        <v>121</v>
      </c>
      <c r="K1139" s="6" t="s">
        <v>122</v>
      </c>
      <c r="L1139" s="11">
        <f>F1139*Controls!$B$6</f>
        <v>52</v>
      </c>
      <c r="M1139" s="11">
        <f>G1139*Controls!$B$6</f>
        <v>6500</v>
      </c>
      <c r="N1139" s="12">
        <f>IF(L1139=0,0,SUMIFS('PSI Plan'!$N$6:$N$173,'PSI Plan'!$B$6:$B$173,B1139,'PSI Plan'!$C$6:$C$173,I1139))</f>
        <v>0</v>
      </c>
      <c r="O1139" s="11">
        <f t="shared" si="34"/>
        <v>0</v>
      </c>
      <c r="P1139" s="11">
        <f t="shared" si="35"/>
        <v>0</v>
      </c>
      <c r="Q1139" s="6"/>
      <c r="R1139" s="6"/>
      <c r="S1139" s="6"/>
      <c r="T1139" s="6"/>
    </row>
    <row r="1140" spans="1:20">
      <c r="A1140" s="6" t="s">
        <v>1288</v>
      </c>
      <c r="B1140" s="6" t="s">
        <v>66</v>
      </c>
      <c r="C1140" s="6" t="s">
        <v>90</v>
      </c>
      <c r="D1140" s="6" t="s">
        <v>119</v>
      </c>
      <c r="E1140" s="6" t="s">
        <v>120</v>
      </c>
      <c r="F1140" s="7">
        <v>13</v>
      </c>
      <c r="G1140" s="7">
        <v>1625</v>
      </c>
      <c r="H1140" s="16">
        <v>45230</v>
      </c>
      <c r="I1140" s="6">
        <v>44</v>
      </c>
      <c r="J1140" s="6" t="s">
        <v>121</v>
      </c>
      <c r="K1140" s="6" t="s">
        <v>171</v>
      </c>
      <c r="L1140" s="11">
        <f>F1140*Controls!$B$6</f>
        <v>13</v>
      </c>
      <c r="M1140" s="11">
        <f>G1140*Controls!$B$6</f>
        <v>1625</v>
      </c>
      <c r="N1140" s="12">
        <f>IF(L1140=0,0,SUMIFS('PSI Plan'!$N$6:$N$173,'PSI Plan'!$B$6:$B$173,B1140,'PSI Plan'!$C$6:$C$173,I1140))</f>
        <v>0</v>
      </c>
      <c r="O1140" s="11">
        <f t="shared" si="34"/>
        <v>0</v>
      </c>
      <c r="P1140" s="11">
        <f t="shared" si="35"/>
        <v>0</v>
      </c>
      <c r="Q1140" s="6"/>
      <c r="R1140" s="6"/>
      <c r="S1140" s="6"/>
      <c r="T1140" s="6"/>
    </row>
    <row r="1141" spans="1:20">
      <c r="A1141" s="6" t="s">
        <v>1289</v>
      </c>
      <c r="B1141" s="6" t="s">
        <v>77</v>
      </c>
      <c r="C1141" s="6" t="s">
        <v>90</v>
      </c>
      <c r="D1141" s="6" t="s">
        <v>119</v>
      </c>
      <c r="E1141" s="6" t="s">
        <v>120</v>
      </c>
      <c r="F1141" s="7">
        <v>26</v>
      </c>
      <c r="G1141" s="7">
        <v>3250</v>
      </c>
      <c r="H1141" s="16">
        <v>45272</v>
      </c>
      <c r="I1141" s="6">
        <v>50</v>
      </c>
      <c r="J1141" s="6" t="s">
        <v>121</v>
      </c>
      <c r="K1141" s="6" t="s">
        <v>171</v>
      </c>
      <c r="L1141" s="11">
        <f>F1141*Controls!$B$6</f>
        <v>26</v>
      </c>
      <c r="M1141" s="11">
        <f>G1141*Controls!$B$6</f>
        <v>3250</v>
      </c>
      <c r="N1141" s="12">
        <f>IF(L1141=0,0,SUMIFS('PSI Plan'!$N$6:$N$173,'PSI Plan'!$B$6:$B$173,B1141,'PSI Plan'!$C$6:$C$173,I1141))</f>
        <v>0</v>
      </c>
      <c r="O1141" s="11">
        <f t="shared" si="34"/>
        <v>0</v>
      </c>
      <c r="P1141" s="11">
        <f t="shared" si="35"/>
        <v>0</v>
      </c>
      <c r="Q1141" s="6"/>
      <c r="R1141" s="6"/>
      <c r="S1141" s="6"/>
      <c r="T1141" s="6"/>
    </row>
    <row r="1142" spans="1:20">
      <c r="A1142" s="6" t="s">
        <v>1290</v>
      </c>
      <c r="B1142" s="6" t="s">
        <v>67</v>
      </c>
      <c r="C1142" s="6" t="s">
        <v>90</v>
      </c>
      <c r="D1142" s="6" t="s">
        <v>119</v>
      </c>
      <c r="E1142" s="6" t="s">
        <v>120</v>
      </c>
      <c r="F1142" s="7">
        <v>13</v>
      </c>
      <c r="G1142" s="7">
        <v>1625</v>
      </c>
      <c r="H1142" s="16">
        <v>45269</v>
      </c>
      <c r="I1142" s="6">
        <v>49</v>
      </c>
      <c r="J1142" s="6" t="s">
        <v>121</v>
      </c>
      <c r="K1142" s="6" t="s">
        <v>171</v>
      </c>
      <c r="L1142" s="11">
        <f>F1142*Controls!$B$6</f>
        <v>13</v>
      </c>
      <c r="M1142" s="11">
        <f>G1142*Controls!$B$6</f>
        <v>1625</v>
      </c>
      <c r="N1142" s="12">
        <f>IF(L1142=0,0,SUMIFS('PSI Plan'!$N$6:$N$173,'PSI Plan'!$B$6:$B$173,B1142,'PSI Plan'!$C$6:$C$173,I1142))</f>
        <v>0</v>
      </c>
      <c r="O1142" s="11">
        <f t="shared" si="34"/>
        <v>0</v>
      </c>
      <c r="P1142" s="11">
        <f t="shared" si="35"/>
        <v>0</v>
      </c>
      <c r="Q1142" s="6"/>
      <c r="R1142" s="6"/>
      <c r="S1142" s="6"/>
      <c r="T1142" s="6"/>
    </row>
    <row r="1143" spans="1:20">
      <c r="A1143" s="6" t="s">
        <v>1291</v>
      </c>
      <c r="B1143" s="6" t="s">
        <v>69</v>
      </c>
      <c r="C1143" s="6" t="s">
        <v>90</v>
      </c>
      <c r="D1143" s="6" t="s">
        <v>119</v>
      </c>
      <c r="E1143" s="6" t="s">
        <v>120</v>
      </c>
      <c r="F1143" s="7">
        <v>26</v>
      </c>
      <c r="G1143" s="7">
        <v>3250</v>
      </c>
      <c r="H1143" s="16">
        <v>45214</v>
      </c>
      <c r="I1143" s="6">
        <v>42</v>
      </c>
      <c r="J1143" s="6" t="s">
        <v>121</v>
      </c>
      <c r="K1143" s="6" t="s">
        <v>171</v>
      </c>
      <c r="L1143" s="11">
        <f>F1143*Controls!$B$6</f>
        <v>26</v>
      </c>
      <c r="M1143" s="11">
        <f>G1143*Controls!$B$6</f>
        <v>3250</v>
      </c>
      <c r="N1143" s="12">
        <f>IF(L1143=0,0,SUMIFS('PSI Plan'!$N$6:$N$173,'PSI Plan'!$B$6:$B$173,B1143,'PSI Plan'!$C$6:$C$173,I1143))</f>
        <v>0</v>
      </c>
      <c r="O1143" s="11">
        <f t="shared" si="34"/>
        <v>0</v>
      </c>
      <c r="P1143" s="11">
        <f t="shared" si="35"/>
        <v>0</v>
      </c>
      <c r="Q1143" s="6"/>
      <c r="R1143" s="6"/>
      <c r="S1143" s="6"/>
      <c r="T1143" s="6"/>
    </row>
    <row r="1144" spans="1:20">
      <c r="A1144" s="6" t="s">
        <v>1292</v>
      </c>
      <c r="B1144" s="6" t="s">
        <v>66</v>
      </c>
      <c r="C1144" s="6" t="s">
        <v>90</v>
      </c>
      <c r="D1144" s="6" t="s">
        <v>119</v>
      </c>
      <c r="E1144" s="6" t="s">
        <v>120</v>
      </c>
      <c r="F1144" s="7">
        <v>13</v>
      </c>
      <c r="G1144" s="7">
        <v>1625</v>
      </c>
      <c r="H1144" s="16">
        <v>45236</v>
      </c>
      <c r="I1144" s="6">
        <v>45</v>
      </c>
      <c r="J1144" s="6" t="s">
        <v>121</v>
      </c>
      <c r="K1144" s="6" t="s">
        <v>855</v>
      </c>
      <c r="L1144" s="11">
        <f>F1144*Controls!$B$6</f>
        <v>13</v>
      </c>
      <c r="M1144" s="11">
        <f>G1144*Controls!$B$6</f>
        <v>1625</v>
      </c>
      <c r="N1144" s="12">
        <f>IF(L1144=0,0,SUMIFS('PSI Plan'!$N$6:$N$173,'PSI Plan'!$B$6:$B$173,B1144,'PSI Plan'!$C$6:$C$173,I1144))</f>
        <v>0</v>
      </c>
      <c r="O1144" s="11">
        <f t="shared" si="34"/>
        <v>0</v>
      </c>
      <c r="P1144" s="11">
        <f t="shared" si="35"/>
        <v>0</v>
      </c>
      <c r="Q1144" s="6"/>
      <c r="R1144" s="6"/>
      <c r="S1144" s="6"/>
      <c r="T1144" s="6"/>
    </row>
    <row r="1145" spans="1:20">
      <c r="A1145" s="6" t="s">
        <v>1293</v>
      </c>
      <c r="B1145" s="6" t="s">
        <v>77</v>
      </c>
      <c r="C1145" s="6" t="s">
        <v>90</v>
      </c>
      <c r="D1145" s="6" t="s">
        <v>119</v>
      </c>
      <c r="E1145" s="6" t="s">
        <v>120</v>
      </c>
      <c r="F1145" s="7">
        <v>13</v>
      </c>
      <c r="G1145" s="7">
        <v>1625</v>
      </c>
      <c r="H1145" s="16">
        <v>45215</v>
      </c>
      <c r="I1145" s="6">
        <v>42</v>
      </c>
      <c r="J1145" s="6" t="s">
        <v>121</v>
      </c>
      <c r="K1145" s="6" t="s">
        <v>855</v>
      </c>
      <c r="L1145" s="11">
        <f>F1145*Controls!$B$6</f>
        <v>13</v>
      </c>
      <c r="M1145" s="11">
        <f>G1145*Controls!$B$6</f>
        <v>1625</v>
      </c>
      <c r="N1145" s="12">
        <f>IF(L1145=0,0,SUMIFS('PSI Plan'!$N$6:$N$173,'PSI Plan'!$B$6:$B$173,B1145,'PSI Plan'!$C$6:$C$173,I1145))</f>
        <v>0</v>
      </c>
      <c r="O1145" s="11">
        <f t="shared" si="34"/>
        <v>0</v>
      </c>
      <c r="P1145" s="11">
        <f t="shared" si="35"/>
        <v>0</v>
      </c>
      <c r="Q1145" s="6"/>
      <c r="R1145" s="6"/>
      <c r="S1145" s="6"/>
      <c r="T1145" s="6"/>
    </row>
    <row r="1146" spans="1:20">
      <c r="A1146" s="6" t="s">
        <v>1294</v>
      </c>
      <c r="B1146" s="6" t="s">
        <v>69</v>
      </c>
      <c r="C1146" s="6" t="s">
        <v>90</v>
      </c>
      <c r="D1146" s="6" t="s">
        <v>119</v>
      </c>
      <c r="E1146" s="6" t="s">
        <v>120</v>
      </c>
      <c r="F1146" s="7">
        <v>13</v>
      </c>
      <c r="G1146" s="7">
        <v>1625</v>
      </c>
      <c r="H1146" s="16">
        <v>45247</v>
      </c>
      <c r="I1146" s="6">
        <v>46</v>
      </c>
      <c r="J1146" s="6" t="s">
        <v>121</v>
      </c>
      <c r="K1146" s="6" t="s">
        <v>855</v>
      </c>
      <c r="L1146" s="11">
        <f>F1146*Controls!$B$6</f>
        <v>13</v>
      </c>
      <c r="M1146" s="11">
        <f>G1146*Controls!$B$6</f>
        <v>1625</v>
      </c>
      <c r="N1146" s="12">
        <f>IF(L1146=0,0,SUMIFS('PSI Plan'!$N$6:$N$173,'PSI Plan'!$B$6:$B$173,B1146,'PSI Plan'!$C$6:$C$173,I1146))</f>
        <v>0</v>
      </c>
      <c r="O1146" s="11">
        <f t="shared" si="34"/>
        <v>0</v>
      </c>
      <c r="P1146" s="11">
        <f t="shared" si="35"/>
        <v>0</v>
      </c>
      <c r="Q1146" s="6"/>
      <c r="R1146" s="6"/>
      <c r="S1146" s="6"/>
      <c r="T1146" s="6"/>
    </row>
    <row r="1147" spans="1:20">
      <c r="A1147" s="6" t="s">
        <v>1295</v>
      </c>
      <c r="B1147" s="6" t="s">
        <v>66</v>
      </c>
      <c r="C1147" s="6" t="s">
        <v>90</v>
      </c>
      <c r="D1147" s="6" t="s">
        <v>119</v>
      </c>
      <c r="E1147" s="6" t="s">
        <v>120</v>
      </c>
      <c r="F1147" s="7">
        <v>18</v>
      </c>
      <c r="G1147" s="7">
        <v>2250</v>
      </c>
      <c r="H1147" s="16">
        <v>45203</v>
      </c>
      <c r="I1147" s="6">
        <v>40</v>
      </c>
      <c r="J1147" s="6" t="s">
        <v>121</v>
      </c>
      <c r="K1147" s="6" t="s">
        <v>122</v>
      </c>
      <c r="L1147" s="11">
        <f>F1147*Controls!$B$6</f>
        <v>18</v>
      </c>
      <c r="M1147" s="11">
        <f>G1147*Controls!$B$6</f>
        <v>2250</v>
      </c>
      <c r="N1147" s="12">
        <f>IF(L1147=0,0,SUMIFS('PSI Plan'!$N$6:$N$173,'PSI Plan'!$B$6:$B$173,B1147,'PSI Plan'!$C$6:$C$173,I1147))</f>
        <v>0</v>
      </c>
      <c r="O1147" s="11">
        <f t="shared" si="34"/>
        <v>0</v>
      </c>
      <c r="P1147" s="11">
        <f t="shared" si="35"/>
        <v>0</v>
      </c>
      <c r="Q1147" s="6"/>
      <c r="R1147" s="6"/>
      <c r="S1147" s="6"/>
      <c r="T1147" s="6"/>
    </row>
    <row r="1148" spans="1:20">
      <c r="A1148" s="6" t="s">
        <v>1296</v>
      </c>
      <c r="B1148" s="6" t="s">
        <v>77</v>
      </c>
      <c r="C1148" s="6" t="s">
        <v>90</v>
      </c>
      <c r="D1148" s="6" t="s">
        <v>119</v>
      </c>
      <c r="E1148" s="6" t="s">
        <v>120</v>
      </c>
      <c r="F1148" s="7">
        <v>52</v>
      </c>
      <c r="G1148" s="7">
        <v>6500</v>
      </c>
      <c r="H1148" s="16">
        <v>45250</v>
      </c>
      <c r="I1148" s="6">
        <v>47</v>
      </c>
      <c r="J1148" s="6" t="s">
        <v>121</v>
      </c>
      <c r="K1148" s="6" t="s">
        <v>122</v>
      </c>
      <c r="L1148" s="11">
        <f>F1148*Controls!$B$6</f>
        <v>52</v>
      </c>
      <c r="M1148" s="11">
        <f>G1148*Controls!$B$6</f>
        <v>6500</v>
      </c>
      <c r="N1148" s="12">
        <f>IF(L1148=0,0,SUMIFS('PSI Plan'!$N$6:$N$173,'PSI Plan'!$B$6:$B$173,B1148,'PSI Plan'!$C$6:$C$173,I1148))</f>
        <v>0</v>
      </c>
      <c r="O1148" s="11">
        <f t="shared" si="34"/>
        <v>0</v>
      </c>
      <c r="P1148" s="11">
        <f t="shared" si="35"/>
        <v>0</v>
      </c>
      <c r="Q1148" s="6"/>
      <c r="R1148" s="6"/>
      <c r="S1148" s="6"/>
      <c r="T1148" s="6"/>
    </row>
    <row r="1149" spans="1:20">
      <c r="A1149" s="6" t="s">
        <v>1297</v>
      </c>
      <c r="B1149" s="6" t="s">
        <v>76</v>
      </c>
      <c r="C1149" s="6" t="s">
        <v>90</v>
      </c>
      <c r="D1149" s="6" t="s">
        <v>119</v>
      </c>
      <c r="E1149" s="6" t="s">
        <v>120</v>
      </c>
      <c r="F1149" s="7">
        <v>12</v>
      </c>
      <c r="G1149" s="7">
        <v>1500</v>
      </c>
      <c r="H1149" s="16">
        <v>45207</v>
      </c>
      <c r="I1149" s="6">
        <v>41</v>
      </c>
      <c r="J1149" s="6" t="s">
        <v>121</v>
      </c>
      <c r="K1149" s="6" t="s">
        <v>122</v>
      </c>
      <c r="L1149" s="11">
        <f>F1149*Controls!$B$6</f>
        <v>12</v>
      </c>
      <c r="M1149" s="11">
        <f>G1149*Controls!$B$6</f>
        <v>1500</v>
      </c>
      <c r="N1149" s="12">
        <f>IF(L1149=0,0,SUMIFS('PSI Plan'!$N$6:$N$173,'PSI Plan'!$B$6:$B$173,B1149,'PSI Plan'!$C$6:$C$173,I1149))</f>
        <v>0</v>
      </c>
      <c r="O1149" s="11">
        <f t="shared" si="34"/>
        <v>0</v>
      </c>
      <c r="P1149" s="11">
        <f t="shared" si="35"/>
        <v>0</v>
      </c>
      <c r="Q1149" s="6"/>
      <c r="R1149" s="6"/>
      <c r="S1149" s="6"/>
      <c r="T1149" s="6"/>
    </row>
    <row r="1150" spans="1:20">
      <c r="A1150" s="6" t="s">
        <v>1298</v>
      </c>
      <c r="B1150" s="6" t="s">
        <v>67</v>
      </c>
      <c r="C1150" s="6" t="s">
        <v>90</v>
      </c>
      <c r="D1150" s="6" t="s">
        <v>119</v>
      </c>
      <c r="E1150" s="6" t="s">
        <v>120</v>
      </c>
      <c r="F1150" s="7">
        <v>52</v>
      </c>
      <c r="G1150" s="7">
        <v>6500</v>
      </c>
      <c r="H1150" s="16">
        <v>45221</v>
      </c>
      <c r="I1150" s="6">
        <v>43</v>
      </c>
      <c r="J1150" s="6" t="s">
        <v>121</v>
      </c>
      <c r="K1150" s="6" t="s">
        <v>122</v>
      </c>
      <c r="L1150" s="11">
        <f>F1150*Controls!$B$6</f>
        <v>52</v>
      </c>
      <c r="M1150" s="11">
        <f>G1150*Controls!$B$6</f>
        <v>6500</v>
      </c>
      <c r="N1150" s="12">
        <f>IF(L1150=0,0,SUMIFS('PSI Plan'!$N$6:$N$173,'PSI Plan'!$B$6:$B$173,B1150,'PSI Plan'!$C$6:$C$173,I1150))</f>
        <v>0</v>
      </c>
      <c r="O1150" s="11">
        <f t="shared" si="34"/>
        <v>0</v>
      </c>
      <c r="P1150" s="11">
        <f t="shared" si="35"/>
        <v>0</v>
      </c>
      <c r="Q1150" s="6"/>
      <c r="R1150" s="6"/>
      <c r="S1150" s="6"/>
      <c r="T1150" s="6"/>
    </row>
    <row r="1151" spans="1:20">
      <c r="A1151" s="6" t="s">
        <v>1299</v>
      </c>
      <c r="B1151" s="6" t="s">
        <v>69</v>
      </c>
      <c r="C1151" s="6" t="s">
        <v>90</v>
      </c>
      <c r="D1151" s="6" t="s">
        <v>119</v>
      </c>
      <c r="E1151" s="6" t="s">
        <v>120</v>
      </c>
      <c r="F1151" s="7">
        <v>26</v>
      </c>
      <c r="G1151" s="7">
        <v>3250</v>
      </c>
      <c r="H1151" s="16">
        <v>45288</v>
      </c>
      <c r="I1151" s="6">
        <v>52</v>
      </c>
      <c r="J1151" s="6" t="s">
        <v>121</v>
      </c>
      <c r="K1151" s="6" t="s">
        <v>122</v>
      </c>
      <c r="L1151" s="11">
        <f>F1151*Controls!$B$6</f>
        <v>26</v>
      </c>
      <c r="M1151" s="11">
        <f>G1151*Controls!$B$6</f>
        <v>3250</v>
      </c>
      <c r="N1151" s="12">
        <f>IF(L1151=0,0,SUMIFS('PSI Plan'!$N$6:$N$173,'PSI Plan'!$B$6:$B$173,B1151,'PSI Plan'!$C$6:$C$173,I1151))</f>
        <v>0</v>
      </c>
      <c r="O1151" s="11">
        <f t="shared" si="34"/>
        <v>0</v>
      </c>
      <c r="P1151" s="11">
        <f t="shared" si="35"/>
        <v>0</v>
      </c>
      <c r="Q1151" s="6"/>
      <c r="R1151" s="6"/>
      <c r="S1151" s="6"/>
      <c r="T1151" s="6"/>
    </row>
    <row r="1152" spans="1:20">
      <c r="A1152" s="6" t="s">
        <v>1300</v>
      </c>
      <c r="B1152" s="6" t="s">
        <v>66</v>
      </c>
      <c r="C1152" s="6" t="s">
        <v>99</v>
      </c>
      <c r="D1152" s="6" t="s">
        <v>319</v>
      </c>
      <c r="E1152" s="6" t="s">
        <v>120</v>
      </c>
      <c r="F1152" s="7">
        <v>104</v>
      </c>
      <c r="G1152" s="7">
        <v>13000</v>
      </c>
      <c r="H1152" s="16">
        <v>45287</v>
      </c>
      <c r="I1152" s="6">
        <v>52</v>
      </c>
      <c r="J1152" s="6" t="s">
        <v>121</v>
      </c>
      <c r="K1152" s="6" t="s">
        <v>344</v>
      </c>
      <c r="L1152" s="11">
        <f>F1152*Controls!$B$6</f>
        <v>104</v>
      </c>
      <c r="M1152" s="11">
        <f>G1152*Controls!$B$6</f>
        <v>13000</v>
      </c>
      <c r="N1152" s="12">
        <f>IF(L1152=0,0,SUMIFS('PSI Plan'!$N$6:$N$173,'PSI Plan'!$B$6:$B$173,B1152,'PSI Plan'!$C$6:$C$173,I1152))</f>
        <v>0</v>
      </c>
      <c r="O1152" s="11">
        <f t="shared" si="34"/>
        <v>0</v>
      </c>
      <c r="P1152" s="11">
        <f t="shared" si="35"/>
        <v>0</v>
      </c>
      <c r="Q1152" s="6"/>
      <c r="R1152" s="6"/>
      <c r="S1152" s="6"/>
      <c r="T1152" s="6"/>
    </row>
    <row r="1153" spans="1:20">
      <c r="A1153" s="6" t="s">
        <v>1301</v>
      </c>
      <c r="B1153" s="6" t="s">
        <v>77</v>
      </c>
      <c r="C1153" s="6" t="s">
        <v>99</v>
      </c>
      <c r="D1153" s="6" t="s">
        <v>319</v>
      </c>
      <c r="E1153" s="6" t="s">
        <v>120</v>
      </c>
      <c r="F1153" s="7">
        <v>104</v>
      </c>
      <c r="G1153" s="7">
        <v>13000</v>
      </c>
      <c r="H1153" s="16">
        <v>45216</v>
      </c>
      <c r="I1153" s="6">
        <v>42</v>
      </c>
      <c r="J1153" s="6" t="s">
        <v>121</v>
      </c>
      <c r="K1153" s="6" t="s">
        <v>344</v>
      </c>
      <c r="L1153" s="11">
        <f>F1153*Controls!$B$6</f>
        <v>104</v>
      </c>
      <c r="M1153" s="11">
        <f>G1153*Controls!$B$6</f>
        <v>13000</v>
      </c>
      <c r="N1153" s="12">
        <f>IF(L1153=0,0,SUMIFS('PSI Plan'!$N$6:$N$173,'PSI Plan'!$B$6:$B$173,B1153,'PSI Plan'!$C$6:$C$173,I1153))</f>
        <v>0</v>
      </c>
      <c r="O1153" s="11">
        <f t="shared" si="34"/>
        <v>0</v>
      </c>
      <c r="P1153" s="11">
        <f t="shared" si="35"/>
        <v>0</v>
      </c>
      <c r="Q1153" s="6"/>
      <c r="R1153" s="6"/>
      <c r="S1153" s="6"/>
      <c r="T1153" s="6"/>
    </row>
    <row r="1154" spans="1:20">
      <c r="A1154" s="6" t="s">
        <v>1302</v>
      </c>
      <c r="B1154" s="6" t="s">
        <v>67</v>
      </c>
      <c r="C1154" s="6" t="s">
        <v>99</v>
      </c>
      <c r="D1154" s="6" t="s">
        <v>319</v>
      </c>
      <c r="E1154" s="6" t="s">
        <v>120</v>
      </c>
      <c r="F1154" s="7">
        <v>52</v>
      </c>
      <c r="G1154" s="7">
        <v>6500</v>
      </c>
      <c r="H1154" s="16">
        <v>45267</v>
      </c>
      <c r="I1154" s="6">
        <v>49</v>
      </c>
      <c r="J1154" s="6" t="s">
        <v>121</v>
      </c>
      <c r="K1154" s="6" t="s">
        <v>344</v>
      </c>
      <c r="L1154" s="11">
        <f>F1154*Controls!$B$6</f>
        <v>52</v>
      </c>
      <c r="M1154" s="11">
        <f>G1154*Controls!$B$6</f>
        <v>6500</v>
      </c>
      <c r="N1154" s="12">
        <f>IF(L1154=0,0,SUMIFS('PSI Plan'!$N$6:$N$173,'PSI Plan'!$B$6:$B$173,B1154,'PSI Plan'!$C$6:$C$173,I1154))</f>
        <v>0</v>
      </c>
      <c r="O1154" s="11">
        <f t="shared" ref="O1154:O1217" si="36">L1154*N1154</f>
        <v>0</v>
      </c>
      <c r="P1154" s="11">
        <f t="shared" ref="P1154:P1217" si="37">M1154*N1154</f>
        <v>0</v>
      </c>
      <c r="Q1154" s="6"/>
      <c r="R1154" s="6"/>
      <c r="S1154" s="6"/>
      <c r="T1154" s="6"/>
    </row>
    <row r="1155" spans="1:20">
      <c r="A1155" s="6" t="s">
        <v>1303</v>
      </c>
      <c r="B1155" s="6" t="s">
        <v>69</v>
      </c>
      <c r="C1155" s="6" t="s">
        <v>99</v>
      </c>
      <c r="D1155" s="6" t="s">
        <v>319</v>
      </c>
      <c r="E1155" s="6" t="s">
        <v>120</v>
      </c>
      <c r="F1155" s="7">
        <v>104</v>
      </c>
      <c r="G1155" s="7">
        <v>13000</v>
      </c>
      <c r="H1155" s="16">
        <v>45234</v>
      </c>
      <c r="I1155" s="6">
        <v>44</v>
      </c>
      <c r="J1155" s="6" t="s">
        <v>121</v>
      </c>
      <c r="K1155" s="6" t="s">
        <v>344</v>
      </c>
      <c r="L1155" s="11">
        <f>F1155*Controls!$B$6</f>
        <v>104</v>
      </c>
      <c r="M1155" s="11">
        <f>G1155*Controls!$B$6</f>
        <v>13000</v>
      </c>
      <c r="N1155" s="12">
        <f>IF(L1155=0,0,SUMIFS('PSI Plan'!$N$6:$N$173,'PSI Plan'!$B$6:$B$173,B1155,'PSI Plan'!$C$6:$C$173,I1155))</f>
        <v>0</v>
      </c>
      <c r="O1155" s="11">
        <f t="shared" si="36"/>
        <v>0</v>
      </c>
      <c r="P1155" s="11">
        <f t="shared" si="37"/>
        <v>0</v>
      </c>
      <c r="Q1155" s="6"/>
      <c r="R1155" s="6"/>
      <c r="S1155" s="6"/>
      <c r="T1155" s="6"/>
    </row>
    <row r="1156" spans="1:20">
      <c r="A1156" s="6" t="s">
        <v>1304</v>
      </c>
      <c r="B1156" s="6" t="s">
        <v>66</v>
      </c>
      <c r="C1156" s="6" t="s">
        <v>100</v>
      </c>
      <c r="D1156" s="6" t="s">
        <v>567</v>
      </c>
      <c r="E1156" s="6" t="s">
        <v>120</v>
      </c>
      <c r="F1156" s="7">
        <v>3</v>
      </c>
      <c r="G1156" s="7">
        <v>375</v>
      </c>
      <c r="H1156" s="16">
        <v>45243</v>
      </c>
      <c r="I1156" s="6">
        <v>46</v>
      </c>
      <c r="J1156" s="6" t="s">
        <v>121</v>
      </c>
      <c r="K1156" s="6" t="s">
        <v>568</v>
      </c>
      <c r="L1156" s="11">
        <f>F1156*Controls!$B$6</f>
        <v>3</v>
      </c>
      <c r="M1156" s="11">
        <f>G1156*Controls!$B$6</f>
        <v>375</v>
      </c>
      <c r="N1156" s="12">
        <f>IF(L1156=0,0,SUMIFS('PSI Plan'!$N$6:$N$173,'PSI Plan'!$B$6:$B$173,B1156,'PSI Plan'!$C$6:$C$173,I1156))</f>
        <v>0</v>
      </c>
      <c r="O1156" s="11">
        <f t="shared" si="36"/>
        <v>0</v>
      </c>
      <c r="P1156" s="11">
        <f t="shared" si="37"/>
        <v>0</v>
      </c>
      <c r="Q1156" s="6"/>
      <c r="R1156" s="6"/>
      <c r="S1156" s="6"/>
      <c r="T1156" s="6"/>
    </row>
    <row r="1157" spans="1:20">
      <c r="A1157" s="6" t="s">
        <v>1305</v>
      </c>
      <c r="B1157" s="6" t="s">
        <v>67</v>
      </c>
      <c r="C1157" s="6" t="s">
        <v>100</v>
      </c>
      <c r="D1157" s="6" t="s">
        <v>567</v>
      </c>
      <c r="E1157" s="6" t="s">
        <v>120</v>
      </c>
      <c r="F1157" s="7">
        <v>4</v>
      </c>
      <c r="G1157" s="7">
        <v>500</v>
      </c>
      <c r="H1157" s="16">
        <v>45245</v>
      </c>
      <c r="I1157" s="6">
        <v>46</v>
      </c>
      <c r="J1157" s="6" t="s">
        <v>121</v>
      </c>
      <c r="K1157" s="6" t="s">
        <v>568</v>
      </c>
      <c r="L1157" s="11">
        <f>F1157*Controls!$B$6</f>
        <v>4</v>
      </c>
      <c r="M1157" s="11">
        <f>G1157*Controls!$B$6</f>
        <v>500</v>
      </c>
      <c r="N1157" s="12">
        <f>IF(L1157=0,0,SUMIFS('PSI Plan'!$N$6:$N$173,'PSI Plan'!$B$6:$B$173,B1157,'PSI Plan'!$C$6:$C$173,I1157))</f>
        <v>0</v>
      </c>
      <c r="O1157" s="11">
        <f t="shared" si="36"/>
        <v>0</v>
      </c>
      <c r="P1157" s="11">
        <f t="shared" si="37"/>
        <v>0</v>
      </c>
      <c r="Q1157" s="6"/>
      <c r="R1157" s="6"/>
      <c r="S1157" s="6"/>
      <c r="T1157" s="6"/>
    </row>
    <row r="1158" spans="1:20">
      <c r="A1158" s="6" t="s">
        <v>1306</v>
      </c>
      <c r="B1158" s="6" t="s">
        <v>69</v>
      </c>
      <c r="C1158" s="6" t="s">
        <v>100</v>
      </c>
      <c r="D1158" s="6" t="s">
        <v>567</v>
      </c>
      <c r="E1158" s="6" t="s">
        <v>120</v>
      </c>
      <c r="F1158" s="7">
        <v>10</v>
      </c>
      <c r="G1158" s="7">
        <v>1250</v>
      </c>
      <c r="H1158" s="16">
        <v>45270</v>
      </c>
      <c r="I1158" s="6">
        <v>50</v>
      </c>
      <c r="J1158" s="6" t="s">
        <v>121</v>
      </c>
      <c r="K1158" s="6" t="s">
        <v>568</v>
      </c>
      <c r="L1158" s="11">
        <f>F1158*Controls!$B$6</f>
        <v>10</v>
      </c>
      <c r="M1158" s="11">
        <f>G1158*Controls!$B$6</f>
        <v>1250</v>
      </c>
      <c r="N1158" s="12">
        <f>IF(L1158=0,0,SUMIFS('PSI Plan'!$N$6:$N$173,'PSI Plan'!$B$6:$B$173,B1158,'PSI Plan'!$C$6:$C$173,I1158))</f>
        <v>0</v>
      </c>
      <c r="O1158" s="11">
        <f t="shared" si="36"/>
        <v>0</v>
      </c>
      <c r="P1158" s="11">
        <f t="shared" si="37"/>
        <v>0</v>
      </c>
      <c r="Q1158" s="6"/>
      <c r="R1158" s="6"/>
      <c r="S1158" s="6"/>
      <c r="T1158" s="6"/>
    </row>
    <row r="1159" spans="1:20">
      <c r="A1159" s="6" t="s">
        <v>1307</v>
      </c>
      <c r="B1159" s="6" t="s">
        <v>69</v>
      </c>
      <c r="C1159" s="6" t="s">
        <v>99</v>
      </c>
      <c r="D1159" s="6" t="s">
        <v>319</v>
      </c>
      <c r="E1159" s="6" t="s">
        <v>120</v>
      </c>
      <c r="F1159" s="7">
        <v>28</v>
      </c>
      <c r="G1159" s="7">
        <v>3500</v>
      </c>
      <c r="H1159" s="16">
        <v>45221</v>
      </c>
      <c r="I1159" s="6">
        <v>43</v>
      </c>
      <c r="J1159" s="6" t="s">
        <v>121</v>
      </c>
      <c r="K1159" s="6" t="s">
        <v>459</v>
      </c>
      <c r="L1159" s="11">
        <f>F1159*Controls!$B$6</f>
        <v>28</v>
      </c>
      <c r="M1159" s="11">
        <f>G1159*Controls!$B$6</f>
        <v>3500</v>
      </c>
      <c r="N1159" s="12">
        <f>IF(L1159=0,0,SUMIFS('PSI Plan'!$N$6:$N$173,'PSI Plan'!$B$6:$B$173,B1159,'PSI Plan'!$C$6:$C$173,I1159))</f>
        <v>0</v>
      </c>
      <c r="O1159" s="11">
        <f t="shared" si="36"/>
        <v>0</v>
      </c>
      <c r="P1159" s="11">
        <f t="shared" si="37"/>
        <v>0</v>
      </c>
      <c r="Q1159" s="6"/>
      <c r="R1159" s="6"/>
      <c r="S1159" s="6"/>
      <c r="T1159" s="6"/>
    </row>
    <row r="1160" spans="1:20">
      <c r="A1160" s="6" t="s">
        <v>1308</v>
      </c>
      <c r="B1160" s="6" t="s">
        <v>66</v>
      </c>
      <c r="C1160" s="6" t="s">
        <v>99</v>
      </c>
      <c r="D1160" s="6" t="s">
        <v>319</v>
      </c>
      <c r="E1160" s="6" t="s">
        <v>120</v>
      </c>
      <c r="F1160" s="7">
        <v>44</v>
      </c>
      <c r="G1160" s="7">
        <v>5500</v>
      </c>
      <c r="H1160" s="16">
        <v>45265</v>
      </c>
      <c r="I1160" s="6">
        <v>49</v>
      </c>
      <c r="J1160" s="6" t="s">
        <v>121</v>
      </c>
      <c r="K1160" s="6" t="s">
        <v>361</v>
      </c>
      <c r="L1160" s="11">
        <f>F1160*Controls!$B$6</f>
        <v>44</v>
      </c>
      <c r="M1160" s="11">
        <f>G1160*Controls!$B$6</f>
        <v>5500</v>
      </c>
      <c r="N1160" s="12">
        <f>IF(L1160=0,0,SUMIFS('PSI Plan'!$N$6:$N$173,'PSI Plan'!$B$6:$B$173,B1160,'PSI Plan'!$C$6:$C$173,I1160))</f>
        <v>0</v>
      </c>
      <c r="O1160" s="11">
        <f t="shared" si="36"/>
        <v>0</v>
      </c>
      <c r="P1160" s="11">
        <f t="shared" si="37"/>
        <v>0</v>
      </c>
      <c r="Q1160" s="6"/>
      <c r="R1160" s="6"/>
      <c r="S1160" s="6"/>
      <c r="T1160" s="6"/>
    </row>
    <row r="1161" spans="1:20">
      <c r="A1161" s="6" t="s">
        <v>1309</v>
      </c>
      <c r="B1161" s="6" t="s">
        <v>77</v>
      </c>
      <c r="C1161" s="6" t="s">
        <v>99</v>
      </c>
      <c r="D1161" s="6" t="s">
        <v>319</v>
      </c>
      <c r="E1161" s="6" t="s">
        <v>120</v>
      </c>
      <c r="F1161" s="7">
        <v>52</v>
      </c>
      <c r="G1161" s="7">
        <v>6500</v>
      </c>
      <c r="H1161" s="16">
        <v>45289</v>
      </c>
      <c r="I1161" s="6">
        <v>52</v>
      </c>
      <c r="J1161" s="6" t="s">
        <v>121</v>
      </c>
      <c r="K1161" s="6" t="s">
        <v>361</v>
      </c>
      <c r="L1161" s="11">
        <f>F1161*Controls!$B$6</f>
        <v>52</v>
      </c>
      <c r="M1161" s="11">
        <f>G1161*Controls!$B$6</f>
        <v>6500</v>
      </c>
      <c r="N1161" s="12">
        <f>IF(L1161=0,0,SUMIFS('PSI Plan'!$N$6:$N$173,'PSI Plan'!$B$6:$B$173,B1161,'PSI Plan'!$C$6:$C$173,I1161))</f>
        <v>0</v>
      </c>
      <c r="O1161" s="11">
        <f t="shared" si="36"/>
        <v>0</v>
      </c>
      <c r="P1161" s="11">
        <f t="shared" si="37"/>
        <v>0</v>
      </c>
      <c r="Q1161" s="6"/>
      <c r="R1161" s="6"/>
      <c r="S1161" s="6"/>
      <c r="T1161" s="6"/>
    </row>
    <row r="1162" spans="1:20">
      <c r="A1162" s="6" t="s">
        <v>1310</v>
      </c>
      <c r="B1162" s="6" t="s">
        <v>67</v>
      </c>
      <c r="C1162" s="6" t="s">
        <v>99</v>
      </c>
      <c r="D1162" s="6" t="s">
        <v>319</v>
      </c>
      <c r="E1162" s="6" t="s">
        <v>120</v>
      </c>
      <c r="F1162" s="7">
        <v>18</v>
      </c>
      <c r="G1162" s="7">
        <v>2250</v>
      </c>
      <c r="H1162" s="16">
        <v>45258</v>
      </c>
      <c r="I1162" s="6">
        <v>48</v>
      </c>
      <c r="J1162" s="6" t="s">
        <v>121</v>
      </c>
      <c r="K1162" s="6" t="s">
        <v>361</v>
      </c>
      <c r="L1162" s="11">
        <f>F1162*Controls!$B$6</f>
        <v>18</v>
      </c>
      <c r="M1162" s="11">
        <f>G1162*Controls!$B$6</f>
        <v>2250</v>
      </c>
      <c r="N1162" s="12">
        <f>IF(L1162=0,0,SUMIFS('PSI Plan'!$N$6:$N$173,'PSI Plan'!$B$6:$B$173,B1162,'PSI Plan'!$C$6:$C$173,I1162))</f>
        <v>0</v>
      </c>
      <c r="O1162" s="11">
        <f t="shared" si="36"/>
        <v>0</v>
      </c>
      <c r="P1162" s="11">
        <f t="shared" si="37"/>
        <v>0</v>
      </c>
      <c r="Q1162" s="6"/>
      <c r="R1162" s="6"/>
      <c r="S1162" s="6"/>
      <c r="T1162" s="6"/>
    </row>
    <row r="1163" spans="1:20">
      <c r="A1163" s="6" t="s">
        <v>1311</v>
      </c>
      <c r="B1163" s="6" t="s">
        <v>69</v>
      </c>
      <c r="C1163" s="6" t="s">
        <v>99</v>
      </c>
      <c r="D1163" s="6" t="s">
        <v>319</v>
      </c>
      <c r="E1163" s="6" t="s">
        <v>120</v>
      </c>
      <c r="F1163" s="7">
        <v>22</v>
      </c>
      <c r="G1163" s="7">
        <v>2750</v>
      </c>
      <c r="H1163" s="16">
        <v>45246</v>
      </c>
      <c r="I1163" s="6">
        <v>46</v>
      </c>
      <c r="J1163" s="6" t="s">
        <v>121</v>
      </c>
      <c r="K1163" s="6" t="s">
        <v>361</v>
      </c>
      <c r="L1163" s="11">
        <f>F1163*Controls!$B$6</f>
        <v>22</v>
      </c>
      <c r="M1163" s="11">
        <f>G1163*Controls!$B$6</f>
        <v>2750</v>
      </c>
      <c r="N1163" s="12">
        <f>IF(L1163=0,0,SUMIFS('PSI Plan'!$N$6:$N$173,'PSI Plan'!$B$6:$B$173,B1163,'PSI Plan'!$C$6:$C$173,I1163))</f>
        <v>0</v>
      </c>
      <c r="O1163" s="11">
        <f t="shared" si="36"/>
        <v>0</v>
      </c>
      <c r="P1163" s="11">
        <f t="shared" si="37"/>
        <v>0</v>
      </c>
      <c r="Q1163" s="6"/>
      <c r="R1163" s="6"/>
      <c r="S1163" s="6"/>
      <c r="T1163" s="6"/>
    </row>
    <row r="1164" spans="1:20">
      <c r="A1164" s="6" t="s">
        <v>1312</v>
      </c>
      <c r="B1164" s="6" t="s">
        <v>66</v>
      </c>
      <c r="C1164" s="6" t="s">
        <v>99</v>
      </c>
      <c r="D1164" s="6" t="s">
        <v>319</v>
      </c>
      <c r="E1164" s="6" t="s">
        <v>120</v>
      </c>
      <c r="F1164" s="7">
        <v>80</v>
      </c>
      <c r="G1164" s="7">
        <v>10000</v>
      </c>
      <c r="H1164" s="16">
        <v>45238</v>
      </c>
      <c r="I1164" s="6">
        <v>45</v>
      </c>
      <c r="J1164" s="6" t="s">
        <v>121</v>
      </c>
      <c r="K1164" s="6" t="s">
        <v>459</v>
      </c>
      <c r="L1164" s="11">
        <f>F1164*Controls!$B$6</f>
        <v>80</v>
      </c>
      <c r="M1164" s="11">
        <f>G1164*Controls!$B$6</f>
        <v>10000</v>
      </c>
      <c r="N1164" s="12">
        <f>IF(L1164=0,0,SUMIFS('PSI Plan'!$N$6:$N$173,'PSI Plan'!$B$6:$B$173,B1164,'PSI Plan'!$C$6:$C$173,I1164))</f>
        <v>0</v>
      </c>
      <c r="O1164" s="11">
        <f t="shared" si="36"/>
        <v>0</v>
      </c>
      <c r="P1164" s="11">
        <f t="shared" si="37"/>
        <v>0</v>
      </c>
      <c r="Q1164" s="6"/>
      <c r="R1164" s="6"/>
      <c r="S1164" s="6"/>
      <c r="T1164" s="6"/>
    </row>
    <row r="1165" spans="1:20">
      <c r="A1165" s="6" t="s">
        <v>1313</v>
      </c>
      <c r="B1165" s="6" t="s">
        <v>77</v>
      </c>
      <c r="C1165" s="6" t="s">
        <v>99</v>
      </c>
      <c r="D1165" s="6" t="s">
        <v>319</v>
      </c>
      <c r="E1165" s="6" t="s">
        <v>120</v>
      </c>
      <c r="F1165" s="7">
        <v>68</v>
      </c>
      <c r="G1165" s="7">
        <v>8500</v>
      </c>
      <c r="H1165" s="16">
        <v>45261</v>
      </c>
      <c r="I1165" s="6">
        <v>48</v>
      </c>
      <c r="J1165" s="6" t="s">
        <v>121</v>
      </c>
      <c r="K1165" s="6" t="s">
        <v>459</v>
      </c>
      <c r="L1165" s="11">
        <f>F1165*Controls!$B$6</f>
        <v>68</v>
      </c>
      <c r="M1165" s="11">
        <f>G1165*Controls!$B$6</f>
        <v>8500</v>
      </c>
      <c r="N1165" s="12">
        <f>IF(L1165=0,0,SUMIFS('PSI Plan'!$N$6:$N$173,'PSI Plan'!$B$6:$B$173,B1165,'PSI Plan'!$C$6:$C$173,I1165))</f>
        <v>0</v>
      </c>
      <c r="O1165" s="11">
        <f t="shared" si="36"/>
        <v>0</v>
      </c>
      <c r="P1165" s="11">
        <f t="shared" si="37"/>
        <v>0</v>
      </c>
      <c r="Q1165" s="6"/>
      <c r="R1165" s="6"/>
      <c r="S1165" s="6"/>
      <c r="T1165" s="6"/>
    </row>
    <row r="1166" spans="1:20">
      <c r="A1166" s="6" t="s">
        <v>1314</v>
      </c>
      <c r="B1166" s="6" t="s">
        <v>67</v>
      </c>
      <c r="C1166" s="6" t="s">
        <v>99</v>
      </c>
      <c r="D1166" s="6" t="s">
        <v>319</v>
      </c>
      <c r="E1166" s="6" t="s">
        <v>120</v>
      </c>
      <c r="F1166" s="7">
        <v>54</v>
      </c>
      <c r="G1166" s="7">
        <v>6750</v>
      </c>
      <c r="H1166" s="16">
        <v>45277</v>
      </c>
      <c r="I1166" s="6">
        <v>51</v>
      </c>
      <c r="J1166" s="6" t="s">
        <v>121</v>
      </c>
      <c r="K1166" s="6" t="s">
        <v>459</v>
      </c>
      <c r="L1166" s="11">
        <f>F1166*Controls!$B$6</f>
        <v>54</v>
      </c>
      <c r="M1166" s="11">
        <f>G1166*Controls!$B$6</f>
        <v>6750</v>
      </c>
      <c r="N1166" s="12">
        <f>IF(L1166=0,0,SUMIFS('PSI Plan'!$N$6:$N$173,'PSI Plan'!$B$6:$B$173,B1166,'PSI Plan'!$C$6:$C$173,I1166))</f>
        <v>0</v>
      </c>
      <c r="O1166" s="11">
        <f t="shared" si="36"/>
        <v>0</v>
      </c>
      <c r="P1166" s="11">
        <f t="shared" si="37"/>
        <v>0</v>
      </c>
      <c r="Q1166" s="6"/>
      <c r="R1166" s="6"/>
      <c r="S1166" s="6"/>
      <c r="T1166" s="6"/>
    </row>
    <row r="1167" spans="1:20">
      <c r="A1167" s="6" t="s">
        <v>1315</v>
      </c>
      <c r="B1167" s="6" t="s">
        <v>69</v>
      </c>
      <c r="C1167" s="6" t="s">
        <v>99</v>
      </c>
      <c r="D1167" s="6" t="s">
        <v>319</v>
      </c>
      <c r="E1167" s="6" t="s">
        <v>120</v>
      </c>
      <c r="F1167" s="7">
        <v>82</v>
      </c>
      <c r="G1167" s="7">
        <v>10250</v>
      </c>
      <c r="H1167" s="16">
        <v>45251</v>
      </c>
      <c r="I1167" s="6">
        <v>47</v>
      </c>
      <c r="J1167" s="6" t="s">
        <v>121</v>
      </c>
      <c r="K1167" s="6" t="s">
        <v>459</v>
      </c>
      <c r="L1167" s="11">
        <f>F1167*Controls!$B$6</f>
        <v>82</v>
      </c>
      <c r="M1167" s="11">
        <f>G1167*Controls!$B$6</f>
        <v>10250</v>
      </c>
      <c r="N1167" s="12">
        <f>IF(L1167=0,0,SUMIFS('PSI Plan'!$N$6:$N$173,'PSI Plan'!$B$6:$B$173,B1167,'PSI Plan'!$C$6:$C$173,I1167))</f>
        <v>0</v>
      </c>
      <c r="O1167" s="11">
        <f t="shared" si="36"/>
        <v>0</v>
      </c>
      <c r="P1167" s="11">
        <f t="shared" si="37"/>
        <v>0</v>
      </c>
      <c r="Q1167" s="6"/>
      <c r="R1167" s="6"/>
      <c r="S1167" s="6"/>
      <c r="T1167" s="6"/>
    </row>
    <row r="1168" spans="1:20">
      <c r="A1168" s="6" t="s">
        <v>1316</v>
      </c>
      <c r="B1168" s="6" t="s">
        <v>77</v>
      </c>
      <c r="C1168" s="6" t="s">
        <v>100</v>
      </c>
      <c r="D1168" s="6" t="s">
        <v>567</v>
      </c>
      <c r="E1168" s="6" t="s">
        <v>120</v>
      </c>
      <c r="F1168" s="7">
        <v>9</v>
      </c>
      <c r="G1168" s="7">
        <v>1125</v>
      </c>
      <c r="H1168" s="16">
        <v>45205</v>
      </c>
      <c r="I1168" s="6">
        <v>40</v>
      </c>
      <c r="J1168" s="6" t="s">
        <v>121</v>
      </c>
      <c r="K1168" s="6" t="s">
        <v>568</v>
      </c>
      <c r="L1168" s="11">
        <f>F1168*Controls!$B$6</f>
        <v>9</v>
      </c>
      <c r="M1168" s="11">
        <f>G1168*Controls!$B$6</f>
        <v>1125</v>
      </c>
      <c r="N1168" s="12">
        <f>IF(L1168=0,0,SUMIFS('PSI Plan'!$N$6:$N$173,'PSI Plan'!$B$6:$B$173,B1168,'PSI Plan'!$C$6:$C$173,I1168))</f>
        <v>0</v>
      </c>
      <c r="O1168" s="11">
        <f t="shared" si="36"/>
        <v>0</v>
      </c>
      <c r="P1168" s="11">
        <f t="shared" si="37"/>
        <v>0</v>
      </c>
      <c r="Q1168" s="6"/>
      <c r="R1168" s="6"/>
      <c r="S1168" s="6"/>
      <c r="T1168" s="6"/>
    </row>
    <row r="1169" spans="1:20">
      <c r="A1169" s="6" t="s">
        <v>1317</v>
      </c>
      <c r="B1169" s="6" t="s">
        <v>76</v>
      </c>
      <c r="C1169" s="6" t="s">
        <v>100</v>
      </c>
      <c r="D1169" s="6" t="s">
        <v>567</v>
      </c>
      <c r="E1169" s="6" t="s">
        <v>120</v>
      </c>
      <c r="F1169" s="7">
        <v>9</v>
      </c>
      <c r="G1169" s="7">
        <v>1125</v>
      </c>
      <c r="H1169" s="16">
        <v>45204</v>
      </c>
      <c r="I1169" s="6">
        <v>40</v>
      </c>
      <c r="J1169" s="6" t="s">
        <v>121</v>
      </c>
      <c r="K1169" s="6" t="s">
        <v>568</v>
      </c>
      <c r="L1169" s="11">
        <f>F1169*Controls!$B$6</f>
        <v>9</v>
      </c>
      <c r="M1169" s="11">
        <f>G1169*Controls!$B$6</f>
        <v>1125</v>
      </c>
      <c r="N1169" s="12">
        <f>IF(L1169=0,0,SUMIFS('PSI Plan'!$N$6:$N$173,'PSI Plan'!$B$6:$B$173,B1169,'PSI Plan'!$C$6:$C$173,I1169))</f>
        <v>0</v>
      </c>
      <c r="O1169" s="11">
        <f t="shared" si="36"/>
        <v>0</v>
      </c>
      <c r="P1169" s="11">
        <f t="shared" si="37"/>
        <v>0</v>
      </c>
      <c r="Q1169" s="6"/>
      <c r="R1169" s="6"/>
      <c r="S1169" s="6"/>
      <c r="T1169" s="6"/>
    </row>
    <row r="1170" spans="1:20">
      <c r="A1170" s="6" t="s">
        <v>1318</v>
      </c>
      <c r="B1170" s="6" t="s">
        <v>67</v>
      </c>
      <c r="C1170" s="6" t="s">
        <v>90</v>
      </c>
      <c r="D1170" s="6" t="s">
        <v>119</v>
      </c>
      <c r="E1170" s="6" t="s">
        <v>120</v>
      </c>
      <c r="F1170" s="7">
        <v>13</v>
      </c>
      <c r="G1170" s="7">
        <v>1625</v>
      </c>
      <c r="H1170" s="16">
        <v>45270</v>
      </c>
      <c r="I1170" s="6">
        <v>50</v>
      </c>
      <c r="J1170" s="6" t="s">
        <v>121</v>
      </c>
      <c r="K1170" s="6" t="s">
        <v>171</v>
      </c>
      <c r="L1170" s="11">
        <f>F1170*Controls!$B$6</f>
        <v>13</v>
      </c>
      <c r="M1170" s="11">
        <f>G1170*Controls!$B$6</f>
        <v>1625</v>
      </c>
      <c r="N1170" s="12">
        <f>IF(L1170=0,0,SUMIFS('PSI Plan'!$N$6:$N$173,'PSI Plan'!$B$6:$B$173,B1170,'PSI Plan'!$C$6:$C$173,I1170))</f>
        <v>0</v>
      </c>
      <c r="O1170" s="11">
        <f t="shared" si="36"/>
        <v>0</v>
      </c>
      <c r="P1170" s="11">
        <f t="shared" si="37"/>
        <v>0</v>
      </c>
      <c r="Q1170" s="6"/>
      <c r="R1170" s="6"/>
      <c r="S1170" s="6"/>
      <c r="T1170" s="6"/>
    </row>
    <row r="1171" spans="1:20">
      <c r="A1171" s="6" t="s">
        <v>1319</v>
      </c>
      <c r="B1171" s="6" t="s">
        <v>69</v>
      </c>
      <c r="C1171" s="6" t="s">
        <v>90</v>
      </c>
      <c r="D1171" s="6" t="s">
        <v>119</v>
      </c>
      <c r="E1171" s="6" t="s">
        <v>120</v>
      </c>
      <c r="F1171" s="7">
        <v>26</v>
      </c>
      <c r="G1171" s="7">
        <v>3250</v>
      </c>
      <c r="H1171" s="16">
        <v>45216</v>
      </c>
      <c r="I1171" s="6">
        <v>42</v>
      </c>
      <c r="J1171" s="6" t="s">
        <v>121</v>
      </c>
      <c r="K1171" s="6" t="s">
        <v>171</v>
      </c>
      <c r="L1171" s="11">
        <f>F1171*Controls!$B$6</f>
        <v>26</v>
      </c>
      <c r="M1171" s="11">
        <f>G1171*Controls!$B$6</f>
        <v>3250</v>
      </c>
      <c r="N1171" s="12">
        <f>IF(L1171=0,0,SUMIFS('PSI Plan'!$N$6:$N$173,'PSI Plan'!$B$6:$B$173,B1171,'PSI Plan'!$C$6:$C$173,I1171))</f>
        <v>0</v>
      </c>
      <c r="O1171" s="11">
        <f t="shared" si="36"/>
        <v>0</v>
      </c>
      <c r="P1171" s="11">
        <f t="shared" si="37"/>
        <v>0</v>
      </c>
      <c r="Q1171" s="6"/>
      <c r="R1171" s="6"/>
      <c r="S1171" s="6"/>
      <c r="T1171" s="6"/>
    </row>
    <row r="1172" spans="1:20">
      <c r="A1172" s="6" t="s">
        <v>1320</v>
      </c>
      <c r="B1172" s="6" t="s">
        <v>66</v>
      </c>
      <c r="C1172" s="6" t="s">
        <v>90</v>
      </c>
      <c r="D1172" s="6" t="s">
        <v>119</v>
      </c>
      <c r="E1172" s="6" t="s">
        <v>120</v>
      </c>
      <c r="F1172" s="7">
        <v>13</v>
      </c>
      <c r="G1172" s="7">
        <v>1625</v>
      </c>
      <c r="H1172" s="16">
        <v>45269</v>
      </c>
      <c r="I1172" s="6">
        <v>49</v>
      </c>
      <c r="J1172" s="6" t="s">
        <v>121</v>
      </c>
      <c r="K1172" s="6" t="s">
        <v>855</v>
      </c>
      <c r="L1172" s="11">
        <f>F1172*Controls!$B$6</f>
        <v>13</v>
      </c>
      <c r="M1172" s="11">
        <f>G1172*Controls!$B$6</f>
        <v>1625</v>
      </c>
      <c r="N1172" s="12">
        <f>IF(L1172=0,0,SUMIFS('PSI Plan'!$N$6:$N$173,'PSI Plan'!$B$6:$B$173,B1172,'PSI Plan'!$C$6:$C$173,I1172))</f>
        <v>0</v>
      </c>
      <c r="O1172" s="11">
        <f t="shared" si="36"/>
        <v>0</v>
      </c>
      <c r="P1172" s="11">
        <f t="shared" si="37"/>
        <v>0</v>
      </c>
      <c r="Q1172" s="6"/>
      <c r="R1172" s="6"/>
      <c r="S1172" s="6"/>
      <c r="T1172" s="6"/>
    </row>
    <row r="1173" spans="1:20">
      <c r="A1173" s="6" t="s">
        <v>1321</v>
      </c>
      <c r="B1173" s="6" t="s">
        <v>77</v>
      </c>
      <c r="C1173" s="6" t="s">
        <v>90</v>
      </c>
      <c r="D1173" s="6" t="s">
        <v>119</v>
      </c>
      <c r="E1173" s="6" t="s">
        <v>120</v>
      </c>
      <c r="F1173" s="7">
        <v>13</v>
      </c>
      <c r="G1173" s="7">
        <v>1625</v>
      </c>
      <c r="H1173" s="16">
        <v>45246</v>
      </c>
      <c r="I1173" s="6">
        <v>46</v>
      </c>
      <c r="J1173" s="6" t="s">
        <v>121</v>
      </c>
      <c r="K1173" s="6" t="s">
        <v>855</v>
      </c>
      <c r="L1173" s="11">
        <f>F1173*Controls!$B$6</f>
        <v>13</v>
      </c>
      <c r="M1173" s="11">
        <f>G1173*Controls!$B$6</f>
        <v>1625</v>
      </c>
      <c r="N1173" s="12">
        <f>IF(L1173=0,0,SUMIFS('PSI Plan'!$N$6:$N$173,'PSI Plan'!$B$6:$B$173,B1173,'PSI Plan'!$C$6:$C$173,I1173))</f>
        <v>0</v>
      </c>
      <c r="O1173" s="11">
        <f t="shared" si="36"/>
        <v>0</v>
      </c>
      <c r="P1173" s="11">
        <f t="shared" si="37"/>
        <v>0</v>
      </c>
      <c r="Q1173" s="6"/>
      <c r="R1173" s="6"/>
      <c r="S1173" s="6"/>
      <c r="T1173" s="6"/>
    </row>
    <row r="1174" spans="1:20">
      <c r="A1174" s="6" t="s">
        <v>1322</v>
      </c>
      <c r="B1174" s="6" t="s">
        <v>76</v>
      </c>
      <c r="C1174" s="6" t="s">
        <v>90</v>
      </c>
      <c r="D1174" s="6" t="s">
        <v>119</v>
      </c>
      <c r="E1174" s="6" t="s">
        <v>120</v>
      </c>
      <c r="F1174" s="7">
        <v>13</v>
      </c>
      <c r="G1174" s="7">
        <v>1625</v>
      </c>
      <c r="H1174" s="16">
        <v>45260</v>
      </c>
      <c r="I1174" s="6">
        <v>48</v>
      </c>
      <c r="J1174" s="6" t="s">
        <v>121</v>
      </c>
      <c r="K1174" s="6" t="s">
        <v>855</v>
      </c>
      <c r="L1174" s="11">
        <f>F1174*Controls!$B$6</f>
        <v>13</v>
      </c>
      <c r="M1174" s="11">
        <f>G1174*Controls!$B$6</f>
        <v>1625</v>
      </c>
      <c r="N1174" s="12">
        <f>IF(L1174=0,0,SUMIFS('PSI Plan'!$N$6:$N$173,'PSI Plan'!$B$6:$B$173,B1174,'PSI Plan'!$C$6:$C$173,I1174))</f>
        <v>0</v>
      </c>
      <c r="O1174" s="11">
        <f t="shared" si="36"/>
        <v>0</v>
      </c>
      <c r="P1174" s="11">
        <f t="shared" si="37"/>
        <v>0</v>
      </c>
      <c r="Q1174" s="6"/>
      <c r="R1174" s="6"/>
      <c r="S1174" s="6"/>
      <c r="T1174" s="6"/>
    </row>
    <row r="1175" spans="1:20">
      <c r="A1175" s="6" t="s">
        <v>1323</v>
      </c>
      <c r="B1175" s="6" t="s">
        <v>69</v>
      </c>
      <c r="C1175" s="6" t="s">
        <v>90</v>
      </c>
      <c r="D1175" s="6" t="s">
        <v>119</v>
      </c>
      <c r="E1175" s="6" t="s">
        <v>120</v>
      </c>
      <c r="F1175" s="7">
        <v>9</v>
      </c>
      <c r="G1175" s="7">
        <v>1125</v>
      </c>
      <c r="H1175" s="16">
        <v>45254</v>
      </c>
      <c r="I1175" s="6">
        <v>47</v>
      </c>
      <c r="J1175" s="6" t="s">
        <v>121</v>
      </c>
      <c r="K1175" s="6" t="s">
        <v>725</v>
      </c>
      <c r="L1175" s="11">
        <f>F1175*Controls!$B$6</f>
        <v>9</v>
      </c>
      <c r="M1175" s="11">
        <f>G1175*Controls!$B$6</f>
        <v>1125</v>
      </c>
      <c r="N1175" s="12">
        <f>IF(L1175=0,0,SUMIFS('PSI Plan'!$N$6:$N$173,'PSI Plan'!$B$6:$B$173,B1175,'PSI Plan'!$C$6:$C$173,I1175))</f>
        <v>0</v>
      </c>
      <c r="O1175" s="11">
        <f t="shared" si="36"/>
        <v>0</v>
      </c>
      <c r="P1175" s="11">
        <f t="shared" si="37"/>
        <v>0</v>
      </c>
      <c r="Q1175" s="6"/>
      <c r="R1175" s="6"/>
      <c r="S1175" s="6"/>
      <c r="T1175" s="6"/>
    </row>
    <row r="1176" spans="1:20">
      <c r="A1176" s="6" t="s">
        <v>1324</v>
      </c>
      <c r="B1176" s="6" t="s">
        <v>66</v>
      </c>
      <c r="C1176" s="6" t="s">
        <v>90</v>
      </c>
      <c r="D1176" s="6" t="s">
        <v>119</v>
      </c>
      <c r="E1176" s="6" t="s">
        <v>120</v>
      </c>
      <c r="F1176" s="7">
        <v>12</v>
      </c>
      <c r="G1176" s="7">
        <v>1500</v>
      </c>
      <c r="H1176" s="16">
        <v>45242</v>
      </c>
      <c r="I1176" s="6">
        <v>46</v>
      </c>
      <c r="J1176" s="6" t="s">
        <v>121</v>
      </c>
      <c r="K1176" s="6" t="s">
        <v>139</v>
      </c>
      <c r="L1176" s="11">
        <f>F1176*Controls!$B$6</f>
        <v>12</v>
      </c>
      <c r="M1176" s="11">
        <f>G1176*Controls!$B$6</f>
        <v>1500</v>
      </c>
      <c r="N1176" s="12">
        <f>IF(L1176=0,0,SUMIFS('PSI Plan'!$N$6:$N$173,'PSI Plan'!$B$6:$B$173,B1176,'PSI Plan'!$C$6:$C$173,I1176))</f>
        <v>0</v>
      </c>
      <c r="O1176" s="11">
        <f t="shared" si="36"/>
        <v>0</v>
      </c>
      <c r="P1176" s="11">
        <f t="shared" si="37"/>
        <v>0</v>
      </c>
      <c r="Q1176" s="6"/>
      <c r="R1176" s="6"/>
      <c r="S1176" s="6"/>
      <c r="T1176" s="6"/>
    </row>
    <row r="1177" spans="1:20">
      <c r="A1177" s="6" t="s">
        <v>1325</v>
      </c>
      <c r="B1177" s="6" t="s">
        <v>77</v>
      </c>
      <c r="C1177" s="6" t="s">
        <v>90</v>
      </c>
      <c r="D1177" s="6" t="s">
        <v>119</v>
      </c>
      <c r="E1177" s="6" t="s">
        <v>120</v>
      </c>
      <c r="F1177" s="7">
        <v>12</v>
      </c>
      <c r="G1177" s="7">
        <v>1500</v>
      </c>
      <c r="H1177" s="16">
        <v>45239</v>
      </c>
      <c r="I1177" s="6">
        <v>45</v>
      </c>
      <c r="J1177" s="6" t="s">
        <v>121</v>
      </c>
      <c r="K1177" s="6" t="s">
        <v>139</v>
      </c>
      <c r="L1177" s="11">
        <f>F1177*Controls!$B$6</f>
        <v>12</v>
      </c>
      <c r="M1177" s="11">
        <f>G1177*Controls!$B$6</f>
        <v>1500</v>
      </c>
      <c r="N1177" s="12">
        <f>IF(L1177=0,0,SUMIFS('PSI Plan'!$N$6:$N$173,'PSI Plan'!$B$6:$B$173,B1177,'PSI Plan'!$C$6:$C$173,I1177))</f>
        <v>0</v>
      </c>
      <c r="O1177" s="11">
        <f t="shared" si="36"/>
        <v>0</v>
      </c>
      <c r="P1177" s="11">
        <f t="shared" si="37"/>
        <v>0</v>
      </c>
      <c r="Q1177" s="6"/>
      <c r="R1177" s="6"/>
      <c r="S1177" s="6"/>
      <c r="T1177" s="6"/>
    </row>
    <row r="1178" spans="1:20">
      <c r="A1178" s="6" t="s">
        <v>1326</v>
      </c>
      <c r="B1178" s="6" t="s">
        <v>76</v>
      </c>
      <c r="C1178" s="6" t="s">
        <v>90</v>
      </c>
      <c r="D1178" s="6" t="s">
        <v>119</v>
      </c>
      <c r="E1178" s="6" t="s">
        <v>120</v>
      </c>
      <c r="F1178" s="7">
        <v>6</v>
      </c>
      <c r="G1178" s="7">
        <v>750</v>
      </c>
      <c r="H1178" s="16">
        <v>45277</v>
      </c>
      <c r="I1178" s="6">
        <v>51</v>
      </c>
      <c r="J1178" s="6" t="s">
        <v>121</v>
      </c>
      <c r="K1178" s="6" t="s">
        <v>139</v>
      </c>
      <c r="L1178" s="11">
        <f>F1178*Controls!$B$6</f>
        <v>6</v>
      </c>
      <c r="M1178" s="11">
        <f>G1178*Controls!$B$6</f>
        <v>750</v>
      </c>
      <c r="N1178" s="12">
        <f>IF(L1178=0,0,SUMIFS('PSI Plan'!$N$6:$N$173,'PSI Plan'!$B$6:$B$173,B1178,'PSI Plan'!$C$6:$C$173,I1178))</f>
        <v>0</v>
      </c>
      <c r="O1178" s="11">
        <f t="shared" si="36"/>
        <v>0</v>
      </c>
      <c r="P1178" s="11">
        <f t="shared" si="37"/>
        <v>0</v>
      </c>
      <c r="Q1178" s="6"/>
      <c r="R1178" s="6"/>
      <c r="S1178" s="6"/>
      <c r="T1178" s="6"/>
    </row>
    <row r="1179" spans="1:20">
      <c r="A1179" s="6" t="s">
        <v>1327</v>
      </c>
      <c r="B1179" s="6" t="s">
        <v>69</v>
      </c>
      <c r="C1179" s="6" t="s">
        <v>90</v>
      </c>
      <c r="D1179" s="6" t="s">
        <v>119</v>
      </c>
      <c r="E1179" s="6" t="s">
        <v>120</v>
      </c>
      <c r="F1179" s="7">
        <v>11</v>
      </c>
      <c r="G1179" s="7">
        <v>1375</v>
      </c>
      <c r="H1179" s="16">
        <v>45288</v>
      </c>
      <c r="I1179" s="6">
        <v>52</v>
      </c>
      <c r="J1179" s="6" t="s">
        <v>121</v>
      </c>
      <c r="K1179" s="6" t="s">
        <v>139</v>
      </c>
      <c r="L1179" s="11">
        <f>F1179*Controls!$B$6</f>
        <v>11</v>
      </c>
      <c r="M1179" s="11">
        <f>G1179*Controls!$B$6</f>
        <v>1375</v>
      </c>
      <c r="N1179" s="12">
        <f>IF(L1179=0,0,SUMIFS('PSI Plan'!$N$6:$N$173,'PSI Plan'!$B$6:$B$173,B1179,'PSI Plan'!$C$6:$C$173,I1179))</f>
        <v>0</v>
      </c>
      <c r="O1179" s="11">
        <f t="shared" si="36"/>
        <v>0</v>
      </c>
      <c r="P1179" s="11">
        <f t="shared" si="37"/>
        <v>0</v>
      </c>
      <c r="Q1179" s="6"/>
      <c r="R1179" s="6"/>
      <c r="S1179" s="6"/>
      <c r="T1179" s="6"/>
    </row>
    <row r="1180" spans="1:20">
      <c r="A1180" s="6" t="s">
        <v>1328</v>
      </c>
      <c r="B1180" s="6" t="s">
        <v>77</v>
      </c>
      <c r="C1180" s="6" t="s">
        <v>90</v>
      </c>
      <c r="D1180" s="6" t="s">
        <v>119</v>
      </c>
      <c r="E1180" s="6" t="s">
        <v>120</v>
      </c>
      <c r="F1180" s="7">
        <v>14</v>
      </c>
      <c r="G1180" s="7">
        <v>1750</v>
      </c>
      <c r="H1180" s="16">
        <v>45238</v>
      </c>
      <c r="I1180" s="6">
        <v>45</v>
      </c>
      <c r="J1180" s="6" t="s">
        <v>121</v>
      </c>
      <c r="K1180" s="6" t="s">
        <v>132</v>
      </c>
      <c r="L1180" s="11">
        <f>F1180*Controls!$B$6</f>
        <v>14</v>
      </c>
      <c r="M1180" s="11">
        <f>G1180*Controls!$B$6</f>
        <v>1750</v>
      </c>
      <c r="N1180" s="12">
        <f>IF(L1180=0,0,SUMIFS('PSI Plan'!$N$6:$N$173,'PSI Plan'!$B$6:$B$173,B1180,'PSI Plan'!$C$6:$C$173,I1180))</f>
        <v>0</v>
      </c>
      <c r="O1180" s="11">
        <f t="shared" si="36"/>
        <v>0</v>
      </c>
      <c r="P1180" s="11">
        <f t="shared" si="37"/>
        <v>0</v>
      </c>
      <c r="Q1180" s="6"/>
      <c r="R1180" s="6"/>
      <c r="S1180" s="6"/>
      <c r="T1180" s="6"/>
    </row>
    <row r="1181" spans="1:20">
      <c r="A1181" s="6" t="s">
        <v>1329</v>
      </c>
      <c r="B1181" s="6" t="s">
        <v>69</v>
      </c>
      <c r="C1181" s="6" t="s">
        <v>90</v>
      </c>
      <c r="D1181" s="6" t="s">
        <v>119</v>
      </c>
      <c r="E1181" s="6" t="s">
        <v>120</v>
      </c>
      <c r="F1181" s="7">
        <v>11</v>
      </c>
      <c r="G1181" s="7">
        <v>1375</v>
      </c>
      <c r="H1181" s="16">
        <v>45260</v>
      </c>
      <c r="I1181" s="6">
        <v>48</v>
      </c>
      <c r="J1181" s="6" t="s">
        <v>121</v>
      </c>
      <c r="K1181" s="6" t="s">
        <v>132</v>
      </c>
      <c r="L1181" s="11">
        <f>F1181*Controls!$B$6</f>
        <v>11</v>
      </c>
      <c r="M1181" s="11">
        <f>G1181*Controls!$B$6</f>
        <v>1375</v>
      </c>
      <c r="N1181" s="12">
        <f>IF(L1181=0,0,SUMIFS('PSI Plan'!$N$6:$N$173,'PSI Plan'!$B$6:$B$173,B1181,'PSI Plan'!$C$6:$C$173,I1181))</f>
        <v>0</v>
      </c>
      <c r="O1181" s="11">
        <f t="shared" si="36"/>
        <v>0</v>
      </c>
      <c r="P1181" s="11">
        <f t="shared" si="37"/>
        <v>0</v>
      </c>
      <c r="Q1181" s="6"/>
      <c r="R1181" s="6"/>
      <c r="S1181" s="6"/>
      <c r="T1181" s="6"/>
    </row>
    <row r="1182" spans="1:20">
      <c r="A1182" s="6" t="s">
        <v>1330</v>
      </c>
      <c r="B1182" s="6" t="s">
        <v>77</v>
      </c>
      <c r="C1182" s="6" t="s">
        <v>90</v>
      </c>
      <c r="D1182" s="6" t="s">
        <v>119</v>
      </c>
      <c r="E1182" s="6" t="s">
        <v>120</v>
      </c>
      <c r="F1182" s="7">
        <v>2</v>
      </c>
      <c r="G1182" s="7">
        <v>250</v>
      </c>
      <c r="H1182" s="16">
        <v>45274</v>
      </c>
      <c r="I1182" s="6">
        <v>50</v>
      </c>
      <c r="J1182" s="6" t="s">
        <v>121</v>
      </c>
      <c r="K1182" s="6" t="s">
        <v>122</v>
      </c>
      <c r="L1182" s="11">
        <f>F1182*Controls!$B$6</f>
        <v>2</v>
      </c>
      <c r="M1182" s="11">
        <f>G1182*Controls!$B$6</f>
        <v>250</v>
      </c>
      <c r="N1182" s="12">
        <f>IF(L1182=0,0,SUMIFS('PSI Plan'!$N$6:$N$173,'PSI Plan'!$B$6:$B$173,B1182,'PSI Plan'!$C$6:$C$173,I1182))</f>
        <v>0</v>
      </c>
      <c r="O1182" s="11">
        <f t="shared" si="36"/>
        <v>0</v>
      </c>
      <c r="P1182" s="11">
        <f t="shared" si="37"/>
        <v>0</v>
      </c>
      <c r="Q1182" s="6"/>
      <c r="R1182" s="6"/>
      <c r="S1182" s="6"/>
      <c r="T1182" s="6"/>
    </row>
    <row r="1183" spans="1:20">
      <c r="A1183" s="6" t="s">
        <v>1331</v>
      </c>
      <c r="B1183" s="6" t="s">
        <v>69</v>
      </c>
      <c r="C1183" s="6" t="s">
        <v>90</v>
      </c>
      <c r="D1183" s="6" t="s">
        <v>119</v>
      </c>
      <c r="E1183" s="6" t="s">
        <v>120</v>
      </c>
      <c r="F1183" s="7">
        <v>26</v>
      </c>
      <c r="G1183" s="7">
        <v>3250</v>
      </c>
      <c r="H1183" s="16">
        <v>45221</v>
      </c>
      <c r="I1183" s="6">
        <v>43</v>
      </c>
      <c r="J1183" s="6" t="s">
        <v>121</v>
      </c>
      <c r="K1183" s="6" t="s">
        <v>122</v>
      </c>
      <c r="L1183" s="11">
        <f>F1183*Controls!$B$6</f>
        <v>26</v>
      </c>
      <c r="M1183" s="11">
        <f>G1183*Controls!$B$6</f>
        <v>3250</v>
      </c>
      <c r="N1183" s="12">
        <f>IF(L1183=0,0,SUMIFS('PSI Plan'!$N$6:$N$173,'PSI Plan'!$B$6:$B$173,B1183,'PSI Plan'!$C$6:$C$173,I1183))</f>
        <v>0</v>
      </c>
      <c r="O1183" s="11">
        <f t="shared" si="36"/>
        <v>0</v>
      </c>
      <c r="P1183" s="11">
        <f t="shared" si="37"/>
        <v>0</v>
      </c>
      <c r="Q1183" s="6"/>
      <c r="R1183" s="6"/>
      <c r="S1183" s="6"/>
      <c r="T1183" s="6"/>
    </row>
    <row r="1184" spans="1:20">
      <c r="A1184" s="6" t="s">
        <v>1332</v>
      </c>
      <c r="B1184" s="6" t="s">
        <v>66</v>
      </c>
      <c r="C1184" s="6" t="s">
        <v>90</v>
      </c>
      <c r="D1184" s="6" t="s">
        <v>119</v>
      </c>
      <c r="E1184" s="6" t="s">
        <v>120</v>
      </c>
      <c r="F1184" s="7">
        <v>3</v>
      </c>
      <c r="G1184" s="7">
        <v>375</v>
      </c>
      <c r="H1184" s="16">
        <v>45209</v>
      </c>
      <c r="I1184" s="6">
        <v>41</v>
      </c>
      <c r="J1184" s="6" t="s">
        <v>121</v>
      </c>
      <c r="K1184" s="6" t="s">
        <v>298</v>
      </c>
      <c r="L1184" s="11">
        <f>F1184*Controls!$B$6</f>
        <v>3</v>
      </c>
      <c r="M1184" s="11">
        <f>G1184*Controls!$B$6</f>
        <v>375</v>
      </c>
      <c r="N1184" s="12">
        <f>IF(L1184=0,0,SUMIFS('PSI Plan'!$N$6:$N$173,'PSI Plan'!$B$6:$B$173,B1184,'PSI Plan'!$C$6:$C$173,I1184))</f>
        <v>0.22897465437788017</v>
      </c>
      <c r="O1184" s="11">
        <f t="shared" si="36"/>
        <v>0.68692396313364057</v>
      </c>
      <c r="P1184" s="11">
        <f t="shared" si="37"/>
        <v>85.865495391705068</v>
      </c>
      <c r="Q1184" s="6"/>
      <c r="R1184" s="6"/>
      <c r="S1184" s="6"/>
      <c r="T1184" s="6"/>
    </row>
    <row r="1185" spans="1:20">
      <c r="A1185" s="6" t="s">
        <v>1333</v>
      </c>
      <c r="B1185" s="6" t="s">
        <v>77</v>
      </c>
      <c r="C1185" s="6" t="s">
        <v>90</v>
      </c>
      <c r="D1185" s="6" t="s">
        <v>119</v>
      </c>
      <c r="E1185" s="6" t="s">
        <v>120</v>
      </c>
      <c r="F1185" s="7">
        <v>7</v>
      </c>
      <c r="G1185" s="7">
        <v>875</v>
      </c>
      <c r="H1185" s="16">
        <v>45205</v>
      </c>
      <c r="I1185" s="6">
        <v>40</v>
      </c>
      <c r="J1185" s="6" t="s">
        <v>121</v>
      </c>
      <c r="K1185" s="6" t="s">
        <v>298</v>
      </c>
      <c r="L1185" s="11">
        <f>F1185*Controls!$B$6</f>
        <v>7</v>
      </c>
      <c r="M1185" s="11">
        <f>G1185*Controls!$B$6</f>
        <v>875</v>
      </c>
      <c r="N1185" s="12">
        <f>IF(L1185=0,0,SUMIFS('PSI Plan'!$N$6:$N$173,'PSI Plan'!$B$6:$B$173,B1185,'PSI Plan'!$C$6:$C$173,I1185))</f>
        <v>0</v>
      </c>
      <c r="O1185" s="11">
        <f t="shared" si="36"/>
        <v>0</v>
      </c>
      <c r="P1185" s="11">
        <f t="shared" si="37"/>
        <v>0</v>
      </c>
      <c r="Q1185" s="6"/>
      <c r="R1185" s="6"/>
      <c r="S1185" s="6"/>
      <c r="T1185" s="6"/>
    </row>
    <row r="1186" spans="1:20">
      <c r="A1186" s="6" t="s">
        <v>1334</v>
      </c>
      <c r="B1186" s="6" t="s">
        <v>76</v>
      </c>
      <c r="C1186" s="6" t="s">
        <v>90</v>
      </c>
      <c r="D1186" s="6" t="s">
        <v>119</v>
      </c>
      <c r="E1186" s="6" t="s">
        <v>120</v>
      </c>
      <c r="F1186" s="7">
        <v>1</v>
      </c>
      <c r="G1186" s="7">
        <v>125</v>
      </c>
      <c r="H1186" s="16">
        <v>45237</v>
      </c>
      <c r="I1186" s="6">
        <v>45</v>
      </c>
      <c r="J1186" s="6" t="s">
        <v>121</v>
      </c>
      <c r="K1186" s="6" t="s">
        <v>298</v>
      </c>
      <c r="L1186" s="11">
        <f>F1186*Controls!$B$6</f>
        <v>1</v>
      </c>
      <c r="M1186" s="11">
        <f>G1186*Controls!$B$6</f>
        <v>125</v>
      </c>
      <c r="N1186" s="12">
        <f>IF(L1186=0,0,SUMIFS('PSI Plan'!$N$6:$N$173,'PSI Plan'!$B$6:$B$173,B1186,'PSI Plan'!$C$6:$C$173,I1186))</f>
        <v>0</v>
      </c>
      <c r="O1186" s="11">
        <f t="shared" si="36"/>
        <v>0</v>
      </c>
      <c r="P1186" s="11">
        <f t="shared" si="37"/>
        <v>0</v>
      </c>
      <c r="Q1186" s="6"/>
      <c r="R1186" s="6"/>
      <c r="S1186" s="6"/>
      <c r="T1186" s="6"/>
    </row>
    <row r="1187" spans="1:20">
      <c r="A1187" s="6" t="s">
        <v>1335</v>
      </c>
      <c r="B1187" s="6" t="s">
        <v>69</v>
      </c>
      <c r="C1187" s="6" t="s">
        <v>90</v>
      </c>
      <c r="D1187" s="6" t="s">
        <v>119</v>
      </c>
      <c r="E1187" s="6" t="s">
        <v>120</v>
      </c>
      <c r="F1187" s="7">
        <v>2</v>
      </c>
      <c r="G1187" s="7">
        <v>250</v>
      </c>
      <c r="H1187" s="16">
        <v>45264</v>
      </c>
      <c r="I1187" s="6">
        <v>49</v>
      </c>
      <c r="J1187" s="6" t="s">
        <v>121</v>
      </c>
      <c r="K1187" s="6" t="s">
        <v>298</v>
      </c>
      <c r="L1187" s="11">
        <f>F1187*Controls!$B$6</f>
        <v>2</v>
      </c>
      <c r="M1187" s="11">
        <f>G1187*Controls!$B$6</f>
        <v>250</v>
      </c>
      <c r="N1187" s="12">
        <f>IF(L1187=0,0,SUMIFS('PSI Plan'!$N$6:$N$173,'PSI Plan'!$B$6:$B$173,B1187,'PSI Plan'!$C$6:$C$173,I1187))</f>
        <v>0</v>
      </c>
      <c r="O1187" s="11">
        <f t="shared" si="36"/>
        <v>0</v>
      </c>
      <c r="P1187" s="11">
        <f t="shared" si="37"/>
        <v>0</v>
      </c>
      <c r="Q1187" s="6"/>
      <c r="R1187" s="6"/>
      <c r="S1187" s="6"/>
      <c r="T1187" s="6"/>
    </row>
    <row r="1188" spans="1:20">
      <c r="A1188" s="6" t="s">
        <v>1336</v>
      </c>
      <c r="B1188" s="6" t="s">
        <v>66</v>
      </c>
      <c r="C1188" s="6" t="s">
        <v>90</v>
      </c>
      <c r="D1188" s="6" t="s">
        <v>119</v>
      </c>
      <c r="E1188" s="6" t="s">
        <v>120</v>
      </c>
      <c r="F1188" s="7">
        <v>52</v>
      </c>
      <c r="G1188" s="7">
        <v>6500</v>
      </c>
      <c r="H1188" s="16">
        <v>45201</v>
      </c>
      <c r="I1188" s="6">
        <v>40</v>
      </c>
      <c r="J1188" s="6" t="s">
        <v>121</v>
      </c>
      <c r="K1188" s="6" t="s">
        <v>122</v>
      </c>
      <c r="L1188" s="11">
        <f>F1188*Controls!$B$6</f>
        <v>52</v>
      </c>
      <c r="M1188" s="11">
        <f>G1188*Controls!$B$6</f>
        <v>6500</v>
      </c>
      <c r="N1188" s="12">
        <f>IF(L1188=0,0,SUMIFS('PSI Plan'!$N$6:$N$173,'PSI Plan'!$B$6:$B$173,B1188,'PSI Plan'!$C$6:$C$173,I1188))</f>
        <v>0</v>
      </c>
      <c r="O1188" s="11">
        <f t="shared" si="36"/>
        <v>0</v>
      </c>
      <c r="P1188" s="11">
        <f t="shared" si="37"/>
        <v>0</v>
      </c>
      <c r="Q1188" s="6"/>
      <c r="R1188" s="6"/>
      <c r="S1188" s="6"/>
      <c r="T1188" s="6"/>
    </row>
    <row r="1189" spans="1:20">
      <c r="A1189" s="6" t="s">
        <v>1337</v>
      </c>
      <c r="B1189" s="6" t="s">
        <v>77</v>
      </c>
      <c r="C1189" s="6" t="s">
        <v>90</v>
      </c>
      <c r="D1189" s="6" t="s">
        <v>119</v>
      </c>
      <c r="E1189" s="6" t="s">
        <v>120</v>
      </c>
      <c r="F1189" s="7">
        <v>78</v>
      </c>
      <c r="G1189" s="7">
        <v>9750</v>
      </c>
      <c r="H1189" s="16">
        <v>45244</v>
      </c>
      <c r="I1189" s="6">
        <v>46</v>
      </c>
      <c r="J1189" s="6" t="s">
        <v>121</v>
      </c>
      <c r="K1189" s="6" t="s">
        <v>122</v>
      </c>
      <c r="L1189" s="11">
        <f>F1189*Controls!$B$6</f>
        <v>78</v>
      </c>
      <c r="M1189" s="11">
        <f>G1189*Controls!$B$6</f>
        <v>9750</v>
      </c>
      <c r="N1189" s="12">
        <f>IF(L1189=0,0,SUMIFS('PSI Plan'!$N$6:$N$173,'PSI Plan'!$B$6:$B$173,B1189,'PSI Plan'!$C$6:$C$173,I1189))</f>
        <v>0</v>
      </c>
      <c r="O1189" s="11">
        <f t="shared" si="36"/>
        <v>0</v>
      </c>
      <c r="P1189" s="11">
        <f t="shared" si="37"/>
        <v>0</v>
      </c>
      <c r="Q1189" s="6"/>
      <c r="R1189" s="6"/>
      <c r="S1189" s="6"/>
      <c r="T1189" s="6"/>
    </row>
    <row r="1190" spans="1:20">
      <c r="A1190" s="6" t="s">
        <v>1338</v>
      </c>
      <c r="B1190" s="6" t="s">
        <v>76</v>
      </c>
      <c r="C1190" s="6" t="s">
        <v>90</v>
      </c>
      <c r="D1190" s="6" t="s">
        <v>119</v>
      </c>
      <c r="E1190" s="6" t="s">
        <v>120</v>
      </c>
      <c r="F1190" s="7">
        <v>104</v>
      </c>
      <c r="G1190" s="7">
        <v>13000</v>
      </c>
      <c r="H1190" s="16">
        <v>45228</v>
      </c>
      <c r="I1190" s="6">
        <v>44</v>
      </c>
      <c r="J1190" s="6" t="s">
        <v>121</v>
      </c>
      <c r="K1190" s="6" t="s">
        <v>122</v>
      </c>
      <c r="L1190" s="11">
        <f>F1190*Controls!$B$6</f>
        <v>104</v>
      </c>
      <c r="M1190" s="11">
        <f>G1190*Controls!$B$6</f>
        <v>13000</v>
      </c>
      <c r="N1190" s="12">
        <f>IF(L1190=0,0,SUMIFS('PSI Plan'!$N$6:$N$173,'PSI Plan'!$B$6:$B$173,B1190,'PSI Plan'!$C$6:$C$173,I1190))</f>
        <v>0</v>
      </c>
      <c r="O1190" s="11">
        <f t="shared" si="36"/>
        <v>0</v>
      </c>
      <c r="P1190" s="11">
        <f t="shared" si="37"/>
        <v>0</v>
      </c>
      <c r="Q1190" s="6"/>
      <c r="R1190" s="6"/>
      <c r="S1190" s="6"/>
      <c r="T1190" s="6"/>
    </row>
    <row r="1191" spans="1:20">
      <c r="A1191" s="6" t="s">
        <v>1339</v>
      </c>
      <c r="B1191" s="6" t="s">
        <v>67</v>
      </c>
      <c r="C1191" s="6" t="s">
        <v>90</v>
      </c>
      <c r="D1191" s="6" t="s">
        <v>119</v>
      </c>
      <c r="E1191" s="6" t="s">
        <v>120</v>
      </c>
      <c r="F1191" s="7">
        <v>52</v>
      </c>
      <c r="G1191" s="7">
        <v>6500</v>
      </c>
      <c r="H1191" s="16">
        <v>45241</v>
      </c>
      <c r="I1191" s="6">
        <v>45</v>
      </c>
      <c r="J1191" s="6" t="s">
        <v>121</v>
      </c>
      <c r="K1191" s="6" t="s">
        <v>122</v>
      </c>
      <c r="L1191" s="11">
        <f>F1191*Controls!$B$6</f>
        <v>52</v>
      </c>
      <c r="M1191" s="11">
        <f>G1191*Controls!$B$6</f>
        <v>6500</v>
      </c>
      <c r="N1191" s="12">
        <f>IF(L1191=0,0,SUMIFS('PSI Plan'!$N$6:$N$173,'PSI Plan'!$B$6:$B$173,B1191,'PSI Plan'!$C$6:$C$173,I1191))</f>
        <v>0</v>
      </c>
      <c r="O1191" s="11">
        <f t="shared" si="36"/>
        <v>0</v>
      </c>
      <c r="P1191" s="11">
        <f t="shared" si="37"/>
        <v>0</v>
      </c>
      <c r="Q1191" s="6"/>
      <c r="R1191" s="6"/>
      <c r="S1191" s="6"/>
      <c r="T1191" s="6"/>
    </row>
    <row r="1192" spans="1:20">
      <c r="A1192" s="6" t="s">
        <v>1340</v>
      </c>
      <c r="B1192" s="6" t="s">
        <v>69</v>
      </c>
      <c r="C1192" s="6" t="s">
        <v>90</v>
      </c>
      <c r="D1192" s="6" t="s">
        <v>119</v>
      </c>
      <c r="E1192" s="6" t="s">
        <v>120</v>
      </c>
      <c r="F1192" s="7">
        <v>26</v>
      </c>
      <c r="G1192" s="7">
        <v>3250</v>
      </c>
      <c r="H1192" s="16">
        <v>45277</v>
      </c>
      <c r="I1192" s="6">
        <v>51</v>
      </c>
      <c r="J1192" s="6" t="s">
        <v>121</v>
      </c>
      <c r="K1192" s="6" t="s">
        <v>122</v>
      </c>
      <c r="L1192" s="11">
        <f>F1192*Controls!$B$6</f>
        <v>26</v>
      </c>
      <c r="M1192" s="11">
        <f>G1192*Controls!$B$6</f>
        <v>3250</v>
      </c>
      <c r="N1192" s="12">
        <f>IF(L1192=0,0,SUMIFS('PSI Plan'!$N$6:$N$173,'PSI Plan'!$B$6:$B$173,B1192,'PSI Plan'!$C$6:$C$173,I1192))</f>
        <v>0</v>
      </c>
      <c r="O1192" s="11">
        <f t="shared" si="36"/>
        <v>0</v>
      </c>
      <c r="P1192" s="11">
        <f t="shared" si="37"/>
        <v>0</v>
      </c>
      <c r="Q1192" s="6"/>
      <c r="R1192" s="6"/>
      <c r="S1192" s="6"/>
      <c r="T1192" s="6"/>
    </row>
    <row r="1193" spans="1:20">
      <c r="A1193" s="6" t="s">
        <v>1341</v>
      </c>
      <c r="B1193" s="6" t="s">
        <v>66</v>
      </c>
      <c r="C1193" s="6" t="s">
        <v>100</v>
      </c>
      <c r="D1193" s="6" t="s">
        <v>567</v>
      </c>
      <c r="E1193" s="6" t="s">
        <v>120</v>
      </c>
      <c r="F1193" s="7">
        <v>8</v>
      </c>
      <c r="G1193" s="7">
        <v>1000</v>
      </c>
      <c r="H1193" s="16">
        <v>45237</v>
      </c>
      <c r="I1193" s="6">
        <v>45</v>
      </c>
      <c r="J1193" s="6" t="s">
        <v>121</v>
      </c>
      <c r="K1193" s="6" t="s">
        <v>781</v>
      </c>
      <c r="L1193" s="11">
        <f>F1193*Controls!$B$6</f>
        <v>8</v>
      </c>
      <c r="M1193" s="11">
        <f>G1193*Controls!$B$6</f>
        <v>1000</v>
      </c>
      <c r="N1193" s="12">
        <f>IF(L1193=0,0,SUMIFS('PSI Plan'!$N$6:$N$173,'PSI Plan'!$B$6:$B$173,B1193,'PSI Plan'!$C$6:$C$173,I1193))</f>
        <v>0</v>
      </c>
      <c r="O1193" s="11">
        <f t="shared" si="36"/>
        <v>0</v>
      </c>
      <c r="P1193" s="11">
        <f t="shared" si="37"/>
        <v>0</v>
      </c>
      <c r="Q1193" s="6"/>
      <c r="R1193" s="6"/>
      <c r="S1193" s="6"/>
      <c r="T1193" s="6"/>
    </row>
    <row r="1194" spans="1:20">
      <c r="A1194" s="6" t="s">
        <v>1342</v>
      </c>
      <c r="B1194" s="6" t="s">
        <v>77</v>
      </c>
      <c r="C1194" s="6" t="s">
        <v>100</v>
      </c>
      <c r="D1194" s="6" t="s">
        <v>567</v>
      </c>
      <c r="E1194" s="6" t="s">
        <v>120</v>
      </c>
      <c r="F1194" s="7">
        <v>20</v>
      </c>
      <c r="G1194" s="7">
        <v>2500</v>
      </c>
      <c r="H1194" s="16">
        <v>45228</v>
      </c>
      <c r="I1194" s="6">
        <v>44</v>
      </c>
      <c r="J1194" s="6" t="s">
        <v>121</v>
      </c>
      <c r="K1194" s="6" t="s">
        <v>781</v>
      </c>
      <c r="L1194" s="11">
        <f>F1194*Controls!$B$6</f>
        <v>20</v>
      </c>
      <c r="M1194" s="11">
        <f>G1194*Controls!$B$6</f>
        <v>2500</v>
      </c>
      <c r="N1194" s="12">
        <f>IF(L1194=0,0,SUMIFS('PSI Plan'!$N$6:$N$173,'PSI Plan'!$B$6:$B$173,B1194,'PSI Plan'!$C$6:$C$173,I1194))</f>
        <v>0</v>
      </c>
      <c r="O1194" s="11">
        <f t="shared" si="36"/>
        <v>0</v>
      </c>
      <c r="P1194" s="11">
        <f t="shared" si="37"/>
        <v>0</v>
      </c>
      <c r="Q1194" s="6"/>
      <c r="R1194" s="6"/>
      <c r="S1194" s="6"/>
      <c r="T1194" s="6"/>
    </row>
    <row r="1195" spans="1:20">
      <c r="A1195" s="6" t="s">
        <v>1343</v>
      </c>
      <c r="B1195" s="6" t="s">
        <v>76</v>
      </c>
      <c r="C1195" s="6" t="s">
        <v>100</v>
      </c>
      <c r="D1195" s="6" t="s">
        <v>567</v>
      </c>
      <c r="E1195" s="6" t="s">
        <v>120</v>
      </c>
      <c r="F1195" s="7">
        <v>20</v>
      </c>
      <c r="G1195" s="7">
        <v>2500</v>
      </c>
      <c r="H1195" s="16">
        <v>45255</v>
      </c>
      <c r="I1195" s="6">
        <v>47</v>
      </c>
      <c r="J1195" s="6" t="s">
        <v>121</v>
      </c>
      <c r="K1195" s="6" t="s">
        <v>781</v>
      </c>
      <c r="L1195" s="11">
        <f>F1195*Controls!$B$6</f>
        <v>20</v>
      </c>
      <c r="M1195" s="11">
        <f>G1195*Controls!$B$6</f>
        <v>2500</v>
      </c>
      <c r="N1195" s="12">
        <f>IF(L1195=0,0,SUMIFS('PSI Plan'!$N$6:$N$173,'PSI Plan'!$B$6:$B$173,B1195,'PSI Plan'!$C$6:$C$173,I1195))</f>
        <v>0</v>
      </c>
      <c r="O1195" s="11">
        <f t="shared" si="36"/>
        <v>0</v>
      </c>
      <c r="P1195" s="11">
        <f t="shared" si="37"/>
        <v>0</v>
      </c>
      <c r="Q1195" s="6"/>
      <c r="R1195" s="6"/>
      <c r="S1195" s="6"/>
      <c r="T1195" s="6"/>
    </row>
    <row r="1196" spans="1:20">
      <c r="A1196" s="6" t="s">
        <v>1344</v>
      </c>
      <c r="B1196" s="6" t="s">
        <v>67</v>
      </c>
      <c r="C1196" s="6" t="s">
        <v>100</v>
      </c>
      <c r="D1196" s="6" t="s">
        <v>567</v>
      </c>
      <c r="E1196" s="6" t="s">
        <v>120</v>
      </c>
      <c r="F1196" s="7">
        <v>1</v>
      </c>
      <c r="G1196" s="7">
        <v>125</v>
      </c>
      <c r="H1196" s="16">
        <v>45288</v>
      </c>
      <c r="I1196" s="6">
        <v>52</v>
      </c>
      <c r="J1196" s="6" t="s">
        <v>121</v>
      </c>
      <c r="K1196" s="6" t="s">
        <v>781</v>
      </c>
      <c r="L1196" s="11">
        <f>F1196*Controls!$B$6</f>
        <v>1</v>
      </c>
      <c r="M1196" s="11">
        <f>G1196*Controls!$B$6</f>
        <v>125</v>
      </c>
      <c r="N1196" s="12">
        <f>IF(L1196=0,0,SUMIFS('PSI Plan'!$N$6:$N$173,'PSI Plan'!$B$6:$B$173,B1196,'PSI Plan'!$C$6:$C$173,I1196))</f>
        <v>0</v>
      </c>
      <c r="O1196" s="11">
        <f t="shared" si="36"/>
        <v>0</v>
      </c>
      <c r="P1196" s="11">
        <f t="shared" si="37"/>
        <v>0</v>
      </c>
      <c r="Q1196" s="6"/>
      <c r="R1196" s="6"/>
      <c r="S1196" s="6"/>
      <c r="T1196" s="6"/>
    </row>
    <row r="1197" spans="1:20">
      <c r="A1197" s="6" t="s">
        <v>1345</v>
      </c>
      <c r="B1197" s="6" t="s">
        <v>69</v>
      </c>
      <c r="C1197" s="6" t="s">
        <v>100</v>
      </c>
      <c r="D1197" s="6" t="s">
        <v>567</v>
      </c>
      <c r="E1197" s="6" t="s">
        <v>120</v>
      </c>
      <c r="F1197" s="7">
        <v>5</v>
      </c>
      <c r="G1197" s="7">
        <v>625</v>
      </c>
      <c r="H1197" s="16">
        <v>45230</v>
      </c>
      <c r="I1197" s="6">
        <v>44</v>
      </c>
      <c r="J1197" s="6" t="s">
        <v>121</v>
      </c>
      <c r="K1197" s="6" t="s">
        <v>781</v>
      </c>
      <c r="L1197" s="11">
        <f>F1197*Controls!$B$6</f>
        <v>5</v>
      </c>
      <c r="M1197" s="11">
        <f>G1197*Controls!$B$6</f>
        <v>625</v>
      </c>
      <c r="N1197" s="12">
        <f>IF(L1197=0,0,SUMIFS('PSI Plan'!$N$6:$N$173,'PSI Plan'!$B$6:$B$173,B1197,'PSI Plan'!$C$6:$C$173,I1197))</f>
        <v>0</v>
      </c>
      <c r="O1197" s="11">
        <f t="shared" si="36"/>
        <v>0</v>
      </c>
      <c r="P1197" s="11">
        <f t="shared" si="37"/>
        <v>0</v>
      </c>
      <c r="Q1197" s="6"/>
      <c r="R1197" s="6"/>
      <c r="S1197" s="6"/>
      <c r="T1197" s="6"/>
    </row>
    <row r="1198" spans="1:20">
      <c r="A1198" s="6" t="s">
        <v>1346</v>
      </c>
      <c r="B1198" s="6" t="s">
        <v>66</v>
      </c>
      <c r="C1198" s="6" t="s">
        <v>99</v>
      </c>
      <c r="D1198" s="6" t="s">
        <v>319</v>
      </c>
      <c r="E1198" s="6" t="s">
        <v>120</v>
      </c>
      <c r="F1198" s="7">
        <v>22</v>
      </c>
      <c r="G1198" s="7">
        <v>2750</v>
      </c>
      <c r="H1198" s="16">
        <v>45260</v>
      </c>
      <c r="I1198" s="6">
        <v>48</v>
      </c>
      <c r="J1198" s="6" t="s">
        <v>121</v>
      </c>
      <c r="K1198" s="6" t="s">
        <v>347</v>
      </c>
      <c r="L1198" s="11">
        <f>F1198*Controls!$B$6</f>
        <v>22</v>
      </c>
      <c r="M1198" s="11">
        <f>G1198*Controls!$B$6</f>
        <v>2750</v>
      </c>
      <c r="N1198" s="12">
        <f>IF(L1198=0,0,SUMIFS('PSI Plan'!$N$6:$N$173,'PSI Plan'!$B$6:$B$173,B1198,'PSI Plan'!$C$6:$C$173,I1198))</f>
        <v>0</v>
      </c>
      <c r="O1198" s="11">
        <f t="shared" si="36"/>
        <v>0</v>
      </c>
      <c r="P1198" s="11">
        <f t="shared" si="37"/>
        <v>0</v>
      </c>
      <c r="Q1198" s="6"/>
      <c r="R1198" s="6"/>
      <c r="S1198" s="6"/>
      <c r="T1198" s="6"/>
    </row>
    <row r="1199" spans="1:20">
      <c r="A1199" s="6" t="s">
        <v>1347</v>
      </c>
      <c r="B1199" s="6" t="s">
        <v>77</v>
      </c>
      <c r="C1199" s="6" t="s">
        <v>99</v>
      </c>
      <c r="D1199" s="6" t="s">
        <v>319</v>
      </c>
      <c r="E1199" s="6" t="s">
        <v>120</v>
      </c>
      <c r="F1199" s="7">
        <v>24</v>
      </c>
      <c r="G1199" s="7">
        <v>3000</v>
      </c>
      <c r="H1199" s="16">
        <v>45234</v>
      </c>
      <c r="I1199" s="6">
        <v>44</v>
      </c>
      <c r="J1199" s="6" t="s">
        <v>121</v>
      </c>
      <c r="K1199" s="6" t="s">
        <v>347</v>
      </c>
      <c r="L1199" s="11">
        <f>F1199*Controls!$B$6</f>
        <v>24</v>
      </c>
      <c r="M1199" s="11">
        <f>G1199*Controls!$B$6</f>
        <v>3000</v>
      </c>
      <c r="N1199" s="12">
        <f>IF(L1199=0,0,SUMIFS('PSI Plan'!$N$6:$N$173,'PSI Plan'!$B$6:$B$173,B1199,'PSI Plan'!$C$6:$C$173,I1199))</f>
        <v>0</v>
      </c>
      <c r="O1199" s="11">
        <f t="shared" si="36"/>
        <v>0</v>
      </c>
      <c r="P1199" s="11">
        <f t="shared" si="37"/>
        <v>0</v>
      </c>
      <c r="Q1199" s="6"/>
      <c r="R1199" s="6"/>
      <c r="S1199" s="6"/>
      <c r="T1199" s="6"/>
    </row>
    <row r="1200" spans="1:20">
      <c r="A1200" s="6" t="s">
        <v>1348</v>
      </c>
      <c r="B1200" s="6" t="s">
        <v>67</v>
      </c>
      <c r="C1200" s="6" t="s">
        <v>99</v>
      </c>
      <c r="D1200" s="6" t="s">
        <v>319</v>
      </c>
      <c r="E1200" s="6" t="s">
        <v>120</v>
      </c>
      <c r="F1200" s="7">
        <v>4</v>
      </c>
      <c r="G1200" s="7">
        <v>500</v>
      </c>
      <c r="H1200" s="16">
        <v>45201</v>
      </c>
      <c r="I1200" s="6">
        <v>40</v>
      </c>
      <c r="J1200" s="6" t="s">
        <v>121</v>
      </c>
      <c r="K1200" s="6" t="s">
        <v>347</v>
      </c>
      <c r="L1200" s="11">
        <f>F1200*Controls!$B$6</f>
        <v>4</v>
      </c>
      <c r="M1200" s="11">
        <f>G1200*Controls!$B$6</f>
        <v>500</v>
      </c>
      <c r="N1200" s="12">
        <f>IF(L1200=0,0,SUMIFS('PSI Plan'!$N$6:$N$173,'PSI Plan'!$B$6:$B$173,B1200,'PSI Plan'!$C$6:$C$173,I1200))</f>
        <v>0</v>
      </c>
      <c r="O1200" s="11">
        <f t="shared" si="36"/>
        <v>0</v>
      </c>
      <c r="P1200" s="11">
        <f t="shared" si="37"/>
        <v>0</v>
      </c>
      <c r="Q1200" s="6"/>
      <c r="R1200" s="6"/>
      <c r="S1200" s="6"/>
      <c r="T1200" s="6"/>
    </row>
    <row r="1201" spans="1:20">
      <c r="A1201" s="6" t="s">
        <v>1349</v>
      </c>
      <c r="B1201" s="6" t="s">
        <v>69</v>
      </c>
      <c r="C1201" s="6" t="s">
        <v>99</v>
      </c>
      <c r="D1201" s="6" t="s">
        <v>319</v>
      </c>
      <c r="E1201" s="6" t="s">
        <v>120</v>
      </c>
      <c r="F1201" s="7">
        <v>52</v>
      </c>
      <c r="G1201" s="7">
        <v>6500</v>
      </c>
      <c r="H1201" s="16">
        <v>45271</v>
      </c>
      <c r="I1201" s="6">
        <v>50</v>
      </c>
      <c r="J1201" s="6" t="s">
        <v>121</v>
      </c>
      <c r="K1201" s="6" t="s">
        <v>347</v>
      </c>
      <c r="L1201" s="11">
        <f>F1201*Controls!$B$6</f>
        <v>52</v>
      </c>
      <c r="M1201" s="11">
        <f>G1201*Controls!$B$6</f>
        <v>6500</v>
      </c>
      <c r="N1201" s="12">
        <f>IF(L1201=0,0,SUMIFS('PSI Plan'!$N$6:$N$173,'PSI Plan'!$B$6:$B$173,B1201,'PSI Plan'!$C$6:$C$173,I1201))</f>
        <v>0</v>
      </c>
      <c r="O1201" s="11">
        <f t="shared" si="36"/>
        <v>0</v>
      </c>
      <c r="P1201" s="11">
        <f t="shared" si="37"/>
        <v>0</v>
      </c>
      <c r="Q1201" s="6"/>
      <c r="R1201" s="6"/>
      <c r="S1201" s="6"/>
      <c r="T1201" s="6"/>
    </row>
    <row r="1202" spans="1:20">
      <c r="A1202" s="6" t="s">
        <v>1350</v>
      </c>
      <c r="B1202" s="6" t="s">
        <v>66</v>
      </c>
      <c r="C1202" s="6" t="s">
        <v>99</v>
      </c>
      <c r="D1202" s="6" t="s">
        <v>319</v>
      </c>
      <c r="E1202" s="6" t="s">
        <v>120</v>
      </c>
      <c r="F1202" s="7">
        <v>134</v>
      </c>
      <c r="G1202" s="7">
        <v>16750</v>
      </c>
      <c r="H1202" s="16">
        <v>45236</v>
      </c>
      <c r="I1202" s="6">
        <v>45</v>
      </c>
      <c r="J1202" s="6" t="s">
        <v>121</v>
      </c>
      <c r="K1202" s="6" t="s">
        <v>347</v>
      </c>
      <c r="L1202" s="11">
        <f>F1202*Controls!$B$6</f>
        <v>134</v>
      </c>
      <c r="M1202" s="11">
        <f>G1202*Controls!$B$6</f>
        <v>16750</v>
      </c>
      <c r="N1202" s="12">
        <f>IF(L1202=0,0,SUMIFS('PSI Plan'!$N$6:$N$173,'PSI Plan'!$B$6:$B$173,B1202,'PSI Plan'!$C$6:$C$173,I1202))</f>
        <v>0</v>
      </c>
      <c r="O1202" s="11">
        <f t="shared" si="36"/>
        <v>0</v>
      </c>
      <c r="P1202" s="11">
        <f t="shared" si="37"/>
        <v>0</v>
      </c>
      <c r="Q1202" s="6"/>
      <c r="R1202" s="6"/>
      <c r="S1202" s="6"/>
      <c r="T1202" s="6"/>
    </row>
    <row r="1203" spans="1:20">
      <c r="A1203" s="6" t="s">
        <v>1351</v>
      </c>
      <c r="B1203" s="6" t="s">
        <v>77</v>
      </c>
      <c r="C1203" s="6" t="s">
        <v>99</v>
      </c>
      <c r="D1203" s="6" t="s">
        <v>319</v>
      </c>
      <c r="E1203" s="6" t="s">
        <v>120</v>
      </c>
      <c r="F1203" s="7">
        <v>182</v>
      </c>
      <c r="G1203" s="7">
        <v>22750</v>
      </c>
      <c r="H1203" s="16">
        <v>45250</v>
      </c>
      <c r="I1203" s="6">
        <v>47</v>
      </c>
      <c r="J1203" s="6" t="s">
        <v>121</v>
      </c>
      <c r="K1203" s="6" t="s">
        <v>347</v>
      </c>
      <c r="L1203" s="11">
        <f>F1203*Controls!$B$6</f>
        <v>182</v>
      </c>
      <c r="M1203" s="11">
        <f>G1203*Controls!$B$6</f>
        <v>22750</v>
      </c>
      <c r="N1203" s="12">
        <f>IF(L1203=0,0,SUMIFS('PSI Plan'!$N$6:$N$173,'PSI Plan'!$B$6:$B$173,B1203,'PSI Plan'!$C$6:$C$173,I1203))</f>
        <v>0</v>
      </c>
      <c r="O1203" s="11">
        <f t="shared" si="36"/>
        <v>0</v>
      </c>
      <c r="P1203" s="11">
        <f t="shared" si="37"/>
        <v>0</v>
      </c>
      <c r="Q1203" s="6"/>
      <c r="R1203" s="6"/>
      <c r="S1203" s="6"/>
      <c r="T1203" s="6"/>
    </row>
    <row r="1204" spans="1:20">
      <c r="A1204" s="6" t="s">
        <v>1352</v>
      </c>
      <c r="B1204" s="6" t="s">
        <v>76</v>
      </c>
      <c r="C1204" s="6" t="s">
        <v>99</v>
      </c>
      <c r="D1204" s="6" t="s">
        <v>319</v>
      </c>
      <c r="E1204" s="6" t="s">
        <v>120</v>
      </c>
      <c r="F1204" s="7">
        <v>26</v>
      </c>
      <c r="G1204" s="7">
        <v>3250</v>
      </c>
      <c r="H1204" s="16">
        <v>45263</v>
      </c>
      <c r="I1204" s="6">
        <v>49</v>
      </c>
      <c r="J1204" s="6" t="s">
        <v>121</v>
      </c>
      <c r="K1204" s="6" t="s">
        <v>347</v>
      </c>
      <c r="L1204" s="11">
        <f>F1204*Controls!$B$6</f>
        <v>26</v>
      </c>
      <c r="M1204" s="11">
        <f>G1204*Controls!$B$6</f>
        <v>3250</v>
      </c>
      <c r="N1204" s="12">
        <f>IF(L1204=0,0,SUMIFS('PSI Plan'!$N$6:$N$173,'PSI Plan'!$B$6:$B$173,B1204,'PSI Plan'!$C$6:$C$173,I1204))</f>
        <v>0</v>
      </c>
      <c r="O1204" s="11">
        <f t="shared" si="36"/>
        <v>0</v>
      </c>
      <c r="P1204" s="11">
        <f t="shared" si="37"/>
        <v>0</v>
      </c>
      <c r="Q1204" s="6"/>
      <c r="R1204" s="6"/>
      <c r="S1204" s="6"/>
      <c r="T1204" s="6"/>
    </row>
    <row r="1205" spans="1:20">
      <c r="A1205" s="6" t="s">
        <v>1353</v>
      </c>
      <c r="B1205" s="6" t="s">
        <v>67</v>
      </c>
      <c r="C1205" s="6" t="s">
        <v>99</v>
      </c>
      <c r="D1205" s="6" t="s">
        <v>319</v>
      </c>
      <c r="E1205" s="6" t="s">
        <v>120</v>
      </c>
      <c r="F1205" s="7">
        <v>156</v>
      </c>
      <c r="G1205" s="7">
        <v>19500</v>
      </c>
      <c r="H1205" s="16">
        <v>45204</v>
      </c>
      <c r="I1205" s="6">
        <v>40</v>
      </c>
      <c r="J1205" s="6" t="s">
        <v>121</v>
      </c>
      <c r="K1205" s="6" t="s">
        <v>347</v>
      </c>
      <c r="L1205" s="11">
        <f>F1205*Controls!$B$6</f>
        <v>156</v>
      </c>
      <c r="M1205" s="11">
        <f>G1205*Controls!$B$6</f>
        <v>19500</v>
      </c>
      <c r="N1205" s="12">
        <f>IF(L1205=0,0,SUMIFS('PSI Plan'!$N$6:$N$173,'PSI Plan'!$B$6:$B$173,B1205,'PSI Plan'!$C$6:$C$173,I1205))</f>
        <v>0</v>
      </c>
      <c r="O1205" s="11">
        <f t="shared" si="36"/>
        <v>0</v>
      </c>
      <c r="P1205" s="11">
        <f t="shared" si="37"/>
        <v>0</v>
      </c>
      <c r="Q1205" s="6"/>
      <c r="R1205" s="6"/>
      <c r="S1205" s="6"/>
      <c r="T1205" s="6"/>
    </row>
    <row r="1206" spans="1:20">
      <c r="A1206" s="6" t="s">
        <v>1354</v>
      </c>
      <c r="B1206" s="6" t="s">
        <v>69</v>
      </c>
      <c r="C1206" s="6" t="s">
        <v>99</v>
      </c>
      <c r="D1206" s="6" t="s">
        <v>319</v>
      </c>
      <c r="E1206" s="6" t="s">
        <v>120</v>
      </c>
      <c r="F1206" s="7">
        <v>282</v>
      </c>
      <c r="G1206" s="7">
        <v>35250</v>
      </c>
      <c r="H1206" s="16">
        <v>45288</v>
      </c>
      <c r="I1206" s="6">
        <v>52</v>
      </c>
      <c r="J1206" s="6" t="s">
        <v>121</v>
      </c>
      <c r="K1206" s="6" t="s">
        <v>347</v>
      </c>
      <c r="L1206" s="11">
        <f>F1206*Controls!$B$6</f>
        <v>282</v>
      </c>
      <c r="M1206" s="11">
        <f>G1206*Controls!$B$6</f>
        <v>35250</v>
      </c>
      <c r="N1206" s="12">
        <f>IF(L1206=0,0,SUMIFS('PSI Plan'!$N$6:$N$173,'PSI Plan'!$B$6:$B$173,B1206,'PSI Plan'!$C$6:$C$173,I1206))</f>
        <v>0</v>
      </c>
      <c r="O1206" s="11">
        <f t="shared" si="36"/>
        <v>0</v>
      </c>
      <c r="P1206" s="11">
        <f t="shared" si="37"/>
        <v>0</v>
      </c>
      <c r="Q1206" s="6"/>
      <c r="R1206" s="6"/>
      <c r="S1206" s="6"/>
      <c r="T1206" s="6"/>
    </row>
    <row r="1207" spans="1:20">
      <c r="A1207" s="6" t="s">
        <v>1355</v>
      </c>
      <c r="B1207" s="6" t="s">
        <v>66</v>
      </c>
      <c r="C1207" s="6" t="s">
        <v>99</v>
      </c>
      <c r="D1207" s="6" t="s">
        <v>319</v>
      </c>
      <c r="E1207" s="6" t="s">
        <v>120</v>
      </c>
      <c r="F1207" s="7">
        <v>64</v>
      </c>
      <c r="G1207" s="7">
        <v>8000</v>
      </c>
      <c r="H1207" s="16">
        <v>45239</v>
      </c>
      <c r="I1207" s="6">
        <v>45</v>
      </c>
      <c r="J1207" s="6" t="s">
        <v>121</v>
      </c>
      <c r="K1207" s="6" t="s">
        <v>324</v>
      </c>
      <c r="L1207" s="11">
        <f>F1207*Controls!$B$6</f>
        <v>64</v>
      </c>
      <c r="M1207" s="11">
        <f>G1207*Controls!$B$6</f>
        <v>8000</v>
      </c>
      <c r="N1207" s="12">
        <f>IF(L1207=0,0,SUMIFS('PSI Plan'!$N$6:$N$173,'PSI Plan'!$B$6:$B$173,B1207,'PSI Plan'!$C$6:$C$173,I1207))</f>
        <v>0</v>
      </c>
      <c r="O1207" s="11">
        <f t="shared" si="36"/>
        <v>0</v>
      </c>
      <c r="P1207" s="11">
        <f t="shared" si="37"/>
        <v>0</v>
      </c>
      <c r="Q1207" s="6"/>
      <c r="R1207" s="6"/>
      <c r="S1207" s="6"/>
      <c r="T1207" s="6"/>
    </row>
    <row r="1208" spans="1:20">
      <c r="A1208" s="6" t="s">
        <v>1356</v>
      </c>
      <c r="B1208" s="6" t="s">
        <v>77</v>
      </c>
      <c r="C1208" s="6" t="s">
        <v>99</v>
      </c>
      <c r="D1208" s="6" t="s">
        <v>319</v>
      </c>
      <c r="E1208" s="6" t="s">
        <v>120</v>
      </c>
      <c r="F1208" s="7">
        <v>25</v>
      </c>
      <c r="G1208" s="7">
        <v>3125</v>
      </c>
      <c r="H1208" s="16">
        <v>45257</v>
      </c>
      <c r="I1208" s="6">
        <v>48</v>
      </c>
      <c r="J1208" s="6" t="s">
        <v>121</v>
      </c>
      <c r="K1208" s="6" t="s">
        <v>324</v>
      </c>
      <c r="L1208" s="11">
        <f>F1208*Controls!$B$6</f>
        <v>25</v>
      </c>
      <c r="M1208" s="11">
        <f>G1208*Controls!$B$6</f>
        <v>3125</v>
      </c>
      <c r="N1208" s="12">
        <f>IF(L1208=0,0,SUMIFS('PSI Plan'!$N$6:$N$173,'PSI Plan'!$B$6:$B$173,B1208,'PSI Plan'!$C$6:$C$173,I1208))</f>
        <v>0</v>
      </c>
      <c r="O1208" s="11">
        <f t="shared" si="36"/>
        <v>0</v>
      </c>
      <c r="P1208" s="11">
        <f t="shared" si="37"/>
        <v>0</v>
      </c>
      <c r="Q1208" s="6"/>
      <c r="R1208" s="6"/>
      <c r="S1208" s="6"/>
      <c r="T1208" s="6"/>
    </row>
    <row r="1209" spans="1:20">
      <c r="A1209" s="6" t="s">
        <v>1357</v>
      </c>
      <c r="B1209" s="6" t="s">
        <v>67</v>
      </c>
      <c r="C1209" s="6" t="s">
        <v>99</v>
      </c>
      <c r="D1209" s="6" t="s">
        <v>319</v>
      </c>
      <c r="E1209" s="6" t="s">
        <v>120</v>
      </c>
      <c r="F1209" s="7">
        <v>32</v>
      </c>
      <c r="G1209" s="7">
        <v>4000</v>
      </c>
      <c r="H1209" s="16">
        <v>45217</v>
      </c>
      <c r="I1209" s="6">
        <v>42</v>
      </c>
      <c r="J1209" s="6" t="s">
        <v>121</v>
      </c>
      <c r="K1209" s="6" t="s">
        <v>324</v>
      </c>
      <c r="L1209" s="11">
        <f>F1209*Controls!$B$6</f>
        <v>32</v>
      </c>
      <c r="M1209" s="11">
        <f>G1209*Controls!$B$6</f>
        <v>4000</v>
      </c>
      <c r="N1209" s="12">
        <f>IF(L1209=0,0,SUMIFS('PSI Plan'!$N$6:$N$173,'PSI Plan'!$B$6:$B$173,B1209,'PSI Plan'!$C$6:$C$173,I1209))</f>
        <v>0</v>
      </c>
      <c r="O1209" s="11">
        <f t="shared" si="36"/>
        <v>0</v>
      </c>
      <c r="P1209" s="11">
        <f t="shared" si="37"/>
        <v>0</v>
      </c>
      <c r="Q1209" s="6"/>
      <c r="R1209" s="6"/>
      <c r="S1209" s="6"/>
      <c r="T1209" s="6"/>
    </row>
    <row r="1210" spans="1:20">
      <c r="A1210" s="6" t="s">
        <v>1358</v>
      </c>
      <c r="B1210" s="6" t="s">
        <v>69</v>
      </c>
      <c r="C1210" s="6" t="s">
        <v>99</v>
      </c>
      <c r="D1210" s="6" t="s">
        <v>319</v>
      </c>
      <c r="E1210" s="6" t="s">
        <v>120</v>
      </c>
      <c r="F1210" s="7">
        <v>62</v>
      </c>
      <c r="G1210" s="7">
        <v>7750</v>
      </c>
      <c r="H1210" s="16">
        <v>45270</v>
      </c>
      <c r="I1210" s="6">
        <v>50</v>
      </c>
      <c r="J1210" s="6" t="s">
        <v>121</v>
      </c>
      <c r="K1210" s="6" t="s">
        <v>324</v>
      </c>
      <c r="L1210" s="11">
        <f>F1210*Controls!$B$6</f>
        <v>62</v>
      </c>
      <c r="M1210" s="11">
        <f>G1210*Controls!$B$6</f>
        <v>7750</v>
      </c>
      <c r="N1210" s="12">
        <f>IF(L1210=0,0,SUMIFS('PSI Plan'!$N$6:$N$173,'PSI Plan'!$B$6:$B$173,B1210,'PSI Plan'!$C$6:$C$173,I1210))</f>
        <v>0</v>
      </c>
      <c r="O1210" s="11">
        <f t="shared" si="36"/>
        <v>0</v>
      </c>
      <c r="P1210" s="11">
        <f t="shared" si="37"/>
        <v>0</v>
      </c>
      <c r="Q1210" s="6"/>
      <c r="R1210" s="6"/>
      <c r="S1210" s="6"/>
      <c r="T1210" s="6"/>
    </row>
    <row r="1211" spans="1:20">
      <c r="A1211" s="6" t="s">
        <v>1359</v>
      </c>
      <c r="B1211" s="6" t="s">
        <v>77</v>
      </c>
      <c r="C1211" s="6" t="s">
        <v>99</v>
      </c>
      <c r="D1211" s="6" t="s">
        <v>319</v>
      </c>
      <c r="E1211" s="6" t="s">
        <v>120</v>
      </c>
      <c r="F1211" s="7">
        <v>2</v>
      </c>
      <c r="G1211" s="7">
        <v>250</v>
      </c>
      <c r="H1211" s="16">
        <v>45234</v>
      </c>
      <c r="I1211" s="6">
        <v>44</v>
      </c>
      <c r="J1211" s="6" t="s">
        <v>121</v>
      </c>
      <c r="K1211" s="6" t="s">
        <v>374</v>
      </c>
      <c r="L1211" s="11">
        <f>F1211*Controls!$B$6</f>
        <v>2</v>
      </c>
      <c r="M1211" s="11">
        <f>G1211*Controls!$B$6</f>
        <v>250</v>
      </c>
      <c r="N1211" s="12">
        <f>IF(L1211=0,0,SUMIFS('PSI Plan'!$N$6:$N$173,'PSI Plan'!$B$6:$B$173,B1211,'PSI Plan'!$C$6:$C$173,I1211))</f>
        <v>0</v>
      </c>
      <c r="O1211" s="11">
        <f t="shared" si="36"/>
        <v>0</v>
      </c>
      <c r="P1211" s="11">
        <f t="shared" si="37"/>
        <v>0</v>
      </c>
      <c r="Q1211" s="6"/>
      <c r="R1211" s="6"/>
      <c r="S1211" s="6"/>
      <c r="T1211" s="6"/>
    </row>
    <row r="1212" spans="1:20">
      <c r="A1212" s="6" t="s">
        <v>1360</v>
      </c>
      <c r="B1212" s="6" t="s">
        <v>76</v>
      </c>
      <c r="C1212" s="6" t="s">
        <v>99</v>
      </c>
      <c r="D1212" s="6" t="s">
        <v>319</v>
      </c>
      <c r="E1212" s="6" t="s">
        <v>120</v>
      </c>
      <c r="F1212" s="7">
        <v>8</v>
      </c>
      <c r="G1212" s="7">
        <v>1000</v>
      </c>
      <c r="H1212" s="16">
        <v>45281</v>
      </c>
      <c r="I1212" s="6">
        <v>51</v>
      </c>
      <c r="J1212" s="6" t="s">
        <v>121</v>
      </c>
      <c r="K1212" s="6" t="s">
        <v>374</v>
      </c>
      <c r="L1212" s="11">
        <f>F1212*Controls!$B$6</f>
        <v>8</v>
      </c>
      <c r="M1212" s="11">
        <f>G1212*Controls!$B$6</f>
        <v>1000</v>
      </c>
      <c r="N1212" s="12">
        <f>IF(L1212=0,0,SUMIFS('PSI Plan'!$N$6:$N$173,'PSI Plan'!$B$6:$B$173,B1212,'PSI Plan'!$C$6:$C$173,I1212))</f>
        <v>0</v>
      </c>
      <c r="O1212" s="11">
        <f t="shared" si="36"/>
        <v>0</v>
      </c>
      <c r="P1212" s="11">
        <f t="shared" si="37"/>
        <v>0</v>
      </c>
      <c r="Q1212" s="6"/>
      <c r="R1212" s="6"/>
      <c r="S1212" s="6"/>
      <c r="T1212" s="6"/>
    </row>
    <row r="1213" spans="1:20">
      <c r="A1213" s="6" t="s">
        <v>1361</v>
      </c>
      <c r="B1213" s="6" t="s">
        <v>67</v>
      </c>
      <c r="C1213" s="6" t="s">
        <v>99</v>
      </c>
      <c r="D1213" s="6" t="s">
        <v>319</v>
      </c>
      <c r="E1213" s="6" t="s">
        <v>120</v>
      </c>
      <c r="F1213" s="7">
        <v>40</v>
      </c>
      <c r="G1213" s="7">
        <v>5000</v>
      </c>
      <c r="H1213" s="16">
        <v>45217</v>
      </c>
      <c r="I1213" s="6">
        <v>42</v>
      </c>
      <c r="J1213" s="6" t="s">
        <v>121</v>
      </c>
      <c r="K1213" s="6" t="s">
        <v>374</v>
      </c>
      <c r="L1213" s="11">
        <f>F1213*Controls!$B$6</f>
        <v>40</v>
      </c>
      <c r="M1213" s="11">
        <f>G1213*Controls!$B$6</f>
        <v>5000</v>
      </c>
      <c r="N1213" s="12">
        <f>IF(L1213=0,0,SUMIFS('PSI Plan'!$N$6:$N$173,'PSI Plan'!$B$6:$B$173,B1213,'PSI Plan'!$C$6:$C$173,I1213))</f>
        <v>0</v>
      </c>
      <c r="O1213" s="11">
        <f t="shared" si="36"/>
        <v>0</v>
      </c>
      <c r="P1213" s="11">
        <f t="shared" si="37"/>
        <v>0</v>
      </c>
      <c r="Q1213" s="6"/>
      <c r="R1213" s="6"/>
      <c r="S1213" s="6"/>
      <c r="T1213" s="6"/>
    </row>
    <row r="1214" spans="1:20">
      <c r="A1214" s="6" t="s">
        <v>1362</v>
      </c>
      <c r="B1214" s="6" t="s">
        <v>69</v>
      </c>
      <c r="C1214" s="6" t="s">
        <v>99</v>
      </c>
      <c r="D1214" s="6" t="s">
        <v>319</v>
      </c>
      <c r="E1214" s="6" t="s">
        <v>120</v>
      </c>
      <c r="F1214" s="7">
        <v>8</v>
      </c>
      <c r="G1214" s="7">
        <v>1000</v>
      </c>
      <c r="H1214" s="16">
        <v>45265</v>
      </c>
      <c r="I1214" s="6">
        <v>49</v>
      </c>
      <c r="J1214" s="6" t="s">
        <v>121</v>
      </c>
      <c r="K1214" s="6" t="s">
        <v>374</v>
      </c>
      <c r="L1214" s="11">
        <f>F1214*Controls!$B$6</f>
        <v>8</v>
      </c>
      <c r="M1214" s="11">
        <f>G1214*Controls!$B$6</f>
        <v>1000</v>
      </c>
      <c r="N1214" s="12">
        <f>IF(L1214=0,0,SUMIFS('PSI Plan'!$N$6:$N$173,'PSI Plan'!$B$6:$B$173,B1214,'PSI Plan'!$C$6:$C$173,I1214))</f>
        <v>0</v>
      </c>
      <c r="O1214" s="11">
        <f t="shared" si="36"/>
        <v>0</v>
      </c>
      <c r="P1214" s="11">
        <f t="shared" si="37"/>
        <v>0</v>
      </c>
      <c r="Q1214" s="6"/>
      <c r="R1214" s="6"/>
      <c r="S1214" s="6"/>
      <c r="T1214" s="6"/>
    </row>
    <row r="1215" spans="1:20">
      <c r="A1215" s="6" t="s">
        <v>1363</v>
      </c>
      <c r="B1215" s="6" t="s">
        <v>66</v>
      </c>
      <c r="C1215" s="6" t="s">
        <v>90</v>
      </c>
      <c r="D1215" s="6" t="s">
        <v>119</v>
      </c>
      <c r="E1215" s="6" t="s">
        <v>120</v>
      </c>
      <c r="F1215" s="7">
        <v>26</v>
      </c>
      <c r="G1215" s="7">
        <v>3250</v>
      </c>
      <c r="H1215" s="16">
        <v>45204</v>
      </c>
      <c r="I1215" s="6">
        <v>40</v>
      </c>
      <c r="J1215" s="6" t="s">
        <v>121</v>
      </c>
      <c r="K1215" s="6" t="s">
        <v>855</v>
      </c>
      <c r="L1215" s="11">
        <f>F1215*Controls!$B$6</f>
        <v>26</v>
      </c>
      <c r="M1215" s="11">
        <f>G1215*Controls!$B$6</f>
        <v>3250</v>
      </c>
      <c r="N1215" s="12">
        <f>IF(L1215=0,0,SUMIFS('PSI Plan'!$N$6:$N$173,'PSI Plan'!$B$6:$B$173,B1215,'PSI Plan'!$C$6:$C$173,I1215))</f>
        <v>0</v>
      </c>
      <c r="O1215" s="11">
        <f t="shared" si="36"/>
        <v>0</v>
      </c>
      <c r="P1215" s="11">
        <f t="shared" si="37"/>
        <v>0</v>
      </c>
      <c r="Q1215" s="6"/>
      <c r="R1215" s="6"/>
      <c r="S1215" s="6"/>
      <c r="T1215" s="6"/>
    </row>
    <row r="1216" spans="1:20">
      <c r="A1216" s="6" t="s">
        <v>1364</v>
      </c>
      <c r="B1216" s="6" t="s">
        <v>77</v>
      </c>
      <c r="C1216" s="6" t="s">
        <v>90</v>
      </c>
      <c r="D1216" s="6" t="s">
        <v>119</v>
      </c>
      <c r="E1216" s="6" t="s">
        <v>120</v>
      </c>
      <c r="F1216" s="7">
        <v>26</v>
      </c>
      <c r="G1216" s="7">
        <v>3250</v>
      </c>
      <c r="H1216" s="16">
        <v>45221</v>
      </c>
      <c r="I1216" s="6">
        <v>43</v>
      </c>
      <c r="J1216" s="6" t="s">
        <v>121</v>
      </c>
      <c r="K1216" s="6" t="s">
        <v>855</v>
      </c>
      <c r="L1216" s="11">
        <f>F1216*Controls!$B$6</f>
        <v>26</v>
      </c>
      <c r="M1216" s="11">
        <f>G1216*Controls!$B$6</f>
        <v>3250</v>
      </c>
      <c r="N1216" s="12">
        <f>IF(L1216=0,0,SUMIFS('PSI Plan'!$N$6:$N$173,'PSI Plan'!$B$6:$B$173,B1216,'PSI Plan'!$C$6:$C$173,I1216))</f>
        <v>0</v>
      </c>
      <c r="O1216" s="11">
        <f t="shared" si="36"/>
        <v>0</v>
      </c>
      <c r="P1216" s="11">
        <f t="shared" si="37"/>
        <v>0</v>
      </c>
      <c r="Q1216" s="6"/>
      <c r="R1216" s="6"/>
      <c r="S1216" s="6"/>
      <c r="T1216" s="6"/>
    </row>
    <row r="1217" spans="1:20">
      <c r="A1217" s="6" t="s">
        <v>1365</v>
      </c>
      <c r="B1217" s="6" t="s">
        <v>76</v>
      </c>
      <c r="C1217" s="6" t="s">
        <v>90</v>
      </c>
      <c r="D1217" s="6" t="s">
        <v>119</v>
      </c>
      <c r="E1217" s="6" t="s">
        <v>120</v>
      </c>
      <c r="F1217" s="7">
        <v>26</v>
      </c>
      <c r="G1217" s="7">
        <v>3250</v>
      </c>
      <c r="H1217" s="16">
        <v>45285</v>
      </c>
      <c r="I1217" s="6">
        <v>52</v>
      </c>
      <c r="J1217" s="6" t="s">
        <v>121</v>
      </c>
      <c r="K1217" s="6" t="s">
        <v>855</v>
      </c>
      <c r="L1217" s="11">
        <f>F1217*Controls!$B$6</f>
        <v>26</v>
      </c>
      <c r="M1217" s="11">
        <f>G1217*Controls!$B$6</f>
        <v>3250</v>
      </c>
      <c r="N1217" s="12">
        <f>IF(L1217=0,0,SUMIFS('PSI Plan'!$N$6:$N$173,'PSI Plan'!$B$6:$B$173,B1217,'PSI Plan'!$C$6:$C$173,I1217))</f>
        <v>0</v>
      </c>
      <c r="O1217" s="11">
        <f t="shared" si="36"/>
        <v>0</v>
      </c>
      <c r="P1217" s="11">
        <f t="shared" si="37"/>
        <v>0</v>
      </c>
      <c r="Q1217" s="6"/>
      <c r="R1217" s="6"/>
      <c r="S1217" s="6"/>
      <c r="T1217" s="6"/>
    </row>
    <row r="1218" spans="1:20">
      <c r="A1218" s="6" t="s">
        <v>1366</v>
      </c>
      <c r="B1218" s="6" t="s">
        <v>69</v>
      </c>
      <c r="C1218" s="6" t="s">
        <v>90</v>
      </c>
      <c r="D1218" s="6" t="s">
        <v>119</v>
      </c>
      <c r="E1218" s="6" t="s">
        <v>120</v>
      </c>
      <c r="F1218" s="7">
        <v>26</v>
      </c>
      <c r="G1218" s="7">
        <v>3250</v>
      </c>
      <c r="H1218" s="16">
        <v>45228</v>
      </c>
      <c r="I1218" s="6">
        <v>44</v>
      </c>
      <c r="J1218" s="6" t="s">
        <v>121</v>
      </c>
      <c r="K1218" s="6" t="s">
        <v>855</v>
      </c>
      <c r="L1218" s="11">
        <f>F1218*Controls!$B$6</f>
        <v>26</v>
      </c>
      <c r="M1218" s="11">
        <f>G1218*Controls!$B$6</f>
        <v>3250</v>
      </c>
      <c r="N1218" s="12">
        <f>IF(L1218=0,0,SUMIFS('PSI Plan'!$N$6:$N$173,'PSI Plan'!$B$6:$B$173,B1218,'PSI Plan'!$C$6:$C$173,I1218))</f>
        <v>0</v>
      </c>
      <c r="O1218" s="11">
        <f t="shared" ref="O1218:O1281" si="38">L1218*N1218</f>
        <v>0</v>
      </c>
      <c r="P1218" s="11">
        <f t="shared" ref="P1218:P1281" si="39">M1218*N1218</f>
        <v>0</v>
      </c>
      <c r="Q1218" s="6"/>
      <c r="R1218" s="6"/>
      <c r="S1218" s="6"/>
      <c r="T1218" s="6"/>
    </row>
    <row r="1219" spans="1:20">
      <c r="A1219" s="6" t="s">
        <v>1367</v>
      </c>
      <c r="B1219" s="6" t="s">
        <v>66</v>
      </c>
      <c r="C1219" s="6" t="s">
        <v>90</v>
      </c>
      <c r="D1219" s="6" t="s">
        <v>119</v>
      </c>
      <c r="E1219" s="6" t="s">
        <v>120</v>
      </c>
      <c r="F1219" s="7">
        <v>13</v>
      </c>
      <c r="G1219" s="7">
        <v>1625</v>
      </c>
      <c r="H1219" s="16">
        <v>45246</v>
      </c>
      <c r="I1219" s="6">
        <v>46</v>
      </c>
      <c r="J1219" s="6" t="s">
        <v>121</v>
      </c>
      <c r="K1219" s="6" t="s">
        <v>171</v>
      </c>
      <c r="L1219" s="11">
        <f>F1219*Controls!$B$6</f>
        <v>13</v>
      </c>
      <c r="M1219" s="11">
        <f>G1219*Controls!$B$6</f>
        <v>1625</v>
      </c>
      <c r="N1219" s="12">
        <f>IF(L1219=0,0,SUMIFS('PSI Plan'!$N$6:$N$173,'PSI Plan'!$B$6:$B$173,B1219,'PSI Plan'!$C$6:$C$173,I1219))</f>
        <v>0</v>
      </c>
      <c r="O1219" s="11">
        <f t="shared" si="38"/>
        <v>0</v>
      </c>
      <c r="P1219" s="11">
        <f t="shared" si="39"/>
        <v>0</v>
      </c>
      <c r="Q1219" s="6"/>
      <c r="R1219" s="6"/>
      <c r="S1219" s="6"/>
      <c r="T1219" s="6"/>
    </row>
    <row r="1220" spans="1:20">
      <c r="A1220" s="6" t="s">
        <v>1368</v>
      </c>
      <c r="B1220" s="6" t="s">
        <v>77</v>
      </c>
      <c r="C1220" s="6" t="s">
        <v>90</v>
      </c>
      <c r="D1220" s="6" t="s">
        <v>119</v>
      </c>
      <c r="E1220" s="6" t="s">
        <v>120</v>
      </c>
      <c r="F1220" s="7">
        <v>13</v>
      </c>
      <c r="G1220" s="7">
        <v>1625</v>
      </c>
      <c r="H1220" s="16">
        <v>45264</v>
      </c>
      <c r="I1220" s="6">
        <v>49</v>
      </c>
      <c r="J1220" s="6" t="s">
        <v>121</v>
      </c>
      <c r="K1220" s="6" t="s">
        <v>171</v>
      </c>
      <c r="L1220" s="11">
        <f>F1220*Controls!$B$6</f>
        <v>13</v>
      </c>
      <c r="M1220" s="11">
        <f>G1220*Controls!$B$6</f>
        <v>1625</v>
      </c>
      <c r="N1220" s="12">
        <f>IF(L1220=0,0,SUMIFS('PSI Plan'!$N$6:$N$173,'PSI Plan'!$B$6:$B$173,B1220,'PSI Plan'!$C$6:$C$173,I1220))</f>
        <v>0</v>
      </c>
      <c r="O1220" s="11">
        <f t="shared" si="38"/>
        <v>0</v>
      </c>
      <c r="P1220" s="11">
        <f t="shared" si="39"/>
        <v>0</v>
      </c>
      <c r="Q1220" s="6"/>
      <c r="R1220" s="6"/>
      <c r="S1220" s="6"/>
      <c r="T1220" s="6"/>
    </row>
    <row r="1221" spans="1:20">
      <c r="A1221" s="6" t="s">
        <v>1369</v>
      </c>
      <c r="B1221" s="6" t="s">
        <v>76</v>
      </c>
      <c r="C1221" s="6" t="s">
        <v>90</v>
      </c>
      <c r="D1221" s="6" t="s">
        <v>119</v>
      </c>
      <c r="E1221" s="6" t="s">
        <v>120</v>
      </c>
      <c r="F1221" s="7">
        <v>13</v>
      </c>
      <c r="G1221" s="7">
        <v>1625</v>
      </c>
      <c r="H1221" s="16">
        <v>45205</v>
      </c>
      <c r="I1221" s="6">
        <v>40</v>
      </c>
      <c r="J1221" s="6" t="s">
        <v>121</v>
      </c>
      <c r="K1221" s="6" t="s">
        <v>171</v>
      </c>
      <c r="L1221" s="11">
        <f>F1221*Controls!$B$6</f>
        <v>13</v>
      </c>
      <c r="M1221" s="11">
        <f>G1221*Controls!$B$6</f>
        <v>1625</v>
      </c>
      <c r="N1221" s="12">
        <f>IF(L1221=0,0,SUMIFS('PSI Plan'!$N$6:$N$173,'PSI Plan'!$B$6:$B$173,B1221,'PSI Plan'!$C$6:$C$173,I1221))</f>
        <v>0</v>
      </c>
      <c r="O1221" s="11">
        <f t="shared" si="38"/>
        <v>0</v>
      </c>
      <c r="P1221" s="11">
        <f t="shared" si="39"/>
        <v>0</v>
      </c>
      <c r="Q1221" s="6"/>
      <c r="R1221" s="6"/>
      <c r="S1221" s="6"/>
      <c r="T1221" s="6"/>
    </row>
    <row r="1222" spans="1:20">
      <c r="A1222" s="6" t="s">
        <v>1370</v>
      </c>
      <c r="B1222" s="6" t="s">
        <v>69</v>
      </c>
      <c r="C1222" s="6" t="s">
        <v>90</v>
      </c>
      <c r="D1222" s="6" t="s">
        <v>119</v>
      </c>
      <c r="E1222" s="6" t="s">
        <v>120</v>
      </c>
      <c r="F1222" s="7">
        <v>39</v>
      </c>
      <c r="G1222" s="7">
        <v>4875</v>
      </c>
      <c r="H1222" s="16">
        <v>45219</v>
      </c>
      <c r="I1222" s="6">
        <v>42</v>
      </c>
      <c r="J1222" s="6" t="s">
        <v>121</v>
      </c>
      <c r="K1222" s="6" t="s">
        <v>171</v>
      </c>
      <c r="L1222" s="11">
        <f>F1222*Controls!$B$6</f>
        <v>39</v>
      </c>
      <c r="M1222" s="11">
        <f>G1222*Controls!$B$6</f>
        <v>4875</v>
      </c>
      <c r="N1222" s="12">
        <f>IF(L1222=0,0,SUMIFS('PSI Plan'!$N$6:$N$173,'PSI Plan'!$B$6:$B$173,B1222,'PSI Plan'!$C$6:$C$173,I1222))</f>
        <v>0</v>
      </c>
      <c r="O1222" s="11">
        <f t="shared" si="38"/>
        <v>0</v>
      </c>
      <c r="P1222" s="11">
        <f t="shared" si="39"/>
        <v>0</v>
      </c>
      <c r="Q1222" s="6"/>
      <c r="R1222" s="6"/>
      <c r="S1222" s="6"/>
      <c r="T1222" s="6"/>
    </row>
    <row r="1223" spans="1:20">
      <c r="A1223" s="6" t="s">
        <v>1371</v>
      </c>
      <c r="B1223" s="6" t="s">
        <v>77</v>
      </c>
      <c r="C1223" s="6" t="s">
        <v>90</v>
      </c>
      <c r="D1223" s="6" t="s">
        <v>119</v>
      </c>
      <c r="E1223" s="6" t="s">
        <v>120</v>
      </c>
      <c r="F1223" s="7">
        <v>3</v>
      </c>
      <c r="G1223" s="7">
        <v>375</v>
      </c>
      <c r="H1223" s="16">
        <v>45259</v>
      </c>
      <c r="I1223" s="6">
        <v>48</v>
      </c>
      <c r="J1223" s="6" t="s">
        <v>121</v>
      </c>
      <c r="K1223" s="6" t="s">
        <v>132</v>
      </c>
      <c r="L1223" s="11">
        <f>F1223*Controls!$B$6</f>
        <v>3</v>
      </c>
      <c r="M1223" s="11">
        <f>G1223*Controls!$B$6</f>
        <v>375</v>
      </c>
      <c r="N1223" s="12">
        <f>IF(L1223=0,0,SUMIFS('PSI Plan'!$N$6:$N$173,'PSI Plan'!$B$6:$B$173,B1223,'PSI Plan'!$C$6:$C$173,I1223))</f>
        <v>0</v>
      </c>
      <c r="O1223" s="11">
        <f t="shared" si="38"/>
        <v>0</v>
      </c>
      <c r="P1223" s="11">
        <f t="shared" si="39"/>
        <v>0</v>
      </c>
      <c r="Q1223" s="6"/>
      <c r="R1223" s="6"/>
      <c r="S1223" s="6"/>
      <c r="T1223" s="6"/>
    </row>
    <row r="1224" spans="1:20">
      <c r="A1224" s="6" t="s">
        <v>1372</v>
      </c>
      <c r="B1224" s="6" t="s">
        <v>69</v>
      </c>
      <c r="C1224" s="6" t="s">
        <v>90</v>
      </c>
      <c r="D1224" s="6" t="s">
        <v>119</v>
      </c>
      <c r="E1224" s="6" t="s">
        <v>120</v>
      </c>
      <c r="F1224" s="7">
        <v>6</v>
      </c>
      <c r="G1224" s="7">
        <v>750</v>
      </c>
      <c r="H1224" s="16">
        <v>45245</v>
      </c>
      <c r="I1224" s="6">
        <v>46</v>
      </c>
      <c r="J1224" s="6" t="s">
        <v>121</v>
      </c>
      <c r="K1224" s="6" t="s">
        <v>132</v>
      </c>
      <c r="L1224" s="11">
        <f>F1224*Controls!$B$6</f>
        <v>6</v>
      </c>
      <c r="M1224" s="11">
        <f>G1224*Controls!$B$6</f>
        <v>750</v>
      </c>
      <c r="N1224" s="12">
        <f>IF(L1224=0,0,SUMIFS('PSI Plan'!$N$6:$N$173,'PSI Plan'!$B$6:$B$173,B1224,'PSI Plan'!$C$6:$C$173,I1224))</f>
        <v>0</v>
      </c>
      <c r="O1224" s="11">
        <f t="shared" si="38"/>
        <v>0</v>
      </c>
      <c r="P1224" s="11">
        <f t="shared" si="39"/>
        <v>0</v>
      </c>
      <c r="Q1224" s="6"/>
      <c r="R1224" s="6"/>
      <c r="S1224" s="6"/>
      <c r="T1224" s="6"/>
    </row>
    <row r="1225" spans="1:20">
      <c r="A1225" s="6" t="s">
        <v>1373</v>
      </c>
      <c r="B1225" s="6" t="s">
        <v>66</v>
      </c>
      <c r="C1225" s="6" t="s">
        <v>90</v>
      </c>
      <c r="D1225" s="6" t="s">
        <v>119</v>
      </c>
      <c r="E1225" s="6" t="s">
        <v>120</v>
      </c>
      <c r="F1225" s="7">
        <v>4</v>
      </c>
      <c r="G1225" s="7">
        <v>500</v>
      </c>
      <c r="H1225" s="16">
        <v>45242</v>
      </c>
      <c r="I1225" s="6">
        <v>46</v>
      </c>
      <c r="J1225" s="6" t="s">
        <v>121</v>
      </c>
      <c r="K1225" s="6" t="s">
        <v>298</v>
      </c>
      <c r="L1225" s="11">
        <f>F1225*Controls!$B$6</f>
        <v>4</v>
      </c>
      <c r="M1225" s="11">
        <f>G1225*Controls!$B$6</f>
        <v>500</v>
      </c>
      <c r="N1225" s="12">
        <f>IF(L1225=0,0,SUMIFS('PSI Plan'!$N$6:$N$173,'PSI Plan'!$B$6:$B$173,B1225,'PSI Plan'!$C$6:$C$173,I1225))</f>
        <v>0</v>
      </c>
      <c r="O1225" s="11">
        <f t="shared" si="38"/>
        <v>0</v>
      </c>
      <c r="P1225" s="11">
        <f t="shared" si="39"/>
        <v>0</v>
      </c>
      <c r="Q1225" s="6"/>
      <c r="R1225" s="6"/>
      <c r="S1225" s="6"/>
      <c r="T1225" s="6"/>
    </row>
    <row r="1226" spans="1:20">
      <c r="A1226" s="6" t="s">
        <v>1374</v>
      </c>
      <c r="B1226" s="6" t="s">
        <v>77</v>
      </c>
      <c r="C1226" s="6" t="s">
        <v>90</v>
      </c>
      <c r="D1226" s="6" t="s">
        <v>119</v>
      </c>
      <c r="E1226" s="6" t="s">
        <v>120</v>
      </c>
      <c r="F1226" s="7">
        <v>8</v>
      </c>
      <c r="G1226" s="7">
        <v>1000</v>
      </c>
      <c r="H1226" s="16">
        <v>45227</v>
      </c>
      <c r="I1226" s="6">
        <v>43</v>
      </c>
      <c r="J1226" s="6" t="s">
        <v>121</v>
      </c>
      <c r="K1226" s="6" t="s">
        <v>298</v>
      </c>
      <c r="L1226" s="11">
        <f>F1226*Controls!$B$6</f>
        <v>8</v>
      </c>
      <c r="M1226" s="11">
        <f>G1226*Controls!$B$6</f>
        <v>1000</v>
      </c>
      <c r="N1226" s="12">
        <f>IF(L1226=0,0,SUMIFS('PSI Plan'!$N$6:$N$173,'PSI Plan'!$B$6:$B$173,B1226,'PSI Plan'!$C$6:$C$173,I1226))</f>
        <v>0</v>
      </c>
      <c r="O1226" s="11">
        <f t="shared" si="38"/>
        <v>0</v>
      </c>
      <c r="P1226" s="11">
        <f t="shared" si="39"/>
        <v>0</v>
      </c>
      <c r="Q1226" s="6"/>
      <c r="R1226" s="6"/>
      <c r="S1226" s="6"/>
      <c r="T1226" s="6"/>
    </row>
    <row r="1227" spans="1:20">
      <c r="A1227" s="6" t="s">
        <v>1375</v>
      </c>
      <c r="B1227" s="6" t="s">
        <v>76</v>
      </c>
      <c r="C1227" s="6" t="s">
        <v>90</v>
      </c>
      <c r="D1227" s="6" t="s">
        <v>119</v>
      </c>
      <c r="E1227" s="6" t="s">
        <v>120</v>
      </c>
      <c r="F1227" s="7">
        <v>1</v>
      </c>
      <c r="G1227" s="7">
        <v>125</v>
      </c>
      <c r="H1227" s="16">
        <v>45256</v>
      </c>
      <c r="I1227" s="6">
        <v>48</v>
      </c>
      <c r="J1227" s="6" t="s">
        <v>121</v>
      </c>
      <c r="K1227" s="6" t="s">
        <v>298</v>
      </c>
      <c r="L1227" s="11">
        <f>F1227*Controls!$B$6</f>
        <v>1</v>
      </c>
      <c r="M1227" s="11">
        <f>G1227*Controls!$B$6</f>
        <v>125</v>
      </c>
      <c r="N1227" s="12">
        <f>IF(L1227=0,0,SUMIFS('PSI Plan'!$N$6:$N$173,'PSI Plan'!$B$6:$B$173,B1227,'PSI Plan'!$C$6:$C$173,I1227))</f>
        <v>0</v>
      </c>
      <c r="O1227" s="11">
        <f t="shared" si="38"/>
        <v>0</v>
      </c>
      <c r="P1227" s="11">
        <f t="shared" si="39"/>
        <v>0</v>
      </c>
      <c r="Q1227" s="6"/>
      <c r="R1227" s="6"/>
      <c r="S1227" s="6"/>
      <c r="T1227" s="6"/>
    </row>
    <row r="1228" spans="1:20">
      <c r="A1228" s="6" t="s">
        <v>1376</v>
      </c>
      <c r="B1228" s="6" t="s">
        <v>69</v>
      </c>
      <c r="C1228" s="6" t="s">
        <v>90</v>
      </c>
      <c r="D1228" s="6" t="s">
        <v>119</v>
      </c>
      <c r="E1228" s="6" t="s">
        <v>120</v>
      </c>
      <c r="F1228" s="7">
        <v>9</v>
      </c>
      <c r="G1228" s="7">
        <v>1125</v>
      </c>
      <c r="H1228" s="16">
        <v>45231</v>
      </c>
      <c r="I1228" s="6">
        <v>44</v>
      </c>
      <c r="J1228" s="6" t="s">
        <v>121</v>
      </c>
      <c r="K1228" s="6" t="s">
        <v>298</v>
      </c>
      <c r="L1228" s="11">
        <f>F1228*Controls!$B$6</f>
        <v>9</v>
      </c>
      <c r="M1228" s="11">
        <f>G1228*Controls!$B$6</f>
        <v>1125</v>
      </c>
      <c r="N1228" s="12">
        <f>IF(L1228=0,0,SUMIFS('PSI Plan'!$N$6:$N$173,'PSI Plan'!$B$6:$B$173,B1228,'PSI Plan'!$C$6:$C$173,I1228))</f>
        <v>0</v>
      </c>
      <c r="O1228" s="11">
        <f t="shared" si="38"/>
        <v>0</v>
      </c>
      <c r="P1228" s="11">
        <f t="shared" si="39"/>
        <v>0</v>
      </c>
      <c r="Q1228" s="6"/>
      <c r="R1228" s="6"/>
      <c r="S1228" s="6"/>
      <c r="T1228" s="6"/>
    </row>
    <row r="1229" spans="1:20">
      <c r="A1229" s="6" t="s">
        <v>1377</v>
      </c>
      <c r="B1229" s="6" t="s">
        <v>66</v>
      </c>
      <c r="C1229" s="6" t="s">
        <v>90</v>
      </c>
      <c r="D1229" s="6" t="s">
        <v>119</v>
      </c>
      <c r="E1229" s="6" t="s">
        <v>120</v>
      </c>
      <c r="F1229" s="7">
        <v>3</v>
      </c>
      <c r="G1229" s="7">
        <v>375</v>
      </c>
      <c r="H1229" s="16">
        <v>45267</v>
      </c>
      <c r="I1229" s="6">
        <v>49</v>
      </c>
      <c r="J1229" s="6" t="s">
        <v>121</v>
      </c>
      <c r="K1229" s="6" t="s">
        <v>139</v>
      </c>
      <c r="L1229" s="11">
        <f>F1229*Controls!$B$6</f>
        <v>3</v>
      </c>
      <c r="M1229" s="11">
        <f>G1229*Controls!$B$6</f>
        <v>375</v>
      </c>
      <c r="N1229" s="12">
        <f>IF(L1229=0,0,SUMIFS('PSI Plan'!$N$6:$N$173,'PSI Plan'!$B$6:$B$173,B1229,'PSI Plan'!$C$6:$C$173,I1229))</f>
        <v>0</v>
      </c>
      <c r="O1229" s="11">
        <f t="shared" si="38"/>
        <v>0</v>
      </c>
      <c r="P1229" s="11">
        <f t="shared" si="39"/>
        <v>0</v>
      </c>
      <c r="Q1229" s="6"/>
      <c r="R1229" s="6"/>
      <c r="S1229" s="6"/>
      <c r="T1229" s="6"/>
    </row>
    <row r="1230" spans="1:20">
      <c r="A1230" s="6" t="s">
        <v>1378</v>
      </c>
      <c r="B1230" s="6" t="s">
        <v>77</v>
      </c>
      <c r="C1230" s="6" t="s">
        <v>90</v>
      </c>
      <c r="D1230" s="6" t="s">
        <v>119</v>
      </c>
      <c r="E1230" s="6" t="s">
        <v>120</v>
      </c>
      <c r="F1230" s="7">
        <v>21</v>
      </c>
      <c r="G1230" s="7">
        <v>2625</v>
      </c>
      <c r="H1230" s="16">
        <v>45288</v>
      </c>
      <c r="I1230" s="6">
        <v>52</v>
      </c>
      <c r="J1230" s="6" t="s">
        <v>121</v>
      </c>
      <c r="K1230" s="6" t="s">
        <v>139</v>
      </c>
      <c r="L1230" s="11">
        <f>F1230*Controls!$B$6</f>
        <v>21</v>
      </c>
      <c r="M1230" s="11">
        <f>G1230*Controls!$B$6</f>
        <v>2625</v>
      </c>
      <c r="N1230" s="12">
        <f>IF(L1230=0,0,SUMIFS('PSI Plan'!$N$6:$N$173,'PSI Plan'!$B$6:$B$173,B1230,'PSI Plan'!$C$6:$C$173,I1230))</f>
        <v>0</v>
      </c>
      <c r="O1230" s="11">
        <f t="shared" si="38"/>
        <v>0</v>
      </c>
      <c r="P1230" s="11">
        <f t="shared" si="39"/>
        <v>0</v>
      </c>
      <c r="Q1230" s="6"/>
      <c r="R1230" s="6"/>
      <c r="S1230" s="6"/>
      <c r="T1230" s="6"/>
    </row>
    <row r="1231" spans="1:20">
      <c r="A1231" s="6" t="s">
        <v>1379</v>
      </c>
      <c r="B1231" s="6" t="s">
        <v>76</v>
      </c>
      <c r="C1231" s="6" t="s">
        <v>90</v>
      </c>
      <c r="D1231" s="6" t="s">
        <v>119</v>
      </c>
      <c r="E1231" s="6" t="s">
        <v>120</v>
      </c>
      <c r="F1231" s="7">
        <v>11</v>
      </c>
      <c r="G1231" s="7">
        <v>1375</v>
      </c>
      <c r="H1231" s="16">
        <v>45225</v>
      </c>
      <c r="I1231" s="6">
        <v>43</v>
      </c>
      <c r="J1231" s="6" t="s">
        <v>121</v>
      </c>
      <c r="K1231" s="6" t="s">
        <v>139</v>
      </c>
      <c r="L1231" s="11">
        <f>F1231*Controls!$B$6</f>
        <v>11</v>
      </c>
      <c r="M1231" s="11">
        <f>G1231*Controls!$B$6</f>
        <v>1375</v>
      </c>
      <c r="N1231" s="12">
        <f>IF(L1231=0,0,SUMIFS('PSI Plan'!$N$6:$N$173,'PSI Plan'!$B$6:$B$173,B1231,'PSI Plan'!$C$6:$C$173,I1231))</f>
        <v>0</v>
      </c>
      <c r="O1231" s="11">
        <f t="shared" si="38"/>
        <v>0</v>
      </c>
      <c r="P1231" s="11">
        <f t="shared" si="39"/>
        <v>0</v>
      </c>
      <c r="Q1231" s="6"/>
      <c r="R1231" s="6"/>
      <c r="S1231" s="6"/>
      <c r="T1231" s="6"/>
    </row>
    <row r="1232" spans="1:20">
      <c r="A1232" s="6" t="s">
        <v>1380</v>
      </c>
      <c r="B1232" s="6" t="s">
        <v>69</v>
      </c>
      <c r="C1232" s="6" t="s">
        <v>90</v>
      </c>
      <c r="D1232" s="6" t="s">
        <v>119</v>
      </c>
      <c r="E1232" s="6" t="s">
        <v>120</v>
      </c>
      <c r="F1232" s="7">
        <v>23</v>
      </c>
      <c r="G1232" s="7">
        <v>2875</v>
      </c>
      <c r="H1232" s="16">
        <v>45210</v>
      </c>
      <c r="I1232" s="6">
        <v>41</v>
      </c>
      <c r="J1232" s="6" t="s">
        <v>121</v>
      </c>
      <c r="K1232" s="6" t="s">
        <v>139</v>
      </c>
      <c r="L1232" s="11">
        <f>F1232*Controls!$B$6</f>
        <v>23</v>
      </c>
      <c r="M1232" s="11">
        <f>G1232*Controls!$B$6</f>
        <v>2875</v>
      </c>
      <c r="N1232" s="12">
        <f>IF(L1232=0,0,SUMIFS('PSI Plan'!$N$6:$N$173,'PSI Plan'!$B$6:$B$173,B1232,'PSI Plan'!$C$6:$C$173,I1232))</f>
        <v>0</v>
      </c>
      <c r="O1232" s="11">
        <f t="shared" si="38"/>
        <v>0</v>
      </c>
      <c r="P1232" s="11">
        <f t="shared" si="39"/>
        <v>0</v>
      </c>
      <c r="Q1232" s="6"/>
      <c r="R1232" s="6"/>
      <c r="S1232" s="6"/>
      <c r="T1232" s="6"/>
    </row>
    <row r="1233" spans="1:20">
      <c r="A1233" s="6" t="s">
        <v>1381</v>
      </c>
      <c r="B1233" s="6" t="s">
        <v>77</v>
      </c>
      <c r="C1233" s="6" t="s">
        <v>90</v>
      </c>
      <c r="D1233" s="6" t="s">
        <v>119</v>
      </c>
      <c r="E1233" s="6" t="s">
        <v>120</v>
      </c>
      <c r="F1233" s="7">
        <v>2</v>
      </c>
      <c r="G1233" s="7">
        <v>250</v>
      </c>
      <c r="H1233" s="16">
        <v>45252</v>
      </c>
      <c r="I1233" s="6">
        <v>47</v>
      </c>
      <c r="J1233" s="6" t="s">
        <v>121</v>
      </c>
      <c r="K1233" s="6" t="s">
        <v>725</v>
      </c>
      <c r="L1233" s="11">
        <f>F1233*Controls!$B$6</f>
        <v>2</v>
      </c>
      <c r="M1233" s="11">
        <f>G1233*Controls!$B$6</f>
        <v>250</v>
      </c>
      <c r="N1233" s="12">
        <f>IF(L1233=0,0,SUMIFS('PSI Plan'!$N$6:$N$173,'PSI Plan'!$B$6:$B$173,B1233,'PSI Plan'!$C$6:$C$173,I1233))</f>
        <v>0</v>
      </c>
      <c r="O1233" s="11">
        <f t="shared" si="38"/>
        <v>0</v>
      </c>
      <c r="P1233" s="11">
        <f t="shared" si="39"/>
        <v>0</v>
      </c>
      <c r="Q1233" s="6"/>
      <c r="R1233" s="6"/>
      <c r="S1233" s="6"/>
      <c r="T1233" s="6"/>
    </row>
    <row r="1234" spans="1:20">
      <c r="A1234" s="6" t="s">
        <v>1382</v>
      </c>
      <c r="B1234" s="6" t="s">
        <v>69</v>
      </c>
      <c r="C1234" s="6" t="s">
        <v>90</v>
      </c>
      <c r="D1234" s="6" t="s">
        <v>119</v>
      </c>
      <c r="E1234" s="6" t="s">
        <v>120</v>
      </c>
      <c r="F1234" s="7">
        <v>18</v>
      </c>
      <c r="G1234" s="7">
        <v>2250</v>
      </c>
      <c r="H1234" s="16">
        <v>45226</v>
      </c>
      <c r="I1234" s="6">
        <v>43</v>
      </c>
      <c r="J1234" s="6" t="s">
        <v>121</v>
      </c>
      <c r="K1234" s="6" t="s">
        <v>725</v>
      </c>
      <c r="L1234" s="11">
        <f>F1234*Controls!$B$6</f>
        <v>18</v>
      </c>
      <c r="M1234" s="11">
        <f>G1234*Controls!$B$6</f>
        <v>2250</v>
      </c>
      <c r="N1234" s="12">
        <f>IF(L1234=0,0,SUMIFS('PSI Plan'!$N$6:$N$173,'PSI Plan'!$B$6:$B$173,B1234,'PSI Plan'!$C$6:$C$173,I1234))</f>
        <v>0</v>
      </c>
      <c r="O1234" s="11">
        <f t="shared" si="38"/>
        <v>0</v>
      </c>
      <c r="P1234" s="11">
        <f t="shared" si="39"/>
        <v>0</v>
      </c>
      <c r="Q1234" s="6"/>
      <c r="R1234" s="6"/>
      <c r="S1234" s="6"/>
      <c r="T1234" s="6"/>
    </row>
    <row r="1235" spans="1:20">
      <c r="A1235" s="6" t="s">
        <v>1383</v>
      </c>
      <c r="B1235" s="6" t="s">
        <v>66</v>
      </c>
      <c r="C1235" s="6" t="s">
        <v>90</v>
      </c>
      <c r="D1235" s="6" t="s">
        <v>119</v>
      </c>
      <c r="E1235" s="6" t="s">
        <v>120</v>
      </c>
      <c r="F1235" s="7">
        <v>3</v>
      </c>
      <c r="G1235" s="7">
        <v>375</v>
      </c>
      <c r="H1235" s="16">
        <v>45285</v>
      </c>
      <c r="I1235" s="6">
        <v>52</v>
      </c>
      <c r="J1235" s="6" t="s">
        <v>121</v>
      </c>
      <c r="K1235" s="6" t="s">
        <v>122</v>
      </c>
      <c r="L1235" s="11">
        <f>F1235*Controls!$B$6</f>
        <v>3</v>
      </c>
      <c r="M1235" s="11">
        <f>G1235*Controls!$B$6</f>
        <v>375</v>
      </c>
      <c r="N1235" s="12">
        <f>IF(L1235=0,0,SUMIFS('PSI Plan'!$N$6:$N$173,'PSI Plan'!$B$6:$B$173,B1235,'PSI Plan'!$C$6:$C$173,I1235))</f>
        <v>0</v>
      </c>
      <c r="O1235" s="11">
        <f t="shared" si="38"/>
        <v>0</v>
      </c>
      <c r="P1235" s="11">
        <f t="shared" si="39"/>
        <v>0</v>
      </c>
      <c r="Q1235" s="6"/>
      <c r="R1235" s="6"/>
      <c r="S1235" s="6"/>
      <c r="T1235" s="6"/>
    </row>
    <row r="1236" spans="1:20">
      <c r="A1236" s="6" t="s">
        <v>1384</v>
      </c>
      <c r="B1236" s="6" t="s">
        <v>77</v>
      </c>
      <c r="C1236" s="6" t="s">
        <v>90</v>
      </c>
      <c r="D1236" s="6" t="s">
        <v>119</v>
      </c>
      <c r="E1236" s="6" t="s">
        <v>120</v>
      </c>
      <c r="F1236" s="7">
        <v>27</v>
      </c>
      <c r="G1236" s="7">
        <v>3375</v>
      </c>
      <c r="H1236" s="16">
        <v>45230</v>
      </c>
      <c r="I1236" s="6">
        <v>44</v>
      </c>
      <c r="J1236" s="6" t="s">
        <v>121</v>
      </c>
      <c r="K1236" s="6" t="s">
        <v>122</v>
      </c>
      <c r="L1236" s="11">
        <f>F1236*Controls!$B$6</f>
        <v>27</v>
      </c>
      <c r="M1236" s="11">
        <f>G1236*Controls!$B$6</f>
        <v>3375</v>
      </c>
      <c r="N1236" s="12">
        <f>IF(L1236=0,0,SUMIFS('PSI Plan'!$N$6:$N$173,'PSI Plan'!$B$6:$B$173,B1236,'PSI Plan'!$C$6:$C$173,I1236))</f>
        <v>0</v>
      </c>
      <c r="O1236" s="11">
        <f t="shared" si="38"/>
        <v>0</v>
      </c>
      <c r="P1236" s="11">
        <f t="shared" si="39"/>
        <v>0</v>
      </c>
      <c r="Q1236" s="6"/>
      <c r="R1236" s="6"/>
      <c r="S1236" s="6"/>
      <c r="T1236" s="6"/>
    </row>
    <row r="1237" spans="1:20">
      <c r="A1237" s="6" t="s">
        <v>1385</v>
      </c>
      <c r="B1237" s="6" t="s">
        <v>76</v>
      </c>
      <c r="C1237" s="6" t="s">
        <v>90</v>
      </c>
      <c r="D1237" s="6" t="s">
        <v>119</v>
      </c>
      <c r="E1237" s="6" t="s">
        <v>120</v>
      </c>
      <c r="F1237" s="7">
        <v>33</v>
      </c>
      <c r="G1237" s="7">
        <v>4125</v>
      </c>
      <c r="H1237" s="16">
        <v>45240</v>
      </c>
      <c r="I1237" s="6">
        <v>45</v>
      </c>
      <c r="J1237" s="6" t="s">
        <v>121</v>
      </c>
      <c r="K1237" s="6" t="s">
        <v>122</v>
      </c>
      <c r="L1237" s="11">
        <f>F1237*Controls!$B$6</f>
        <v>33</v>
      </c>
      <c r="M1237" s="11">
        <f>G1237*Controls!$B$6</f>
        <v>4125</v>
      </c>
      <c r="N1237" s="12">
        <f>IF(L1237=0,0,SUMIFS('PSI Plan'!$N$6:$N$173,'PSI Plan'!$B$6:$B$173,B1237,'PSI Plan'!$C$6:$C$173,I1237))</f>
        <v>0</v>
      </c>
      <c r="O1237" s="11">
        <f t="shared" si="38"/>
        <v>0</v>
      </c>
      <c r="P1237" s="11">
        <f t="shared" si="39"/>
        <v>0</v>
      </c>
      <c r="Q1237" s="6"/>
      <c r="R1237" s="6"/>
      <c r="S1237" s="6"/>
      <c r="T1237" s="6"/>
    </row>
    <row r="1238" spans="1:20">
      <c r="A1238" s="6" t="s">
        <v>1386</v>
      </c>
      <c r="B1238" s="6" t="s">
        <v>67</v>
      </c>
      <c r="C1238" s="6" t="s">
        <v>90</v>
      </c>
      <c r="D1238" s="6" t="s">
        <v>119</v>
      </c>
      <c r="E1238" s="6" t="s">
        <v>120</v>
      </c>
      <c r="F1238" s="7">
        <v>52</v>
      </c>
      <c r="G1238" s="7">
        <v>6500</v>
      </c>
      <c r="H1238" s="16">
        <v>45257</v>
      </c>
      <c r="I1238" s="6">
        <v>48</v>
      </c>
      <c r="J1238" s="6" t="s">
        <v>121</v>
      </c>
      <c r="K1238" s="6" t="s">
        <v>122</v>
      </c>
      <c r="L1238" s="11">
        <f>F1238*Controls!$B$6</f>
        <v>52</v>
      </c>
      <c r="M1238" s="11">
        <f>G1238*Controls!$B$6</f>
        <v>6500</v>
      </c>
      <c r="N1238" s="12">
        <f>IF(L1238=0,0,SUMIFS('PSI Plan'!$N$6:$N$173,'PSI Plan'!$B$6:$B$173,B1238,'PSI Plan'!$C$6:$C$173,I1238))</f>
        <v>0</v>
      </c>
      <c r="O1238" s="11">
        <f t="shared" si="38"/>
        <v>0</v>
      </c>
      <c r="P1238" s="11">
        <f t="shared" si="39"/>
        <v>0</v>
      </c>
      <c r="Q1238" s="6"/>
      <c r="R1238" s="6"/>
      <c r="S1238" s="6"/>
      <c r="T1238" s="6"/>
    </row>
    <row r="1239" spans="1:20">
      <c r="A1239" s="6" t="s">
        <v>1387</v>
      </c>
      <c r="B1239" s="6" t="s">
        <v>69</v>
      </c>
      <c r="C1239" s="6" t="s">
        <v>90</v>
      </c>
      <c r="D1239" s="6" t="s">
        <v>119</v>
      </c>
      <c r="E1239" s="6" t="s">
        <v>120</v>
      </c>
      <c r="F1239" s="7">
        <v>52</v>
      </c>
      <c r="G1239" s="7">
        <v>6500</v>
      </c>
      <c r="H1239" s="16">
        <v>45200</v>
      </c>
      <c r="I1239" s="6">
        <v>40</v>
      </c>
      <c r="J1239" s="6" t="s">
        <v>121</v>
      </c>
      <c r="K1239" s="6" t="s">
        <v>122</v>
      </c>
      <c r="L1239" s="11">
        <f>F1239*Controls!$B$6</f>
        <v>52</v>
      </c>
      <c r="M1239" s="11">
        <f>G1239*Controls!$B$6</f>
        <v>6500</v>
      </c>
      <c r="N1239" s="12">
        <f>IF(L1239=0,0,SUMIFS('PSI Plan'!$N$6:$N$173,'PSI Plan'!$B$6:$B$173,B1239,'PSI Plan'!$C$6:$C$173,I1239))</f>
        <v>0</v>
      </c>
      <c r="O1239" s="11">
        <f t="shared" si="38"/>
        <v>0</v>
      </c>
      <c r="P1239" s="11">
        <f t="shared" si="39"/>
        <v>0</v>
      </c>
      <c r="Q1239" s="6"/>
      <c r="R1239" s="6"/>
      <c r="S1239" s="6"/>
      <c r="T1239" s="6"/>
    </row>
    <row r="1240" spans="1:20">
      <c r="A1240" s="6" t="s">
        <v>1388</v>
      </c>
      <c r="B1240" s="6" t="s">
        <v>66</v>
      </c>
      <c r="C1240" s="6" t="s">
        <v>99</v>
      </c>
      <c r="D1240" s="6" t="s">
        <v>319</v>
      </c>
      <c r="E1240" s="6" t="s">
        <v>120</v>
      </c>
      <c r="F1240" s="7">
        <v>5</v>
      </c>
      <c r="G1240" s="7">
        <v>625</v>
      </c>
      <c r="H1240" s="16">
        <v>45211</v>
      </c>
      <c r="I1240" s="6">
        <v>41</v>
      </c>
      <c r="J1240" s="6" t="s">
        <v>121</v>
      </c>
      <c r="K1240" s="6" t="s">
        <v>361</v>
      </c>
      <c r="L1240" s="11">
        <f>F1240*Controls!$B$6</f>
        <v>5</v>
      </c>
      <c r="M1240" s="11">
        <f>G1240*Controls!$B$6</f>
        <v>625</v>
      </c>
      <c r="N1240" s="12">
        <f>IF(L1240=0,0,SUMIFS('PSI Plan'!$N$6:$N$173,'PSI Plan'!$B$6:$B$173,B1240,'PSI Plan'!$C$6:$C$173,I1240))</f>
        <v>0.22897465437788017</v>
      </c>
      <c r="O1240" s="11">
        <f t="shared" si="38"/>
        <v>1.1448732718894008</v>
      </c>
      <c r="P1240" s="11">
        <f t="shared" si="39"/>
        <v>143.10915898617512</v>
      </c>
      <c r="Q1240" s="6"/>
      <c r="R1240" s="6"/>
      <c r="S1240" s="6"/>
      <c r="T1240" s="6"/>
    </row>
    <row r="1241" spans="1:20">
      <c r="A1241" s="6" t="s">
        <v>1389</v>
      </c>
      <c r="B1241" s="6" t="s">
        <v>77</v>
      </c>
      <c r="C1241" s="6" t="s">
        <v>99</v>
      </c>
      <c r="D1241" s="6" t="s">
        <v>319</v>
      </c>
      <c r="E1241" s="6" t="s">
        <v>120</v>
      </c>
      <c r="F1241" s="7">
        <v>17</v>
      </c>
      <c r="G1241" s="7">
        <v>2125</v>
      </c>
      <c r="H1241" s="16">
        <v>45241</v>
      </c>
      <c r="I1241" s="6">
        <v>45</v>
      </c>
      <c r="J1241" s="6" t="s">
        <v>121</v>
      </c>
      <c r="K1241" s="6" t="s">
        <v>361</v>
      </c>
      <c r="L1241" s="11">
        <f>F1241*Controls!$B$6</f>
        <v>17</v>
      </c>
      <c r="M1241" s="11">
        <f>G1241*Controls!$B$6</f>
        <v>2125</v>
      </c>
      <c r="N1241" s="12">
        <f>IF(L1241=0,0,SUMIFS('PSI Plan'!$N$6:$N$173,'PSI Plan'!$B$6:$B$173,B1241,'PSI Plan'!$C$6:$C$173,I1241))</f>
        <v>0</v>
      </c>
      <c r="O1241" s="11">
        <f t="shared" si="38"/>
        <v>0</v>
      </c>
      <c r="P1241" s="11">
        <f t="shared" si="39"/>
        <v>0</v>
      </c>
      <c r="Q1241" s="6"/>
      <c r="R1241" s="6"/>
      <c r="S1241" s="6"/>
      <c r="T1241" s="6"/>
    </row>
    <row r="1242" spans="1:20">
      <c r="A1242" s="6" t="s">
        <v>1390</v>
      </c>
      <c r="B1242" s="6" t="s">
        <v>67</v>
      </c>
      <c r="C1242" s="6" t="s">
        <v>99</v>
      </c>
      <c r="D1242" s="6" t="s">
        <v>319</v>
      </c>
      <c r="E1242" s="6" t="s">
        <v>120</v>
      </c>
      <c r="F1242" s="7">
        <v>14</v>
      </c>
      <c r="G1242" s="7">
        <v>1750</v>
      </c>
      <c r="H1242" s="16">
        <v>45207</v>
      </c>
      <c r="I1242" s="6">
        <v>41</v>
      </c>
      <c r="J1242" s="6" t="s">
        <v>121</v>
      </c>
      <c r="K1242" s="6" t="s">
        <v>361</v>
      </c>
      <c r="L1242" s="11">
        <f>F1242*Controls!$B$6</f>
        <v>14</v>
      </c>
      <c r="M1242" s="11">
        <f>G1242*Controls!$B$6</f>
        <v>1750</v>
      </c>
      <c r="N1242" s="12">
        <f>IF(L1242=0,0,SUMIFS('PSI Plan'!$N$6:$N$173,'PSI Plan'!$B$6:$B$173,B1242,'PSI Plan'!$C$6:$C$173,I1242))</f>
        <v>0</v>
      </c>
      <c r="O1242" s="11">
        <f t="shared" si="38"/>
        <v>0</v>
      </c>
      <c r="P1242" s="11">
        <f t="shared" si="39"/>
        <v>0</v>
      </c>
      <c r="Q1242" s="6"/>
      <c r="R1242" s="6"/>
      <c r="S1242" s="6"/>
      <c r="T1242" s="6"/>
    </row>
    <row r="1243" spans="1:20">
      <c r="A1243" s="6" t="s">
        <v>1391</v>
      </c>
      <c r="B1243" s="6" t="s">
        <v>69</v>
      </c>
      <c r="C1243" s="6" t="s">
        <v>99</v>
      </c>
      <c r="D1243" s="6" t="s">
        <v>319</v>
      </c>
      <c r="E1243" s="6" t="s">
        <v>120</v>
      </c>
      <c r="F1243" s="7">
        <v>21</v>
      </c>
      <c r="G1243" s="7">
        <v>2625</v>
      </c>
      <c r="H1243" s="16">
        <v>45279</v>
      </c>
      <c r="I1243" s="6">
        <v>51</v>
      </c>
      <c r="J1243" s="6" t="s">
        <v>121</v>
      </c>
      <c r="K1243" s="6" t="s">
        <v>361</v>
      </c>
      <c r="L1243" s="11">
        <f>F1243*Controls!$B$6</f>
        <v>21</v>
      </c>
      <c r="M1243" s="11">
        <f>G1243*Controls!$B$6</f>
        <v>2625</v>
      </c>
      <c r="N1243" s="12">
        <f>IF(L1243=0,0,SUMIFS('PSI Plan'!$N$6:$N$173,'PSI Plan'!$B$6:$B$173,B1243,'PSI Plan'!$C$6:$C$173,I1243))</f>
        <v>0</v>
      </c>
      <c r="O1243" s="11">
        <f t="shared" si="38"/>
        <v>0</v>
      </c>
      <c r="P1243" s="11">
        <f t="shared" si="39"/>
        <v>0</v>
      </c>
      <c r="Q1243" s="6"/>
      <c r="R1243" s="6"/>
      <c r="S1243" s="6"/>
      <c r="T1243" s="6"/>
    </row>
    <row r="1244" spans="1:20">
      <c r="A1244" s="6" t="s">
        <v>1392</v>
      </c>
      <c r="B1244" s="6" t="s">
        <v>66</v>
      </c>
      <c r="C1244" s="6" t="s">
        <v>99</v>
      </c>
      <c r="D1244" s="6" t="s">
        <v>319</v>
      </c>
      <c r="E1244" s="6" t="s">
        <v>120</v>
      </c>
      <c r="F1244" s="7">
        <v>62</v>
      </c>
      <c r="G1244" s="7">
        <v>7750</v>
      </c>
      <c r="H1244" s="16">
        <v>45280</v>
      </c>
      <c r="I1244" s="6">
        <v>51</v>
      </c>
      <c r="J1244" s="6" t="s">
        <v>121</v>
      </c>
      <c r="K1244" s="6" t="s">
        <v>347</v>
      </c>
      <c r="L1244" s="11">
        <f>F1244*Controls!$B$6</f>
        <v>62</v>
      </c>
      <c r="M1244" s="11">
        <f>G1244*Controls!$B$6</f>
        <v>7750</v>
      </c>
      <c r="N1244" s="12">
        <f>IF(L1244=0,0,SUMIFS('PSI Plan'!$N$6:$N$173,'PSI Plan'!$B$6:$B$173,B1244,'PSI Plan'!$C$6:$C$173,I1244))</f>
        <v>0</v>
      </c>
      <c r="O1244" s="11">
        <f t="shared" si="38"/>
        <v>0</v>
      </c>
      <c r="P1244" s="11">
        <f t="shared" si="39"/>
        <v>0</v>
      </c>
      <c r="Q1244" s="6"/>
      <c r="R1244" s="6"/>
      <c r="S1244" s="6"/>
      <c r="T1244" s="6"/>
    </row>
    <row r="1245" spans="1:20">
      <c r="A1245" s="6" t="s">
        <v>1393</v>
      </c>
      <c r="B1245" s="6" t="s">
        <v>76</v>
      </c>
      <c r="C1245" s="6" t="s">
        <v>99</v>
      </c>
      <c r="D1245" s="6" t="s">
        <v>319</v>
      </c>
      <c r="E1245" s="6" t="s">
        <v>120</v>
      </c>
      <c r="F1245" s="7">
        <v>4</v>
      </c>
      <c r="G1245" s="7">
        <v>500</v>
      </c>
      <c r="H1245" s="16">
        <v>45212</v>
      </c>
      <c r="I1245" s="6">
        <v>41</v>
      </c>
      <c r="J1245" s="6" t="s">
        <v>121</v>
      </c>
      <c r="K1245" s="6" t="s">
        <v>347</v>
      </c>
      <c r="L1245" s="11">
        <f>F1245*Controls!$B$6</f>
        <v>4</v>
      </c>
      <c r="M1245" s="11">
        <f>G1245*Controls!$B$6</f>
        <v>500</v>
      </c>
      <c r="N1245" s="12">
        <f>IF(L1245=0,0,SUMIFS('PSI Plan'!$N$6:$N$173,'PSI Plan'!$B$6:$B$173,B1245,'PSI Plan'!$C$6:$C$173,I1245))</f>
        <v>0</v>
      </c>
      <c r="O1245" s="11">
        <f t="shared" si="38"/>
        <v>0</v>
      </c>
      <c r="P1245" s="11">
        <f t="shared" si="39"/>
        <v>0</v>
      </c>
      <c r="Q1245" s="6"/>
      <c r="R1245" s="6"/>
      <c r="S1245" s="6"/>
      <c r="T1245" s="6"/>
    </row>
    <row r="1246" spans="1:20">
      <c r="A1246" s="6" t="s">
        <v>1394</v>
      </c>
      <c r="B1246" s="6" t="s">
        <v>69</v>
      </c>
      <c r="C1246" s="6" t="s">
        <v>99</v>
      </c>
      <c r="D1246" s="6" t="s">
        <v>319</v>
      </c>
      <c r="E1246" s="6" t="s">
        <v>120</v>
      </c>
      <c r="F1246" s="7">
        <v>30</v>
      </c>
      <c r="G1246" s="7">
        <v>3750</v>
      </c>
      <c r="H1246" s="16">
        <v>45272</v>
      </c>
      <c r="I1246" s="6">
        <v>50</v>
      </c>
      <c r="J1246" s="6" t="s">
        <v>121</v>
      </c>
      <c r="K1246" s="6" t="s">
        <v>347</v>
      </c>
      <c r="L1246" s="11">
        <f>F1246*Controls!$B$6</f>
        <v>30</v>
      </c>
      <c r="M1246" s="11">
        <f>G1246*Controls!$B$6</f>
        <v>3750</v>
      </c>
      <c r="N1246" s="12">
        <f>IF(L1246=0,0,SUMIFS('PSI Plan'!$N$6:$N$173,'PSI Plan'!$B$6:$B$173,B1246,'PSI Plan'!$C$6:$C$173,I1246))</f>
        <v>0</v>
      </c>
      <c r="O1246" s="11">
        <f t="shared" si="38"/>
        <v>0</v>
      </c>
      <c r="P1246" s="11">
        <f t="shared" si="39"/>
        <v>0</v>
      </c>
      <c r="Q1246" s="6"/>
      <c r="R1246" s="6"/>
      <c r="S1246" s="6"/>
      <c r="T1246" s="6"/>
    </row>
    <row r="1247" spans="1:20">
      <c r="A1247" s="6" t="s">
        <v>1395</v>
      </c>
      <c r="B1247" s="6" t="s">
        <v>66</v>
      </c>
      <c r="C1247" s="6" t="s">
        <v>99</v>
      </c>
      <c r="D1247" s="6" t="s">
        <v>319</v>
      </c>
      <c r="E1247" s="6" t="s">
        <v>120</v>
      </c>
      <c r="F1247" s="7">
        <v>10</v>
      </c>
      <c r="G1247" s="7">
        <v>1250</v>
      </c>
      <c r="H1247" s="16">
        <v>45211</v>
      </c>
      <c r="I1247" s="6">
        <v>41</v>
      </c>
      <c r="J1247" s="6" t="s">
        <v>121</v>
      </c>
      <c r="K1247" s="6" t="s">
        <v>459</v>
      </c>
      <c r="L1247" s="11">
        <f>F1247*Controls!$B$6</f>
        <v>10</v>
      </c>
      <c r="M1247" s="11">
        <f>G1247*Controls!$B$6</f>
        <v>1250</v>
      </c>
      <c r="N1247" s="12">
        <f>IF(L1247=0,0,SUMIFS('PSI Plan'!$N$6:$N$173,'PSI Plan'!$B$6:$B$173,B1247,'PSI Plan'!$C$6:$C$173,I1247))</f>
        <v>0.22897465437788017</v>
      </c>
      <c r="O1247" s="11">
        <f t="shared" si="38"/>
        <v>2.2897465437788016</v>
      </c>
      <c r="P1247" s="11">
        <f t="shared" si="39"/>
        <v>286.21831797235023</v>
      </c>
      <c r="Q1247" s="6"/>
      <c r="R1247" s="6"/>
      <c r="S1247" s="6"/>
      <c r="T1247" s="6"/>
    </row>
    <row r="1248" spans="1:20">
      <c r="A1248" s="6" t="s">
        <v>1396</v>
      </c>
      <c r="B1248" s="6" t="s">
        <v>77</v>
      </c>
      <c r="C1248" s="6" t="s">
        <v>99</v>
      </c>
      <c r="D1248" s="6" t="s">
        <v>319</v>
      </c>
      <c r="E1248" s="6" t="s">
        <v>120</v>
      </c>
      <c r="F1248" s="7">
        <v>5</v>
      </c>
      <c r="G1248" s="7">
        <v>625</v>
      </c>
      <c r="H1248" s="16">
        <v>45233</v>
      </c>
      <c r="I1248" s="6">
        <v>44</v>
      </c>
      <c r="J1248" s="6" t="s">
        <v>121</v>
      </c>
      <c r="K1248" s="6" t="s">
        <v>459</v>
      </c>
      <c r="L1248" s="11">
        <f>F1248*Controls!$B$6</f>
        <v>5</v>
      </c>
      <c r="M1248" s="11">
        <f>G1248*Controls!$B$6</f>
        <v>625</v>
      </c>
      <c r="N1248" s="12">
        <f>IF(L1248=0,0,SUMIFS('PSI Plan'!$N$6:$N$173,'PSI Plan'!$B$6:$B$173,B1248,'PSI Plan'!$C$6:$C$173,I1248))</f>
        <v>0</v>
      </c>
      <c r="O1248" s="11">
        <f t="shared" si="38"/>
        <v>0</v>
      </c>
      <c r="P1248" s="11">
        <f t="shared" si="39"/>
        <v>0</v>
      </c>
      <c r="Q1248" s="6"/>
      <c r="R1248" s="6"/>
      <c r="S1248" s="6"/>
      <c r="T1248" s="6"/>
    </row>
    <row r="1249" spans="1:20">
      <c r="A1249" s="6" t="s">
        <v>1397</v>
      </c>
      <c r="B1249" s="6" t="s">
        <v>67</v>
      </c>
      <c r="C1249" s="6" t="s">
        <v>99</v>
      </c>
      <c r="D1249" s="6" t="s">
        <v>319</v>
      </c>
      <c r="E1249" s="6" t="s">
        <v>120</v>
      </c>
      <c r="F1249" s="7">
        <v>14</v>
      </c>
      <c r="G1249" s="7">
        <v>1750</v>
      </c>
      <c r="H1249" s="16">
        <v>45276</v>
      </c>
      <c r="I1249" s="6">
        <v>50</v>
      </c>
      <c r="J1249" s="6" t="s">
        <v>121</v>
      </c>
      <c r="K1249" s="6" t="s">
        <v>459</v>
      </c>
      <c r="L1249" s="11">
        <f>F1249*Controls!$B$6</f>
        <v>14</v>
      </c>
      <c r="M1249" s="11">
        <f>G1249*Controls!$B$6</f>
        <v>1750</v>
      </c>
      <c r="N1249" s="12">
        <f>IF(L1249=0,0,SUMIFS('PSI Plan'!$N$6:$N$173,'PSI Plan'!$B$6:$B$173,B1249,'PSI Plan'!$C$6:$C$173,I1249))</f>
        <v>0</v>
      </c>
      <c r="O1249" s="11">
        <f t="shared" si="38"/>
        <v>0</v>
      </c>
      <c r="P1249" s="11">
        <f t="shared" si="39"/>
        <v>0</v>
      </c>
      <c r="Q1249" s="6"/>
      <c r="R1249" s="6"/>
      <c r="S1249" s="6"/>
      <c r="T1249" s="6"/>
    </row>
    <row r="1250" spans="1:20">
      <c r="A1250" s="6" t="s">
        <v>1398</v>
      </c>
      <c r="B1250" s="6" t="s">
        <v>69</v>
      </c>
      <c r="C1250" s="6" t="s">
        <v>99</v>
      </c>
      <c r="D1250" s="6" t="s">
        <v>319</v>
      </c>
      <c r="E1250" s="6" t="s">
        <v>120</v>
      </c>
      <c r="F1250" s="7">
        <v>28</v>
      </c>
      <c r="G1250" s="7">
        <v>3500</v>
      </c>
      <c r="H1250" s="16">
        <v>45261</v>
      </c>
      <c r="I1250" s="6">
        <v>48</v>
      </c>
      <c r="J1250" s="6" t="s">
        <v>121</v>
      </c>
      <c r="K1250" s="6" t="s">
        <v>459</v>
      </c>
      <c r="L1250" s="11">
        <f>F1250*Controls!$B$6</f>
        <v>28</v>
      </c>
      <c r="M1250" s="11">
        <f>G1250*Controls!$B$6</f>
        <v>3500</v>
      </c>
      <c r="N1250" s="12">
        <f>IF(L1250=0,0,SUMIFS('PSI Plan'!$N$6:$N$173,'PSI Plan'!$B$6:$B$173,B1250,'PSI Plan'!$C$6:$C$173,I1250))</f>
        <v>0</v>
      </c>
      <c r="O1250" s="11">
        <f t="shared" si="38"/>
        <v>0</v>
      </c>
      <c r="P1250" s="11">
        <f t="shared" si="39"/>
        <v>0</v>
      </c>
      <c r="Q1250" s="6"/>
      <c r="R1250" s="6"/>
      <c r="S1250" s="6"/>
      <c r="T1250" s="6"/>
    </row>
    <row r="1251" spans="1:20">
      <c r="A1251" s="6" t="s">
        <v>1399</v>
      </c>
      <c r="B1251" s="6" t="s">
        <v>67</v>
      </c>
      <c r="C1251" s="6" t="s">
        <v>99</v>
      </c>
      <c r="D1251" s="6" t="s">
        <v>319</v>
      </c>
      <c r="E1251" s="6" t="s">
        <v>120</v>
      </c>
      <c r="F1251" s="7">
        <v>52</v>
      </c>
      <c r="G1251" s="7">
        <v>6500</v>
      </c>
      <c r="H1251" s="16">
        <v>45280</v>
      </c>
      <c r="I1251" s="6">
        <v>51</v>
      </c>
      <c r="J1251" s="6" t="s">
        <v>121</v>
      </c>
      <c r="K1251" s="6" t="s">
        <v>344</v>
      </c>
      <c r="L1251" s="11">
        <f>F1251*Controls!$B$6</f>
        <v>52</v>
      </c>
      <c r="M1251" s="11">
        <f>G1251*Controls!$B$6</f>
        <v>6500</v>
      </c>
      <c r="N1251" s="12">
        <f>IF(L1251=0,0,SUMIFS('PSI Plan'!$N$6:$N$173,'PSI Plan'!$B$6:$B$173,B1251,'PSI Plan'!$C$6:$C$173,I1251))</f>
        <v>0</v>
      </c>
      <c r="O1251" s="11">
        <f t="shared" si="38"/>
        <v>0</v>
      </c>
      <c r="P1251" s="11">
        <f t="shared" si="39"/>
        <v>0</v>
      </c>
      <c r="Q1251" s="6"/>
      <c r="R1251" s="6"/>
      <c r="S1251" s="6"/>
      <c r="T1251" s="6"/>
    </row>
    <row r="1252" spans="1:20">
      <c r="A1252" s="6" t="s">
        <v>1400</v>
      </c>
      <c r="B1252" s="6" t="s">
        <v>69</v>
      </c>
      <c r="C1252" s="6" t="s">
        <v>99</v>
      </c>
      <c r="D1252" s="6" t="s">
        <v>319</v>
      </c>
      <c r="E1252" s="6" t="s">
        <v>120</v>
      </c>
      <c r="F1252" s="7">
        <v>52</v>
      </c>
      <c r="G1252" s="7">
        <v>6500</v>
      </c>
      <c r="H1252" s="16">
        <v>45262</v>
      </c>
      <c r="I1252" s="6">
        <v>48</v>
      </c>
      <c r="J1252" s="6" t="s">
        <v>121</v>
      </c>
      <c r="K1252" s="6" t="s">
        <v>344</v>
      </c>
      <c r="L1252" s="11">
        <f>F1252*Controls!$B$6</f>
        <v>52</v>
      </c>
      <c r="M1252" s="11">
        <f>G1252*Controls!$B$6</f>
        <v>6500</v>
      </c>
      <c r="N1252" s="12">
        <f>IF(L1252=0,0,SUMIFS('PSI Plan'!$N$6:$N$173,'PSI Plan'!$B$6:$B$173,B1252,'PSI Plan'!$C$6:$C$173,I1252))</f>
        <v>0</v>
      </c>
      <c r="O1252" s="11">
        <f t="shared" si="38"/>
        <v>0</v>
      </c>
      <c r="P1252" s="11">
        <f t="shared" si="39"/>
        <v>0</v>
      </c>
      <c r="Q1252" s="6"/>
      <c r="R1252" s="6"/>
      <c r="S1252" s="6"/>
      <c r="T1252" s="6"/>
    </row>
    <row r="1253" spans="1:20">
      <c r="A1253" s="6" t="s">
        <v>1401</v>
      </c>
      <c r="B1253" s="6" t="s">
        <v>66</v>
      </c>
      <c r="C1253" s="6" t="s">
        <v>100</v>
      </c>
      <c r="D1253" s="6" t="s">
        <v>567</v>
      </c>
      <c r="E1253" s="6" t="s">
        <v>120</v>
      </c>
      <c r="F1253" s="7">
        <v>6</v>
      </c>
      <c r="G1253" s="7">
        <v>750</v>
      </c>
      <c r="H1253" s="16">
        <v>45203</v>
      </c>
      <c r="I1253" s="6">
        <v>40</v>
      </c>
      <c r="J1253" s="6" t="s">
        <v>121</v>
      </c>
      <c r="K1253" s="6" t="s">
        <v>781</v>
      </c>
      <c r="L1253" s="11">
        <f>F1253*Controls!$B$6</f>
        <v>6</v>
      </c>
      <c r="M1253" s="11">
        <f>G1253*Controls!$B$6</f>
        <v>750</v>
      </c>
      <c r="N1253" s="12">
        <f>IF(L1253=0,0,SUMIFS('PSI Plan'!$N$6:$N$173,'PSI Plan'!$B$6:$B$173,B1253,'PSI Plan'!$C$6:$C$173,I1253))</f>
        <v>0</v>
      </c>
      <c r="O1253" s="11">
        <f t="shared" si="38"/>
        <v>0</v>
      </c>
      <c r="P1253" s="11">
        <f t="shared" si="39"/>
        <v>0</v>
      </c>
      <c r="Q1253" s="6"/>
      <c r="R1253" s="6"/>
      <c r="S1253" s="6"/>
      <c r="T1253" s="6"/>
    </row>
    <row r="1254" spans="1:20">
      <c r="A1254" s="6" t="s">
        <v>1402</v>
      </c>
      <c r="B1254" s="6" t="s">
        <v>77</v>
      </c>
      <c r="C1254" s="6" t="s">
        <v>100</v>
      </c>
      <c r="D1254" s="6" t="s">
        <v>567</v>
      </c>
      <c r="E1254" s="6" t="s">
        <v>120</v>
      </c>
      <c r="F1254" s="7">
        <v>7</v>
      </c>
      <c r="G1254" s="7">
        <v>875</v>
      </c>
      <c r="H1254" s="16">
        <v>45212</v>
      </c>
      <c r="I1254" s="6">
        <v>41</v>
      </c>
      <c r="J1254" s="6" t="s">
        <v>121</v>
      </c>
      <c r="K1254" s="6" t="s">
        <v>781</v>
      </c>
      <c r="L1254" s="11">
        <f>F1254*Controls!$B$6</f>
        <v>7</v>
      </c>
      <c r="M1254" s="11">
        <f>G1254*Controls!$B$6</f>
        <v>875</v>
      </c>
      <c r="N1254" s="12">
        <f>IF(L1254=0,0,SUMIFS('PSI Plan'!$N$6:$N$173,'PSI Plan'!$B$6:$B$173,B1254,'PSI Plan'!$C$6:$C$173,I1254))</f>
        <v>0</v>
      </c>
      <c r="O1254" s="11">
        <f t="shared" si="38"/>
        <v>0</v>
      </c>
      <c r="P1254" s="11">
        <f t="shared" si="39"/>
        <v>0</v>
      </c>
      <c r="Q1254" s="6"/>
      <c r="R1254" s="6"/>
      <c r="S1254" s="6"/>
      <c r="T1254" s="6"/>
    </row>
    <row r="1255" spans="1:20">
      <c r="A1255" s="6" t="s">
        <v>1403</v>
      </c>
      <c r="B1255" s="6" t="s">
        <v>67</v>
      </c>
      <c r="C1255" s="6" t="s">
        <v>100</v>
      </c>
      <c r="D1255" s="6" t="s">
        <v>567</v>
      </c>
      <c r="E1255" s="6" t="s">
        <v>120</v>
      </c>
      <c r="F1255" s="7">
        <v>5</v>
      </c>
      <c r="G1255" s="7">
        <v>625</v>
      </c>
      <c r="H1255" s="16">
        <v>45256</v>
      </c>
      <c r="I1255" s="6">
        <v>48</v>
      </c>
      <c r="J1255" s="6" t="s">
        <v>121</v>
      </c>
      <c r="K1255" s="6" t="s">
        <v>781</v>
      </c>
      <c r="L1255" s="11">
        <f>F1255*Controls!$B$6</f>
        <v>5</v>
      </c>
      <c r="M1255" s="11">
        <f>G1255*Controls!$B$6</f>
        <v>625</v>
      </c>
      <c r="N1255" s="12">
        <f>IF(L1255=0,0,SUMIFS('PSI Plan'!$N$6:$N$173,'PSI Plan'!$B$6:$B$173,B1255,'PSI Plan'!$C$6:$C$173,I1255))</f>
        <v>0</v>
      </c>
      <c r="O1255" s="11">
        <f t="shared" si="38"/>
        <v>0</v>
      </c>
      <c r="P1255" s="11">
        <f t="shared" si="39"/>
        <v>0</v>
      </c>
      <c r="Q1255" s="6"/>
      <c r="R1255" s="6"/>
      <c r="S1255" s="6"/>
      <c r="T1255" s="6"/>
    </row>
    <row r="1256" spans="1:20">
      <c r="A1256" s="6" t="s">
        <v>1404</v>
      </c>
      <c r="B1256" s="6" t="s">
        <v>66</v>
      </c>
      <c r="C1256" s="6" t="s">
        <v>99</v>
      </c>
      <c r="D1256" s="6" t="s">
        <v>319</v>
      </c>
      <c r="E1256" s="6" t="s">
        <v>120</v>
      </c>
      <c r="F1256" s="7">
        <v>34</v>
      </c>
      <c r="G1256" s="7">
        <v>4250</v>
      </c>
      <c r="H1256" s="16">
        <v>45229</v>
      </c>
      <c r="I1256" s="6">
        <v>44</v>
      </c>
      <c r="J1256" s="6" t="s">
        <v>121</v>
      </c>
      <c r="K1256" s="6" t="s">
        <v>347</v>
      </c>
      <c r="L1256" s="11">
        <f>F1256*Controls!$B$6</f>
        <v>34</v>
      </c>
      <c r="M1256" s="11">
        <f>G1256*Controls!$B$6</f>
        <v>4250</v>
      </c>
      <c r="N1256" s="12">
        <f>IF(L1256=0,0,SUMIFS('PSI Plan'!$N$6:$N$173,'PSI Plan'!$B$6:$B$173,B1256,'PSI Plan'!$C$6:$C$173,I1256))</f>
        <v>0</v>
      </c>
      <c r="O1256" s="11">
        <f t="shared" si="38"/>
        <v>0</v>
      </c>
      <c r="P1256" s="11">
        <f t="shared" si="39"/>
        <v>0</v>
      </c>
      <c r="Q1256" s="6"/>
      <c r="R1256" s="6"/>
      <c r="S1256" s="6"/>
      <c r="T1256" s="6"/>
    </row>
    <row r="1257" spans="1:20">
      <c r="A1257" s="6" t="s">
        <v>1405</v>
      </c>
      <c r="B1257" s="6" t="s">
        <v>77</v>
      </c>
      <c r="C1257" s="6" t="s">
        <v>99</v>
      </c>
      <c r="D1257" s="6" t="s">
        <v>319</v>
      </c>
      <c r="E1257" s="6" t="s">
        <v>120</v>
      </c>
      <c r="F1257" s="7">
        <v>64</v>
      </c>
      <c r="G1257" s="7">
        <v>8000</v>
      </c>
      <c r="H1257" s="16">
        <v>45274</v>
      </c>
      <c r="I1257" s="6">
        <v>50</v>
      </c>
      <c r="J1257" s="6" t="s">
        <v>121</v>
      </c>
      <c r="K1257" s="6" t="s">
        <v>347</v>
      </c>
      <c r="L1257" s="11">
        <f>F1257*Controls!$B$6</f>
        <v>64</v>
      </c>
      <c r="M1257" s="11">
        <f>G1257*Controls!$B$6</f>
        <v>8000</v>
      </c>
      <c r="N1257" s="12">
        <f>IF(L1257=0,0,SUMIFS('PSI Plan'!$N$6:$N$173,'PSI Plan'!$B$6:$B$173,B1257,'PSI Plan'!$C$6:$C$173,I1257))</f>
        <v>0</v>
      </c>
      <c r="O1257" s="11">
        <f t="shared" si="38"/>
        <v>0</v>
      </c>
      <c r="P1257" s="11">
        <f t="shared" si="39"/>
        <v>0</v>
      </c>
      <c r="Q1257" s="6"/>
      <c r="R1257" s="6"/>
      <c r="S1257" s="6"/>
      <c r="T1257" s="6"/>
    </row>
    <row r="1258" spans="1:20">
      <c r="A1258" s="6" t="s">
        <v>1406</v>
      </c>
      <c r="B1258" s="6" t="s">
        <v>69</v>
      </c>
      <c r="C1258" s="6" t="s">
        <v>99</v>
      </c>
      <c r="D1258" s="6" t="s">
        <v>319</v>
      </c>
      <c r="E1258" s="6" t="s">
        <v>120</v>
      </c>
      <c r="F1258" s="7">
        <v>86</v>
      </c>
      <c r="G1258" s="7">
        <v>10750</v>
      </c>
      <c r="H1258" s="16">
        <v>45217</v>
      </c>
      <c r="I1258" s="6">
        <v>42</v>
      </c>
      <c r="J1258" s="6" t="s">
        <v>121</v>
      </c>
      <c r="K1258" s="6" t="s">
        <v>347</v>
      </c>
      <c r="L1258" s="11">
        <f>F1258*Controls!$B$6</f>
        <v>86</v>
      </c>
      <c r="M1258" s="11">
        <f>G1258*Controls!$B$6</f>
        <v>10750</v>
      </c>
      <c r="N1258" s="12">
        <f>IF(L1258=0,0,SUMIFS('PSI Plan'!$N$6:$N$173,'PSI Plan'!$B$6:$B$173,B1258,'PSI Plan'!$C$6:$C$173,I1258))</f>
        <v>0</v>
      </c>
      <c r="O1258" s="11">
        <f t="shared" si="38"/>
        <v>0</v>
      </c>
      <c r="P1258" s="11">
        <f t="shared" si="39"/>
        <v>0</v>
      </c>
      <c r="Q1258" s="6"/>
      <c r="R1258" s="6"/>
      <c r="S1258" s="6"/>
      <c r="T1258" s="6"/>
    </row>
    <row r="1259" spans="1:20">
      <c r="A1259" s="6" t="s">
        <v>1407</v>
      </c>
      <c r="B1259" s="6" t="s">
        <v>77</v>
      </c>
      <c r="C1259" s="6" t="s">
        <v>99</v>
      </c>
      <c r="D1259" s="6" t="s">
        <v>319</v>
      </c>
      <c r="E1259" s="6" t="s">
        <v>120</v>
      </c>
      <c r="F1259" s="7">
        <v>52</v>
      </c>
      <c r="G1259" s="7">
        <v>6500</v>
      </c>
      <c r="H1259" s="16">
        <v>45201</v>
      </c>
      <c r="I1259" s="6">
        <v>40</v>
      </c>
      <c r="J1259" s="6" t="s">
        <v>121</v>
      </c>
      <c r="K1259" s="6" t="s">
        <v>344</v>
      </c>
      <c r="L1259" s="11">
        <f>F1259*Controls!$B$6</f>
        <v>52</v>
      </c>
      <c r="M1259" s="11">
        <f>G1259*Controls!$B$6</f>
        <v>6500</v>
      </c>
      <c r="N1259" s="12">
        <f>IF(L1259=0,0,SUMIFS('PSI Plan'!$N$6:$N$173,'PSI Plan'!$B$6:$B$173,B1259,'PSI Plan'!$C$6:$C$173,I1259))</f>
        <v>0</v>
      </c>
      <c r="O1259" s="11">
        <f t="shared" si="38"/>
        <v>0</v>
      </c>
      <c r="P1259" s="11">
        <f t="shared" si="39"/>
        <v>0</v>
      </c>
      <c r="Q1259" s="6"/>
      <c r="R1259" s="6"/>
      <c r="S1259" s="6"/>
      <c r="T1259" s="6"/>
    </row>
    <row r="1260" spans="1:20">
      <c r="A1260" s="6" t="s">
        <v>1408</v>
      </c>
      <c r="B1260" s="6" t="s">
        <v>66</v>
      </c>
      <c r="C1260" s="6" t="s">
        <v>90</v>
      </c>
      <c r="D1260" s="6" t="s">
        <v>119</v>
      </c>
      <c r="E1260" s="6" t="s">
        <v>120</v>
      </c>
      <c r="F1260" s="7">
        <v>52</v>
      </c>
      <c r="G1260" s="7">
        <v>6500</v>
      </c>
      <c r="H1260" s="16">
        <v>45273</v>
      </c>
      <c r="I1260" s="6">
        <v>50</v>
      </c>
      <c r="J1260" s="6" t="s">
        <v>121</v>
      </c>
      <c r="K1260" s="6" t="s">
        <v>122</v>
      </c>
      <c r="L1260" s="11">
        <f>F1260*Controls!$B$6</f>
        <v>52</v>
      </c>
      <c r="M1260" s="11">
        <f>G1260*Controls!$B$6</f>
        <v>6500</v>
      </c>
      <c r="N1260" s="12">
        <f>IF(L1260=0,0,SUMIFS('PSI Plan'!$N$6:$N$173,'PSI Plan'!$B$6:$B$173,B1260,'PSI Plan'!$C$6:$C$173,I1260))</f>
        <v>0</v>
      </c>
      <c r="O1260" s="11">
        <f t="shared" si="38"/>
        <v>0</v>
      </c>
      <c r="P1260" s="11">
        <f t="shared" si="39"/>
        <v>0</v>
      </c>
      <c r="Q1260" s="6"/>
      <c r="R1260" s="6"/>
      <c r="S1260" s="6"/>
      <c r="T1260" s="6"/>
    </row>
    <row r="1261" spans="1:20">
      <c r="A1261" s="6" t="s">
        <v>1409</v>
      </c>
      <c r="B1261" s="6" t="s">
        <v>77</v>
      </c>
      <c r="C1261" s="6" t="s">
        <v>90</v>
      </c>
      <c r="D1261" s="6" t="s">
        <v>119</v>
      </c>
      <c r="E1261" s="6" t="s">
        <v>120</v>
      </c>
      <c r="F1261" s="7">
        <v>64</v>
      </c>
      <c r="G1261" s="7">
        <v>8000</v>
      </c>
      <c r="H1261" s="16">
        <v>45282</v>
      </c>
      <c r="I1261" s="6">
        <v>51</v>
      </c>
      <c r="J1261" s="6" t="s">
        <v>121</v>
      </c>
      <c r="K1261" s="6" t="s">
        <v>122</v>
      </c>
      <c r="L1261" s="11">
        <f>F1261*Controls!$B$6</f>
        <v>64</v>
      </c>
      <c r="M1261" s="11">
        <f>G1261*Controls!$B$6</f>
        <v>8000</v>
      </c>
      <c r="N1261" s="12">
        <f>IF(L1261=0,0,SUMIFS('PSI Plan'!$N$6:$N$173,'PSI Plan'!$B$6:$B$173,B1261,'PSI Plan'!$C$6:$C$173,I1261))</f>
        <v>0</v>
      </c>
      <c r="O1261" s="11">
        <f t="shared" si="38"/>
        <v>0</v>
      </c>
      <c r="P1261" s="11">
        <f t="shared" si="39"/>
        <v>0</v>
      </c>
      <c r="Q1261" s="6"/>
      <c r="R1261" s="6"/>
      <c r="S1261" s="6"/>
      <c r="T1261" s="6"/>
    </row>
    <row r="1262" spans="1:20">
      <c r="A1262" s="6" t="s">
        <v>1410</v>
      </c>
      <c r="B1262" s="6" t="s">
        <v>76</v>
      </c>
      <c r="C1262" s="6" t="s">
        <v>90</v>
      </c>
      <c r="D1262" s="6" t="s">
        <v>119</v>
      </c>
      <c r="E1262" s="6" t="s">
        <v>120</v>
      </c>
      <c r="F1262" s="7">
        <v>21</v>
      </c>
      <c r="G1262" s="7">
        <v>2625</v>
      </c>
      <c r="H1262" s="16">
        <v>45219</v>
      </c>
      <c r="I1262" s="6">
        <v>42</v>
      </c>
      <c r="J1262" s="6" t="s">
        <v>121</v>
      </c>
      <c r="K1262" s="6" t="s">
        <v>122</v>
      </c>
      <c r="L1262" s="11">
        <f>F1262*Controls!$B$6</f>
        <v>21</v>
      </c>
      <c r="M1262" s="11">
        <f>G1262*Controls!$B$6</f>
        <v>2625</v>
      </c>
      <c r="N1262" s="12">
        <f>IF(L1262=0,0,SUMIFS('PSI Plan'!$N$6:$N$173,'PSI Plan'!$B$6:$B$173,B1262,'PSI Plan'!$C$6:$C$173,I1262))</f>
        <v>0</v>
      </c>
      <c r="O1262" s="11">
        <f t="shared" si="38"/>
        <v>0</v>
      </c>
      <c r="P1262" s="11">
        <f t="shared" si="39"/>
        <v>0</v>
      </c>
      <c r="Q1262" s="6"/>
      <c r="R1262" s="6"/>
      <c r="S1262" s="6"/>
      <c r="T1262" s="6"/>
    </row>
    <row r="1263" spans="1:20">
      <c r="A1263" s="6" t="s">
        <v>1411</v>
      </c>
      <c r="B1263" s="6" t="s">
        <v>67</v>
      </c>
      <c r="C1263" s="6" t="s">
        <v>90</v>
      </c>
      <c r="D1263" s="6" t="s">
        <v>119</v>
      </c>
      <c r="E1263" s="6" t="s">
        <v>120</v>
      </c>
      <c r="F1263" s="7">
        <v>27</v>
      </c>
      <c r="G1263" s="7">
        <v>3375</v>
      </c>
      <c r="H1263" s="16">
        <v>45202</v>
      </c>
      <c r="I1263" s="6">
        <v>40</v>
      </c>
      <c r="J1263" s="6" t="s">
        <v>121</v>
      </c>
      <c r="K1263" s="6" t="s">
        <v>122</v>
      </c>
      <c r="L1263" s="11">
        <f>F1263*Controls!$B$6</f>
        <v>27</v>
      </c>
      <c r="M1263" s="11">
        <f>G1263*Controls!$B$6</f>
        <v>3375</v>
      </c>
      <c r="N1263" s="12">
        <f>IF(L1263=0,0,SUMIFS('PSI Plan'!$N$6:$N$173,'PSI Plan'!$B$6:$B$173,B1263,'PSI Plan'!$C$6:$C$173,I1263))</f>
        <v>0</v>
      </c>
      <c r="O1263" s="11">
        <f t="shared" si="38"/>
        <v>0</v>
      </c>
      <c r="P1263" s="11">
        <f t="shared" si="39"/>
        <v>0</v>
      </c>
      <c r="Q1263" s="6"/>
      <c r="R1263" s="6"/>
      <c r="S1263" s="6"/>
      <c r="T1263" s="6"/>
    </row>
    <row r="1264" spans="1:20">
      <c r="A1264" s="6" t="s">
        <v>1412</v>
      </c>
      <c r="B1264" s="6" t="s">
        <v>69</v>
      </c>
      <c r="C1264" s="6" t="s">
        <v>90</v>
      </c>
      <c r="D1264" s="6" t="s">
        <v>119</v>
      </c>
      <c r="E1264" s="6" t="s">
        <v>120</v>
      </c>
      <c r="F1264" s="7">
        <v>26</v>
      </c>
      <c r="G1264" s="7">
        <v>3250</v>
      </c>
      <c r="H1264" s="16">
        <v>45204</v>
      </c>
      <c r="I1264" s="6">
        <v>40</v>
      </c>
      <c r="J1264" s="6" t="s">
        <v>121</v>
      </c>
      <c r="K1264" s="6" t="s">
        <v>122</v>
      </c>
      <c r="L1264" s="11">
        <f>F1264*Controls!$B$6</f>
        <v>26</v>
      </c>
      <c r="M1264" s="11">
        <f>G1264*Controls!$B$6</f>
        <v>3250</v>
      </c>
      <c r="N1264" s="12">
        <f>IF(L1264=0,0,SUMIFS('PSI Plan'!$N$6:$N$173,'PSI Plan'!$B$6:$B$173,B1264,'PSI Plan'!$C$6:$C$173,I1264))</f>
        <v>0</v>
      </c>
      <c r="O1264" s="11">
        <f t="shared" si="38"/>
        <v>0</v>
      </c>
      <c r="P1264" s="11">
        <f t="shared" si="39"/>
        <v>0</v>
      </c>
      <c r="Q1264" s="6"/>
      <c r="R1264" s="6"/>
      <c r="S1264" s="6"/>
      <c r="T1264" s="6"/>
    </row>
    <row r="1265" spans="1:20">
      <c r="A1265" s="6" t="s">
        <v>1413</v>
      </c>
      <c r="B1265" s="6" t="s">
        <v>66</v>
      </c>
      <c r="C1265" s="6" t="s">
        <v>90</v>
      </c>
      <c r="D1265" s="6" t="s">
        <v>119</v>
      </c>
      <c r="E1265" s="6" t="s">
        <v>120</v>
      </c>
      <c r="F1265" s="7">
        <v>9</v>
      </c>
      <c r="G1265" s="7">
        <v>1125</v>
      </c>
      <c r="H1265" s="16">
        <v>45269</v>
      </c>
      <c r="I1265" s="6">
        <v>49</v>
      </c>
      <c r="J1265" s="6" t="s">
        <v>121</v>
      </c>
      <c r="K1265" s="6" t="s">
        <v>139</v>
      </c>
      <c r="L1265" s="11">
        <f>F1265*Controls!$B$6</f>
        <v>9</v>
      </c>
      <c r="M1265" s="11">
        <f>G1265*Controls!$B$6</f>
        <v>1125</v>
      </c>
      <c r="N1265" s="12">
        <f>IF(L1265=0,0,SUMIFS('PSI Plan'!$N$6:$N$173,'PSI Plan'!$B$6:$B$173,B1265,'PSI Plan'!$C$6:$C$173,I1265))</f>
        <v>0</v>
      </c>
      <c r="O1265" s="11">
        <f t="shared" si="38"/>
        <v>0</v>
      </c>
      <c r="P1265" s="11">
        <f t="shared" si="39"/>
        <v>0</v>
      </c>
      <c r="Q1265" s="6"/>
      <c r="R1265" s="6"/>
      <c r="S1265" s="6"/>
      <c r="T1265" s="6"/>
    </row>
    <row r="1266" spans="1:20">
      <c r="A1266" s="6" t="s">
        <v>1414</v>
      </c>
      <c r="B1266" s="6" t="s">
        <v>77</v>
      </c>
      <c r="C1266" s="6" t="s">
        <v>90</v>
      </c>
      <c r="D1266" s="6" t="s">
        <v>119</v>
      </c>
      <c r="E1266" s="6" t="s">
        <v>120</v>
      </c>
      <c r="F1266" s="7">
        <v>16</v>
      </c>
      <c r="G1266" s="7">
        <v>2000</v>
      </c>
      <c r="H1266" s="16">
        <v>45284</v>
      </c>
      <c r="I1266" s="6">
        <v>52</v>
      </c>
      <c r="J1266" s="6" t="s">
        <v>121</v>
      </c>
      <c r="K1266" s="6" t="s">
        <v>139</v>
      </c>
      <c r="L1266" s="11">
        <f>F1266*Controls!$B$6</f>
        <v>16</v>
      </c>
      <c r="M1266" s="11">
        <f>G1266*Controls!$B$6</f>
        <v>2000</v>
      </c>
      <c r="N1266" s="12">
        <f>IF(L1266=0,0,SUMIFS('PSI Plan'!$N$6:$N$173,'PSI Plan'!$B$6:$B$173,B1266,'PSI Plan'!$C$6:$C$173,I1266))</f>
        <v>0</v>
      </c>
      <c r="O1266" s="11">
        <f t="shared" si="38"/>
        <v>0</v>
      </c>
      <c r="P1266" s="11">
        <f t="shared" si="39"/>
        <v>0</v>
      </c>
      <c r="Q1266" s="6"/>
      <c r="R1266" s="6"/>
      <c r="S1266" s="6"/>
      <c r="T1266" s="6"/>
    </row>
    <row r="1267" spans="1:20">
      <c r="A1267" s="6" t="s">
        <v>1415</v>
      </c>
      <c r="B1267" s="6" t="s">
        <v>76</v>
      </c>
      <c r="C1267" s="6" t="s">
        <v>90</v>
      </c>
      <c r="D1267" s="6" t="s">
        <v>119</v>
      </c>
      <c r="E1267" s="6" t="s">
        <v>120</v>
      </c>
      <c r="F1267" s="7">
        <v>2</v>
      </c>
      <c r="G1267" s="7">
        <v>250</v>
      </c>
      <c r="H1267" s="16">
        <v>45229</v>
      </c>
      <c r="I1267" s="6">
        <v>44</v>
      </c>
      <c r="J1267" s="6" t="s">
        <v>121</v>
      </c>
      <c r="K1267" s="6" t="s">
        <v>139</v>
      </c>
      <c r="L1267" s="11">
        <f>F1267*Controls!$B$6</f>
        <v>2</v>
      </c>
      <c r="M1267" s="11">
        <f>G1267*Controls!$B$6</f>
        <v>250</v>
      </c>
      <c r="N1267" s="12">
        <f>IF(L1267=0,0,SUMIFS('PSI Plan'!$N$6:$N$173,'PSI Plan'!$B$6:$B$173,B1267,'PSI Plan'!$C$6:$C$173,I1267))</f>
        <v>0</v>
      </c>
      <c r="O1267" s="11">
        <f t="shared" si="38"/>
        <v>0</v>
      </c>
      <c r="P1267" s="11">
        <f t="shared" si="39"/>
        <v>0</v>
      </c>
      <c r="Q1267" s="6"/>
      <c r="R1267" s="6"/>
      <c r="S1267" s="6"/>
      <c r="T1267" s="6"/>
    </row>
    <row r="1268" spans="1:20">
      <c r="A1268" s="6" t="s">
        <v>1416</v>
      </c>
      <c r="B1268" s="6" t="s">
        <v>69</v>
      </c>
      <c r="C1268" s="6" t="s">
        <v>90</v>
      </c>
      <c r="D1268" s="6" t="s">
        <v>119</v>
      </c>
      <c r="E1268" s="6" t="s">
        <v>120</v>
      </c>
      <c r="F1268" s="7">
        <v>16</v>
      </c>
      <c r="G1268" s="7">
        <v>2000</v>
      </c>
      <c r="H1268" s="16">
        <v>45268</v>
      </c>
      <c r="I1268" s="6">
        <v>49</v>
      </c>
      <c r="J1268" s="6" t="s">
        <v>121</v>
      </c>
      <c r="K1268" s="6" t="s">
        <v>139</v>
      </c>
      <c r="L1268" s="11">
        <f>F1268*Controls!$B$6</f>
        <v>16</v>
      </c>
      <c r="M1268" s="11">
        <f>G1268*Controls!$B$6</f>
        <v>2000</v>
      </c>
      <c r="N1268" s="12">
        <f>IF(L1268=0,0,SUMIFS('PSI Plan'!$N$6:$N$173,'PSI Plan'!$B$6:$B$173,B1268,'PSI Plan'!$C$6:$C$173,I1268))</f>
        <v>0</v>
      </c>
      <c r="O1268" s="11">
        <f t="shared" si="38"/>
        <v>0</v>
      </c>
      <c r="P1268" s="11">
        <f t="shared" si="39"/>
        <v>0</v>
      </c>
      <c r="Q1268" s="6"/>
      <c r="R1268" s="6"/>
      <c r="S1268" s="6"/>
      <c r="T1268" s="6"/>
    </row>
    <row r="1269" spans="1:20">
      <c r="A1269" s="6" t="s">
        <v>1417</v>
      </c>
      <c r="B1269" s="6" t="s">
        <v>77</v>
      </c>
      <c r="C1269" s="6" t="s">
        <v>90</v>
      </c>
      <c r="D1269" s="6" t="s">
        <v>119</v>
      </c>
      <c r="E1269" s="6" t="s">
        <v>120</v>
      </c>
      <c r="F1269" s="7">
        <v>2</v>
      </c>
      <c r="G1269" s="7">
        <v>250</v>
      </c>
      <c r="H1269" s="16">
        <v>45258</v>
      </c>
      <c r="I1269" s="6">
        <v>48</v>
      </c>
      <c r="J1269" s="6" t="s">
        <v>121</v>
      </c>
      <c r="K1269" s="6" t="s">
        <v>725</v>
      </c>
      <c r="L1269" s="11">
        <f>F1269*Controls!$B$6</f>
        <v>2</v>
      </c>
      <c r="M1269" s="11">
        <f>G1269*Controls!$B$6</f>
        <v>250</v>
      </c>
      <c r="N1269" s="12">
        <f>IF(L1269=0,0,SUMIFS('PSI Plan'!$N$6:$N$173,'PSI Plan'!$B$6:$B$173,B1269,'PSI Plan'!$C$6:$C$173,I1269))</f>
        <v>0</v>
      </c>
      <c r="O1269" s="11">
        <f t="shared" si="38"/>
        <v>0</v>
      </c>
      <c r="P1269" s="11">
        <f t="shared" si="39"/>
        <v>0</v>
      </c>
      <c r="Q1269" s="6"/>
      <c r="R1269" s="6"/>
      <c r="S1269" s="6"/>
      <c r="T1269" s="6"/>
    </row>
    <row r="1270" spans="1:20">
      <c r="A1270" s="6" t="s">
        <v>1418</v>
      </c>
      <c r="B1270" s="6" t="s">
        <v>69</v>
      </c>
      <c r="C1270" s="6" t="s">
        <v>90</v>
      </c>
      <c r="D1270" s="6" t="s">
        <v>119</v>
      </c>
      <c r="E1270" s="6" t="s">
        <v>120</v>
      </c>
      <c r="F1270" s="7">
        <v>6</v>
      </c>
      <c r="G1270" s="7">
        <v>750</v>
      </c>
      <c r="H1270" s="16">
        <v>45203</v>
      </c>
      <c r="I1270" s="6">
        <v>40</v>
      </c>
      <c r="J1270" s="6" t="s">
        <v>121</v>
      </c>
      <c r="K1270" s="6" t="s">
        <v>725</v>
      </c>
      <c r="L1270" s="11">
        <f>F1270*Controls!$B$6</f>
        <v>6</v>
      </c>
      <c r="M1270" s="11">
        <f>G1270*Controls!$B$6</f>
        <v>750</v>
      </c>
      <c r="N1270" s="12">
        <f>IF(L1270=0,0,SUMIFS('PSI Plan'!$N$6:$N$173,'PSI Plan'!$B$6:$B$173,B1270,'PSI Plan'!$C$6:$C$173,I1270))</f>
        <v>0</v>
      </c>
      <c r="O1270" s="11">
        <f t="shared" si="38"/>
        <v>0</v>
      </c>
      <c r="P1270" s="11">
        <f t="shared" si="39"/>
        <v>0</v>
      </c>
      <c r="Q1270" s="6"/>
      <c r="R1270" s="6"/>
      <c r="S1270" s="6"/>
      <c r="T1270" s="6"/>
    </row>
    <row r="1271" spans="1:20">
      <c r="A1271" s="6" t="s">
        <v>1419</v>
      </c>
      <c r="B1271" s="6" t="s">
        <v>66</v>
      </c>
      <c r="C1271" s="6" t="s">
        <v>90</v>
      </c>
      <c r="D1271" s="6" t="s">
        <v>119</v>
      </c>
      <c r="E1271" s="6" t="s">
        <v>120</v>
      </c>
      <c r="F1271" s="7">
        <v>4</v>
      </c>
      <c r="G1271" s="7">
        <v>500</v>
      </c>
      <c r="H1271" s="16">
        <v>45246</v>
      </c>
      <c r="I1271" s="6">
        <v>46</v>
      </c>
      <c r="J1271" s="6" t="s">
        <v>121</v>
      </c>
      <c r="K1271" s="6" t="s">
        <v>298</v>
      </c>
      <c r="L1271" s="11">
        <f>F1271*Controls!$B$6</f>
        <v>4</v>
      </c>
      <c r="M1271" s="11">
        <f>G1271*Controls!$B$6</f>
        <v>500</v>
      </c>
      <c r="N1271" s="12">
        <f>IF(L1271=0,0,SUMIFS('PSI Plan'!$N$6:$N$173,'PSI Plan'!$B$6:$B$173,B1271,'PSI Plan'!$C$6:$C$173,I1271))</f>
        <v>0</v>
      </c>
      <c r="O1271" s="11">
        <f t="shared" si="38"/>
        <v>0</v>
      </c>
      <c r="P1271" s="11">
        <f t="shared" si="39"/>
        <v>0</v>
      </c>
      <c r="Q1271" s="6"/>
      <c r="R1271" s="6"/>
      <c r="S1271" s="6"/>
      <c r="T1271" s="6"/>
    </row>
    <row r="1272" spans="1:20">
      <c r="A1272" s="6" t="s">
        <v>1420</v>
      </c>
      <c r="B1272" s="6" t="s">
        <v>77</v>
      </c>
      <c r="C1272" s="6" t="s">
        <v>90</v>
      </c>
      <c r="D1272" s="6" t="s">
        <v>119</v>
      </c>
      <c r="E1272" s="6" t="s">
        <v>120</v>
      </c>
      <c r="F1272" s="7">
        <v>12</v>
      </c>
      <c r="G1272" s="7">
        <v>1500</v>
      </c>
      <c r="H1272" s="16">
        <v>45213</v>
      </c>
      <c r="I1272" s="6">
        <v>41</v>
      </c>
      <c r="J1272" s="6" t="s">
        <v>121</v>
      </c>
      <c r="K1272" s="6" t="s">
        <v>298</v>
      </c>
      <c r="L1272" s="11">
        <f>F1272*Controls!$B$6</f>
        <v>12</v>
      </c>
      <c r="M1272" s="11">
        <f>G1272*Controls!$B$6</f>
        <v>1500</v>
      </c>
      <c r="N1272" s="12">
        <f>IF(L1272=0,0,SUMIFS('PSI Plan'!$N$6:$N$173,'PSI Plan'!$B$6:$B$173,B1272,'PSI Plan'!$C$6:$C$173,I1272))</f>
        <v>0</v>
      </c>
      <c r="O1272" s="11">
        <f t="shared" si="38"/>
        <v>0</v>
      </c>
      <c r="P1272" s="11">
        <f t="shared" si="39"/>
        <v>0</v>
      </c>
      <c r="Q1272" s="6"/>
      <c r="R1272" s="6"/>
      <c r="S1272" s="6"/>
      <c r="T1272" s="6"/>
    </row>
    <row r="1273" spans="1:20">
      <c r="A1273" s="6" t="s">
        <v>1421</v>
      </c>
      <c r="B1273" s="6" t="s">
        <v>76</v>
      </c>
      <c r="C1273" s="6" t="s">
        <v>90</v>
      </c>
      <c r="D1273" s="6" t="s">
        <v>119</v>
      </c>
      <c r="E1273" s="6" t="s">
        <v>120</v>
      </c>
      <c r="F1273" s="7">
        <v>1</v>
      </c>
      <c r="G1273" s="7">
        <v>125</v>
      </c>
      <c r="H1273" s="16">
        <v>45270</v>
      </c>
      <c r="I1273" s="6">
        <v>50</v>
      </c>
      <c r="J1273" s="6" t="s">
        <v>121</v>
      </c>
      <c r="K1273" s="6" t="s">
        <v>298</v>
      </c>
      <c r="L1273" s="11">
        <f>F1273*Controls!$B$6</f>
        <v>1</v>
      </c>
      <c r="M1273" s="11">
        <f>G1273*Controls!$B$6</f>
        <v>125</v>
      </c>
      <c r="N1273" s="12">
        <f>IF(L1273=0,0,SUMIFS('PSI Plan'!$N$6:$N$173,'PSI Plan'!$B$6:$B$173,B1273,'PSI Plan'!$C$6:$C$173,I1273))</f>
        <v>0</v>
      </c>
      <c r="O1273" s="11">
        <f t="shared" si="38"/>
        <v>0</v>
      </c>
      <c r="P1273" s="11">
        <f t="shared" si="39"/>
        <v>0</v>
      </c>
      <c r="Q1273" s="6"/>
      <c r="R1273" s="6"/>
      <c r="S1273" s="6"/>
      <c r="T1273" s="6"/>
    </row>
    <row r="1274" spans="1:20">
      <c r="A1274" s="6" t="s">
        <v>1422</v>
      </c>
      <c r="B1274" s="6" t="s">
        <v>69</v>
      </c>
      <c r="C1274" s="6" t="s">
        <v>90</v>
      </c>
      <c r="D1274" s="6" t="s">
        <v>119</v>
      </c>
      <c r="E1274" s="6" t="s">
        <v>120</v>
      </c>
      <c r="F1274" s="7">
        <v>2</v>
      </c>
      <c r="G1274" s="7">
        <v>250</v>
      </c>
      <c r="H1274" s="16">
        <v>45289</v>
      </c>
      <c r="I1274" s="6">
        <v>52</v>
      </c>
      <c r="J1274" s="6" t="s">
        <v>121</v>
      </c>
      <c r="K1274" s="6" t="s">
        <v>298</v>
      </c>
      <c r="L1274" s="11">
        <f>F1274*Controls!$B$6</f>
        <v>2</v>
      </c>
      <c r="M1274" s="11">
        <f>G1274*Controls!$B$6</f>
        <v>250</v>
      </c>
      <c r="N1274" s="12">
        <f>IF(L1274=0,0,SUMIFS('PSI Plan'!$N$6:$N$173,'PSI Plan'!$B$6:$B$173,B1274,'PSI Plan'!$C$6:$C$173,I1274))</f>
        <v>0</v>
      </c>
      <c r="O1274" s="11">
        <f t="shared" si="38"/>
        <v>0</v>
      </c>
      <c r="P1274" s="11">
        <f t="shared" si="39"/>
        <v>0</v>
      </c>
      <c r="Q1274" s="6"/>
      <c r="R1274" s="6"/>
      <c r="S1274" s="6"/>
      <c r="T1274" s="6"/>
    </row>
    <row r="1275" spans="1:20">
      <c r="A1275" s="6" t="s">
        <v>1423</v>
      </c>
      <c r="B1275" s="6" t="s">
        <v>77</v>
      </c>
      <c r="C1275" s="6" t="s">
        <v>90</v>
      </c>
      <c r="D1275" s="6" t="s">
        <v>119</v>
      </c>
      <c r="E1275" s="6" t="s">
        <v>120</v>
      </c>
      <c r="F1275" s="7">
        <v>9</v>
      </c>
      <c r="G1275" s="7">
        <v>1125</v>
      </c>
      <c r="H1275" s="16">
        <v>45270</v>
      </c>
      <c r="I1275" s="6">
        <v>50</v>
      </c>
      <c r="J1275" s="6" t="s">
        <v>121</v>
      </c>
      <c r="K1275" s="6" t="s">
        <v>132</v>
      </c>
      <c r="L1275" s="11">
        <f>F1275*Controls!$B$6</f>
        <v>9</v>
      </c>
      <c r="M1275" s="11">
        <f>G1275*Controls!$B$6</f>
        <v>1125</v>
      </c>
      <c r="N1275" s="12">
        <f>IF(L1275=0,0,SUMIFS('PSI Plan'!$N$6:$N$173,'PSI Plan'!$B$6:$B$173,B1275,'PSI Plan'!$C$6:$C$173,I1275))</f>
        <v>0</v>
      </c>
      <c r="O1275" s="11">
        <f t="shared" si="38"/>
        <v>0</v>
      </c>
      <c r="P1275" s="11">
        <f t="shared" si="39"/>
        <v>0</v>
      </c>
      <c r="Q1275" s="6"/>
      <c r="R1275" s="6"/>
      <c r="S1275" s="6"/>
      <c r="T1275" s="6"/>
    </row>
    <row r="1276" spans="1:20">
      <c r="A1276" s="6" t="s">
        <v>1424</v>
      </c>
      <c r="B1276" s="6" t="s">
        <v>69</v>
      </c>
      <c r="C1276" s="6" t="s">
        <v>90</v>
      </c>
      <c r="D1276" s="6" t="s">
        <v>119</v>
      </c>
      <c r="E1276" s="6" t="s">
        <v>120</v>
      </c>
      <c r="F1276" s="7">
        <v>9</v>
      </c>
      <c r="G1276" s="7">
        <v>1125</v>
      </c>
      <c r="H1276" s="16">
        <v>45245</v>
      </c>
      <c r="I1276" s="6">
        <v>46</v>
      </c>
      <c r="J1276" s="6" t="s">
        <v>121</v>
      </c>
      <c r="K1276" s="6" t="s">
        <v>132</v>
      </c>
      <c r="L1276" s="11">
        <f>F1276*Controls!$B$6</f>
        <v>9</v>
      </c>
      <c r="M1276" s="11">
        <f>G1276*Controls!$B$6</f>
        <v>1125</v>
      </c>
      <c r="N1276" s="12">
        <f>IF(L1276=0,0,SUMIFS('PSI Plan'!$N$6:$N$173,'PSI Plan'!$B$6:$B$173,B1276,'PSI Plan'!$C$6:$C$173,I1276))</f>
        <v>0</v>
      </c>
      <c r="O1276" s="11">
        <f t="shared" si="38"/>
        <v>0</v>
      </c>
      <c r="P1276" s="11">
        <f t="shared" si="39"/>
        <v>0</v>
      </c>
      <c r="Q1276" s="6"/>
      <c r="R1276" s="6"/>
      <c r="S1276" s="6"/>
      <c r="T1276" s="6"/>
    </row>
    <row r="1277" spans="1:20">
      <c r="A1277" s="6" t="s">
        <v>1425</v>
      </c>
      <c r="B1277" s="6" t="s">
        <v>77</v>
      </c>
      <c r="C1277" s="6" t="s">
        <v>90</v>
      </c>
      <c r="D1277" s="6" t="s">
        <v>119</v>
      </c>
      <c r="E1277" s="6" t="s">
        <v>120</v>
      </c>
      <c r="F1277" s="7">
        <v>13</v>
      </c>
      <c r="G1277" s="7">
        <v>1625</v>
      </c>
      <c r="H1277" s="16">
        <v>45245</v>
      </c>
      <c r="I1277" s="6">
        <v>46</v>
      </c>
      <c r="J1277" s="6" t="s">
        <v>121</v>
      </c>
      <c r="K1277" s="6" t="s">
        <v>855</v>
      </c>
      <c r="L1277" s="11">
        <f>F1277*Controls!$B$6</f>
        <v>13</v>
      </c>
      <c r="M1277" s="11">
        <f>G1277*Controls!$B$6</f>
        <v>1625</v>
      </c>
      <c r="N1277" s="12">
        <f>IF(L1277=0,0,SUMIFS('PSI Plan'!$N$6:$N$173,'PSI Plan'!$B$6:$B$173,B1277,'PSI Plan'!$C$6:$C$173,I1277))</f>
        <v>0</v>
      </c>
      <c r="O1277" s="11">
        <f t="shared" si="38"/>
        <v>0</v>
      </c>
      <c r="P1277" s="11">
        <f t="shared" si="39"/>
        <v>0</v>
      </c>
      <c r="Q1277" s="6"/>
      <c r="R1277" s="6"/>
      <c r="S1277" s="6"/>
      <c r="T1277" s="6"/>
    </row>
    <row r="1278" spans="1:20">
      <c r="A1278" s="6" t="s">
        <v>1426</v>
      </c>
      <c r="B1278" s="6" t="s">
        <v>76</v>
      </c>
      <c r="C1278" s="6" t="s">
        <v>90</v>
      </c>
      <c r="D1278" s="6" t="s">
        <v>119</v>
      </c>
      <c r="E1278" s="6" t="s">
        <v>120</v>
      </c>
      <c r="F1278" s="7">
        <v>13</v>
      </c>
      <c r="G1278" s="7">
        <v>1625</v>
      </c>
      <c r="H1278" s="16">
        <v>45201</v>
      </c>
      <c r="I1278" s="6">
        <v>40</v>
      </c>
      <c r="J1278" s="6" t="s">
        <v>121</v>
      </c>
      <c r="K1278" s="6" t="s">
        <v>855</v>
      </c>
      <c r="L1278" s="11">
        <f>F1278*Controls!$B$6</f>
        <v>13</v>
      </c>
      <c r="M1278" s="11">
        <f>G1278*Controls!$B$6</f>
        <v>1625</v>
      </c>
      <c r="N1278" s="12">
        <f>IF(L1278=0,0,SUMIFS('PSI Plan'!$N$6:$N$173,'PSI Plan'!$B$6:$B$173,B1278,'PSI Plan'!$C$6:$C$173,I1278))</f>
        <v>0</v>
      </c>
      <c r="O1278" s="11">
        <f t="shared" si="38"/>
        <v>0</v>
      </c>
      <c r="P1278" s="11">
        <f t="shared" si="39"/>
        <v>0</v>
      </c>
      <c r="Q1278" s="6"/>
      <c r="R1278" s="6"/>
      <c r="S1278" s="6"/>
      <c r="T1278" s="6"/>
    </row>
    <row r="1279" spans="1:20">
      <c r="A1279" s="6" t="s">
        <v>1427</v>
      </c>
      <c r="B1279" s="6" t="s">
        <v>69</v>
      </c>
      <c r="C1279" s="6" t="s">
        <v>90</v>
      </c>
      <c r="D1279" s="6" t="s">
        <v>119</v>
      </c>
      <c r="E1279" s="6" t="s">
        <v>120</v>
      </c>
      <c r="F1279" s="7">
        <v>13</v>
      </c>
      <c r="G1279" s="7">
        <v>1625</v>
      </c>
      <c r="H1279" s="16">
        <v>45274</v>
      </c>
      <c r="I1279" s="6">
        <v>50</v>
      </c>
      <c r="J1279" s="6" t="s">
        <v>121</v>
      </c>
      <c r="K1279" s="6" t="s">
        <v>855</v>
      </c>
      <c r="L1279" s="11">
        <f>F1279*Controls!$B$6</f>
        <v>13</v>
      </c>
      <c r="M1279" s="11">
        <f>G1279*Controls!$B$6</f>
        <v>1625</v>
      </c>
      <c r="N1279" s="12">
        <f>IF(L1279=0,0,SUMIFS('PSI Plan'!$N$6:$N$173,'PSI Plan'!$B$6:$B$173,B1279,'PSI Plan'!$C$6:$C$173,I1279))</f>
        <v>0</v>
      </c>
      <c r="O1279" s="11">
        <f t="shared" si="38"/>
        <v>0</v>
      </c>
      <c r="P1279" s="11">
        <f t="shared" si="39"/>
        <v>0</v>
      </c>
      <c r="Q1279" s="6"/>
      <c r="R1279" s="6"/>
      <c r="S1279" s="6"/>
      <c r="T1279" s="6"/>
    </row>
    <row r="1280" spans="1:20">
      <c r="A1280" s="6" t="s">
        <v>1428</v>
      </c>
      <c r="B1280" s="6" t="s">
        <v>66</v>
      </c>
      <c r="C1280" s="6" t="s">
        <v>90</v>
      </c>
      <c r="D1280" s="6" t="s">
        <v>119</v>
      </c>
      <c r="E1280" s="6" t="s">
        <v>120</v>
      </c>
      <c r="F1280" s="7">
        <v>13</v>
      </c>
      <c r="G1280" s="7">
        <v>1625</v>
      </c>
      <c r="H1280" s="16">
        <v>45273</v>
      </c>
      <c r="I1280" s="6">
        <v>50</v>
      </c>
      <c r="J1280" s="6" t="s">
        <v>121</v>
      </c>
      <c r="K1280" s="6" t="s">
        <v>171</v>
      </c>
      <c r="L1280" s="11">
        <f>F1280*Controls!$B$6</f>
        <v>13</v>
      </c>
      <c r="M1280" s="11">
        <f>G1280*Controls!$B$6</f>
        <v>1625</v>
      </c>
      <c r="N1280" s="12">
        <f>IF(L1280=0,0,SUMIFS('PSI Plan'!$N$6:$N$173,'PSI Plan'!$B$6:$B$173,B1280,'PSI Plan'!$C$6:$C$173,I1280))</f>
        <v>0</v>
      </c>
      <c r="O1280" s="11">
        <f t="shared" si="38"/>
        <v>0</v>
      </c>
      <c r="P1280" s="11">
        <f t="shared" si="39"/>
        <v>0</v>
      </c>
      <c r="Q1280" s="6"/>
      <c r="R1280" s="6"/>
      <c r="S1280" s="6"/>
      <c r="T1280" s="6"/>
    </row>
    <row r="1281" spans="1:20">
      <c r="A1281" s="6" t="s">
        <v>1429</v>
      </c>
      <c r="B1281" s="6" t="s">
        <v>77</v>
      </c>
      <c r="C1281" s="6" t="s">
        <v>90</v>
      </c>
      <c r="D1281" s="6" t="s">
        <v>119</v>
      </c>
      <c r="E1281" s="6" t="s">
        <v>120</v>
      </c>
      <c r="F1281" s="7">
        <v>26</v>
      </c>
      <c r="G1281" s="7">
        <v>3250</v>
      </c>
      <c r="H1281" s="16">
        <v>45281</v>
      </c>
      <c r="I1281" s="6">
        <v>51</v>
      </c>
      <c r="J1281" s="6" t="s">
        <v>121</v>
      </c>
      <c r="K1281" s="6" t="s">
        <v>171</v>
      </c>
      <c r="L1281" s="11">
        <f>F1281*Controls!$B$6</f>
        <v>26</v>
      </c>
      <c r="M1281" s="11">
        <f>G1281*Controls!$B$6</f>
        <v>3250</v>
      </c>
      <c r="N1281" s="12">
        <f>IF(L1281=0,0,SUMIFS('PSI Plan'!$N$6:$N$173,'PSI Plan'!$B$6:$B$173,B1281,'PSI Plan'!$C$6:$C$173,I1281))</f>
        <v>0</v>
      </c>
      <c r="O1281" s="11">
        <f t="shared" si="38"/>
        <v>0</v>
      </c>
      <c r="P1281" s="11">
        <f t="shared" si="39"/>
        <v>0</v>
      </c>
      <c r="Q1281" s="6"/>
      <c r="R1281" s="6"/>
      <c r="S1281" s="6"/>
      <c r="T1281" s="6"/>
    </row>
    <row r="1282" spans="1:20">
      <c r="A1282" s="6" t="s">
        <v>1430</v>
      </c>
      <c r="B1282" s="6" t="s">
        <v>76</v>
      </c>
      <c r="C1282" s="6" t="s">
        <v>90</v>
      </c>
      <c r="D1282" s="6" t="s">
        <v>119</v>
      </c>
      <c r="E1282" s="6" t="s">
        <v>120</v>
      </c>
      <c r="F1282" s="7">
        <v>13</v>
      </c>
      <c r="G1282" s="7">
        <v>1625</v>
      </c>
      <c r="H1282" s="16">
        <v>45269</v>
      </c>
      <c r="I1282" s="6">
        <v>49</v>
      </c>
      <c r="J1282" s="6" t="s">
        <v>121</v>
      </c>
      <c r="K1282" s="6" t="s">
        <v>171</v>
      </c>
      <c r="L1282" s="11">
        <f>F1282*Controls!$B$6</f>
        <v>13</v>
      </c>
      <c r="M1282" s="11">
        <f>G1282*Controls!$B$6</f>
        <v>1625</v>
      </c>
      <c r="N1282" s="12">
        <f>IF(L1282=0,0,SUMIFS('PSI Plan'!$N$6:$N$173,'PSI Plan'!$B$6:$B$173,B1282,'PSI Plan'!$C$6:$C$173,I1282))</f>
        <v>0</v>
      </c>
      <c r="O1282" s="11">
        <f t="shared" ref="O1282:O1345" si="40">L1282*N1282</f>
        <v>0</v>
      </c>
      <c r="P1282" s="11">
        <f t="shared" ref="P1282:P1345" si="41">M1282*N1282</f>
        <v>0</v>
      </c>
      <c r="Q1282" s="6"/>
      <c r="R1282" s="6"/>
      <c r="S1282" s="6"/>
      <c r="T1282" s="6"/>
    </row>
    <row r="1283" spans="1:20">
      <c r="A1283" s="6" t="s">
        <v>1431</v>
      </c>
      <c r="B1283" s="6" t="s">
        <v>69</v>
      </c>
      <c r="C1283" s="6" t="s">
        <v>90</v>
      </c>
      <c r="D1283" s="6" t="s">
        <v>119</v>
      </c>
      <c r="E1283" s="6" t="s">
        <v>120</v>
      </c>
      <c r="F1283" s="7">
        <v>26</v>
      </c>
      <c r="G1283" s="7">
        <v>3250</v>
      </c>
      <c r="H1283" s="16">
        <v>45270</v>
      </c>
      <c r="I1283" s="6">
        <v>50</v>
      </c>
      <c r="J1283" s="6" t="s">
        <v>121</v>
      </c>
      <c r="K1283" s="6" t="s">
        <v>171</v>
      </c>
      <c r="L1283" s="11">
        <f>F1283*Controls!$B$6</f>
        <v>26</v>
      </c>
      <c r="M1283" s="11">
        <f>G1283*Controls!$B$6</f>
        <v>3250</v>
      </c>
      <c r="N1283" s="12">
        <f>IF(L1283=0,0,SUMIFS('PSI Plan'!$N$6:$N$173,'PSI Plan'!$B$6:$B$173,B1283,'PSI Plan'!$C$6:$C$173,I1283))</f>
        <v>0</v>
      </c>
      <c r="O1283" s="11">
        <f t="shared" si="40"/>
        <v>0</v>
      </c>
      <c r="P1283" s="11">
        <f t="shared" si="41"/>
        <v>0</v>
      </c>
      <c r="Q1283" s="6"/>
      <c r="R1283" s="6"/>
      <c r="S1283" s="6"/>
      <c r="T1283" s="6"/>
    </row>
    <row r="1284" spans="1:20">
      <c r="A1284" s="6" t="s">
        <v>1432</v>
      </c>
      <c r="B1284" s="6" t="s">
        <v>77</v>
      </c>
      <c r="C1284" s="6" t="s">
        <v>90</v>
      </c>
      <c r="D1284" s="6" t="s">
        <v>119</v>
      </c>
      <c r="E1284" s="6" t="s">
        <v>120</v>
      </c>
      <c r="F1284" s="7">
        <v>13</v>
      </c>
      <c r="G1284" s="7">
        <v>1625</v>
      </c>
      <c r="H1284" s="16">
        <v>45270</v>
      </c>
      <c r="I1284" s="6">
        <v>50</v>
      </c>
      <c r="J1284" s="6" t="s">
        <v>121</v>
      </c>
      <c r="K1284" s="6" t="s">
        <v>171</v>
      </c>
      <c r="L1284" s="11">
        <f>F1284*Controls!$B$6</f>
        <v>13</v>
      </c>
      <c r="M1284" s="11">
        <f>G1284*Controls!$B$6</f>
        <v>1625</v>
      </c>
      <c r="N1284" s="12">
        <f>IF(L1284=0,0,SUMIFS('PSI Plan'!$N$6:$N$173,'PSI Plan'!$B$6:$B$173,B1284,'PSI Plan'!$C$6:$C$173,I1284))</f>
        <v>0</v>
      </c>
      <c r="O1284" s="11">
        <f t="shared" si="40"/>
        <v>0</v>
      </c>
      <c r="P1284" s="11">
        <f t="shared" si="41"/>
        <v>0</v>
      </c>
      <c r="Q1284" s="6"/>
      <c r="R1284" s="6"/>
      <c r="S1284" s="6"/>
      <c r="T1284" s="6"/>
    </row>
    <row r="1285" spans="1:20">
      <c r="A1285" s="6" t="s">
        <v>1433</v>
      </c>
      <c r="B1285" s="6" t="s">
        <v>66</v>
      </c>
      <c r="C1285" s="6" t="s">
        <v>90</v>
      </c>
      <c r="D1285" s="6" t="s">
        <v>119</v>
      </c>
      <c r="E1285" s="6" t="s">
        <v>120</v>
      </c>
      <c r="F1285" s="7">
        <v>12</v>
      </c>
      <c r="G1285" s="7">
        <v>1500</v>
      </c>
      <c r="H1285" s="16">
        <v>45229</v>
      </c>
      <c r="I1285" s="6">
        <v>44</v>
      </c>
      <c r="J1285" s="6" t="s">
        <v>121</v>
      </c>
      <c r="K1285" s="6" t="s">
        <v>139</v>
      </c>
      <c r="L1285" s="11">
        <f>F1285*Controls!$B$6</f>
        <v>12</v>
      </c>
      <c r="M1285" s="11">
        <f>G1285*Controls!$B$6</f>
        <v>1500</v>
      </c>
      <c r="N1285" s="12">
        <f>IF(L1285=0,0,SUMIFS('PSI Plan'!$N$6:$N$173,'PSI Plan'!$B$6:$B$173,B1285,'PSI Plan'!$C$6:$C$173,I1285))</f>
        <v>0</v>
      </c>
      <c r="O1285" s="11">
        <f t="shared" si="40"/>
        <v>0</v>
      </c>
      <c r="P1285" s="11">
        <f t="shared" si="41"/>
        <v>0</v>
      </c>
      <c r="Q1285" s="6"/>
      <c r="R1285" s="6"/>
      <c r="S1285" s="6"/>
      <c r="T1285" s="6"/>
    </row>
    <row r="1286" spans="1:20">
      <c r="A1286" s="6" t="s">
        <v>1434</v>
      </c>
      <c r="B1286" s="6" t="s">
        <v>69</v>
      </c>
      <c r="C1286" s="6" t="s">
        <v>90</v>
      </c>
      <c r="D1286" s="6" t="s">
        <v>119</v>
      </c>
      <c r="E1286" s="6" t="s">
        <v>120</v>
      </c>
      <c r="F1286" s="7">
        <v>16</v>
      </c>
      <c r="G1286" s="7">
        <v>2000</v>
      </c>
      <c r="H1286" s="16">
        <v>45218</v>
      </c>
      <c r="I1286" s="6">
        <v>42</v>
      </c>
      <c r="J1286" s="6" t="s">
        <v>121</v>
      </c>
      <c r="K1286" s="6" t="s">
        <v>139</v>
      </c>
      <c r="L1286" s="11">
        <f>F1286*Controls!$B$6</f>
        <v>16</v>
      </c>
      <c r="M1286" s="11">
        <f>G1286*Controls!$B$6</f>
        <v>2000</v>
      </c>
      <c r="N1286" s="12">
        <f>IF(L1286=0,0,SUMIFS('PSI Plan'!$N$6:$N$173,'PSI Plan'!$B$6:$B$173,B1286,'PSI Plan'!$C$6:$C$173,I1286))</f>
        <v>0</v>
      </c>
      <c r="O1286" s="11">
        <f t="shared" si="40"/>
        <v>0</v>
      </c>
      <c r="P1286" s="11">
        <f t="shared" si="41"/>
        <v>0</v>
      </c>
      <c r="Q1286" s="6"/>
      <c r="R1286" s="6"/>
      <c r="S1286" s="6"/>
      <c r="T1286" s="6"/>
    </row>
    <row r="1287" spans="1:20">
      <c r="A1287" s="6" t="s">
        <v>1435</v>
      </c>
      <c r="B1287" s="6" t="s">
        <v>77</v>
      </c>
      <c r="C1287" s="6" t="s">
        <v>90</v>
      </c>
      <c r="D1287" s="6" t="s">
        <v>119</v>
      </c>
      <c r="E1287" s="6" t="s">
        <v>120</v>
      </c>
      <c r="F1287" s="7">
        <v>1</v>
      </c>
      <c r="G1287" s="7">
        <v>125</v>
      </c>
      <c r="H1287" s="16">
        <v>45209</v>
      </c>
      <c r="I1287" s="6">
        <v>41</v>
      </c>
      <c r="J1287" s="6" t="s">
        <v>121</v>
      </c>
      <c r="K1287" s="6" t="s">
        <v>132</v>
      </c>
      <c r="L1287" s="11">
        <f>F1287*Controls!$B$6</f>
        <v>1</v>
      </c>
      <c r="M1287" s="11">
        <f>G1287*Controls!$B$6</f>
        <v>125</v>
      </c>
      <c r="N1287" s="12">
        <f>IF(L1287=0,0,SUMIFS('PSI Plan'!$N$6:$N$173,'PSI Plan'!$B$6:$B$173,B1287,'PSI Plan'!$C$6:$C$173,I1287))</f>
        <v>0</v>
      </c>
      <c r="O1287" s="11">
        <f t="shared" si="40"/>
        <v>0</v>
      </c>
      <c r="P1287" s="11">
        <f t="shared" si="41"/>
        <v>0</v>
      </c>
      <c r="Q1287" s="6"/>
      <c r="R1287" s="6"/>
      <c r="S1287" s="6"/>
      <c r="T1287" s="6"/>
    </row>
    <row r="1288" spans="1:20">
      <c r="A1288" s="6" t="s">
        <v>1436</v>
      </c>
      <c r="B1288" s="6" t="s">
        <v>77</v>
      </c>
      <c r="C1288" s="6" t="s">
        <v>90</v>
      </c>
      <c r="D1288" s="6" t="s">
        <v>119</v>
      </c>
      <c r="E1288" s="6" t="s">
        <v>120</v>
      </c>
      <c r="F1288" s="7">
        <v>13</v>
      </c>
      <c r="G1288" s="7">
        <v>1625</v>
      </c>
      <c r="H1288" s="16">
        <v>45244</v>
      </c>
      <c r="I1288" s="6">
        <v>46</v>
      </c>
      <c r="J1288" s="6" t="s">
        <v>121</v>
      </c>
      <c r="K1288" s="6" t="s">
        <v>855</v>
      </c>
      <c r="L1288" s="11">
        <f>F1288*Controls!$B$6</f>
        <v>13</v>
      </c>
      <c r="M1288" s="11">
        <f>G1288*Controls!$B$6</f>
        <v>1625</v>
      </c>
      <c r="N1288" s="12">
        <f>IF(L1288=0,0,SUMIFS('PSI Plan'!$N$6:$N$173,'PSI Plan'!$B$6:$B$173,B1288,'PSI Plan'!$C$6:$C$173,I1288))</f>
        <v>0</v>
      </c>
      <c r="O1288" s="11">
        <f t="shared" si="40"/>
        <v>0</v>
      </c>
      <c r="P1288" s="11">
        <f t="shared" si="41"/>
        <v>0</v>
      </c>
      <c r="Q1288" s="6"/>
      <c r="R1288" s="6"/>
      <c r="S1288" s="6"/>
      <c r="T1288" s="6"/>
    </row>
    <row r="1289" spans="1:20">
      <c r="A1289" s="6" t="s">
        <v>1437</v>
      </c>
      <c r="B1289" s="6" t="s">
        <v>69</v>
      </c>
      <c r="C1289" s="6" t="s">
        <v>90</v>
      </c>
      <c r="D1289" s="6" t="s">
        <v>119</v>
      </c>
      <c r="E1289" s="6" t="s">
        <v>120</v>
      </c>
      <c r="F1289" s="7">
        <v>13</v>
      </c>
      <c r="G1289" s="7">
        <v>1625</v>
      </c>
      <c r="H1289" s="16">
        <v>45224</v>
      </c>
      <c r="I1289" s="6">
        <v>43</v>
      </c>
      <c r="J1289" s="6" t="s">
        <v>121</v>
      </c>
      <c r="K1289" s="6" t="s">
        <v>855</v>
      </c>
      <c r="L1289" s="11">
        <f>F1289*Controls!$B$6</f>
        <v>13</v>
      </c>
      <c r="M1289" s="11">
        <f>G1289*Controls!$B$6</f>
        <v>1625</v>
      </c>
      <c r="N1289" s="12">
        <f>IF(L1289=0,0,SUMIFS('PSI Plan'!$N$6:$N$173,'PSI Plan'!$B$6:$B$173,B1289,'PSI Plan'!$C$6:$C$173,I1289))</f>
        <v>0</v>
      </c>
      <c r="O1289" s="11">
        <f t="shared" si="40"/>
        <v>0</v>
      </c>
      <c r="P1289" s="11">
        <f t="shared" si="41"/>
        <v>0</v>
      </c>
      <c r="Q1289" s="6"/>
      <c r="R1289" s="6"/>
      <c r="S1289" s="6"/>
      <c r="T1289" s="6"/>
    </row>
    <row r="1290" spans="1:20">
      <c r="A1290" s="6" t="s">
        <v>1438</v>
      </c>
      <c r="B1290" s="6" t="s">
        <v>66</v>
      </c>
      <c r="C1290" s="6" t="s">
        <v>90</v>
      </c>
      <c r="D1290" s="6" t="s">
        <v>119</v>
      </c>
      <c r="E1290" s="6" t="s">
        <v>120</v>
      </c>
      <c r="F1290" s="7">
        <v>78</v>
      </c>
      <c r="G1290" s="7">
        <v>9750</v>
      </c>
      <c r="H1290" s="16">
        <v>45243</v>
      </c>
      <c r="I1290" s="6">
        <v>46</v>
      </c>
      <c r="J1290" s="6" t="s">
        <v>121</v>
      </c>
      <c r="K1290" s="6" t="s">
        <v>122</v>
      </c>
      <c r="L1290" s="11">
        <f>F1290*Controls!$B$6</f>
        <v>78</v>
      </c>
      <c r="M1290" s="11">
        <f>G1290*Controls!$B$6</f>
        <v>9750</v>
      </c>
      <c r="N1290" s="12">
        <f>IF(L1290=0,0,SUMIFS('PSI Plan'!$N$6:$N$173,'PSI Plan'!$B$6:$B$173,B1290,'PSI Plan'!$C$6:$C$173,I1290))</f>
        <v>0</v>
      </c>
      <c r="O1290" s="11">
        <f t="shared" si="40"/>
        <v>0</v>
      </c>
      <c r="P1290" s="11">
        <f t="shared" si="41"/>
        <v>0</v>
      </c>
      <c r="Q1290" s="6"/>
      <c r="R1290" s="6"/>
      <c r="S1290" s="6"/>
      <c r="T1290" s="6"/>
    </row>
    <row r="1291" spans="1:20">
      <c r="A1291" s="6" t="s">
        <v>1439</v>
      </c>
      <c r="B1291" s="6" t="s">
        <v>77</v>
      </c>
      <c r="C1291" s="6" t="s">
        <v>90</v>
      </c>
      <c r="D1291" s="6" t="s">
        <v>119</v>
      </c>
      <c r="E1291" s="6" t="s">
        <v>120</v>
      </c>
      <c r="F1291" s="7">
        <v>52</v>
      </c>
      <c r="G1291" s="7">
        <v>6500</v>
      </c>
      <c r="H1291" s="16">
        <v>45238</v>
      </c>
      <c r="I1291" s="6">
        <v>45</v>
      </c>
      <c r="J1291" s="6" t="s">
        <v>121</v>
      </c>
      <c r="K1291" s="6" t="s">
        <v>122</v>
      </c>
      <c r="L1291" s="11">
        <f>F1291*Controls!$B$6</f>
        <v>52</v>
      </c>
      <c r="M1291" s="11">
        <f>G1291*Controls!$B$6</f>
        <v>6500</v>
      </c>
      <c r="N1291" s="12">
        <f>IF(L1291=0,0,SUMIFS('PSI Plan'!$N$6:$N$173,'PSI Plan'!$B$6:$B$173,B1291,'PSI Plan'!$C$6:$C$173,I1291))</f>
        <v>0</v>
      </c>
      <c r="O1291" s="11">
        <f t="shared" si="40"/>
        <v>0</v>
      </c>
      <c r="P1291" s="11">
        <f t="shared" si="41"/>
        <v>0</v>
      </c>
      <c r="Q1291" s="6"/>
      <c r="R1291" s="6"/>
      <c r="S1291" s="6"/>
      <c r="T1291" s="6"/>
    </row>
    <row r="1292" spans="1:20">
      <c r="A1292" s="6" t="s">
        <v>1440</v>
      </c>
      <c r="B1292" s="6" t="s">
        <v>76</v>
      </c>
      <c r="C1292" s="6" t="s">
        <v>90</v>
      </c>
      <c r="D1292" s="6" t="s">
        <v>119</v>
      </c>
      <c r="E1292" s="6" t="s">
        <v>120</v>
      </c>
      <c r="F1292" s="7">
        <v>59</v>
      </c>
      <c r="G1292" s="7">
        <v>7375</v>
      </c>
      <c r="H1292" s="16">
        <v>45260</v>
      </c>
      <c r="I1292" s="6">
        <v>48</v>
      </c>
      <c r="J1292" s="6" t="s">
        <v>121</v>
      </c>
      <c r="K1292" s="6" t="s">
        <v>122</v>
      </c>
      <c r="L1292" s="11">
        <f>F1292*Controls!$B$6</f>
        <v>59</v>
      </c>
      <c r="M1292" s="11">
        <f>G1292*Controls!$B$6</f>
        <v>7375</v>
      </c>
      <c r="N1292" s="12">
        <f>IF(L1292=0,0,SUMIFS('PSI Plan'!$N$6:$N$173,'PSI Plan'!$B$6:$B$173,B1292,'PSI Plan'!$C$6:$C$173,I1292))</f>
        <v>0</v>
      </c>
      <c r="O1292" s="11">
        <f t="shared" si="40"/>
        <v>0</v>
      </c>
      <c r="P1292" s="11">
        <f t="shared" si="41"/>
        <v>0</v>
      </c>
      <c r="Q1292" s="6"/>
      <c r="R1292" s="6"/>
      <c r="S1292" s="6"/>
      <c r="T1292" s="6"/>
    </row>
    <row r="1293" spans="1:20">
      <c r="A1293" s="6" t="s">
        <v>1441</v>
      </c>
      <c r="B1293" s="6" t="s">
        <v>67</v>
      </c>
      <c r="C1293" s="6" t="s">
        <v>90</v>
      </c>
      <c r="D1293" s="6" t="s">
        <v>119</v>
      </c>
      <c r="E1293" s="6" t="s">
        <v>120</v>
      </c>
      <c r="F1293" s="7">
        <v>9</v>
      </c>
      <c r="G1293" s="7">
        <v>1125</v>
      </c>
      <c r="H1293" s="16">
        <v>45282</v>
      </c>
      <c r="I1293" s="6">
        <v>51</v>
      </c>
      <c r="J1293" s="6" t="s">
        <v>121</v>
      </c>
      <c r="K1293" s="6" t="s">
        <v>122</v>
      </c>
      <c r="L1293" s="11">
        <f>F1293*Controls!$B$6</f>
        <v>9</v>
      </c>
      <c r="M1293" s="11">
        <f>G1293*Controls!$B$6</f>
        <v>1125</v>
      </c>
      <c r="N1293" s="12">
        <f>IF(L1293=0,0,SUMIFS('PSI Plan'!$N$6:$N$173,'PSI Plan'!$B$6:$B$173,B1293,'PSI Plan'!$C$6:$C$173,I1293))</f>
        <v>0</v>
      </c>
      <c r="O1293" s="11">
        <f t="shared" si="40"/>
        <v>0</v>
      </c>
      <c r="P1293" s="11">
        <f t="shared" si="41"/>
        <v>0</v>
      </c>
      <c r="Q1293" s="6"/>
      <c r="R1293" s="6"/>
      <c r="S1293" s="6"/>
      <c r="T1293" s="6"/>
    </row>
    <row r="1294" spans="1:20">
      <c r="A1294" s="6" t="s">
        <v>1442</v>
      </c>
      <c r="B1294" s="6" t="s">
        <v>69</v>
      </c>
      <c r="C1294" s="6" t="s">
        <v>90</v>
      </c>
      <c r="D1294" s="6" t="s">
        <v>119</v>
      </c>
      <c r="E1294" s="6" t="s">
        <v>120</v>
      </c>
      <c r="F1294" s="7">
        <v>130</v>
      </c>
      <c r="G1294" s="7">
        <v>16250</v>
      </c>
      <c r="H1294" s="16">
        <v>45251</v>
      </c>
      <c r="I1294" s="6">
        <v>47</v>
      </c>
      <c r="J1294" s="6" t="s">
        <v>121</v>
      </c>
      <c r="K1294" s="6" t="s">
        <v>122</v>
      </c>
      <c r="L1294" s="11">
        <f>F1294*Controls!$B$6</f>
        <v>130</v>
      </c>
      <c r="M1294" s="11">
        <f>G1294*Controls!$B$6</f>
        <v>16250</v>
      </c>
      <c r="N1294" s="12">
        <f>IF(L1294=0,0,SUMIFS('PSI Plan'!$N$6:$N$173,'PSI Plan'!$B$6:$B$173,B1294,'PSI Plan'!$C$6:$C$173,I1294))</f>
        <v>0</v>
      </c>
      <c r="O1294" s="11">
        <f t="shared" si="40"/>
        <v>0</v>
      </c>
      <c r="P1294" s="11">
        <f t="shared" si="41"/>
        <v>0</v>
      </c>
      <c r="Q1294" s="6"/>
      <c r="R1294" s="6"/>
      <c r="S1294" s="6"/>
      <c r="T1294" s="6"/>
    </row>
    <row r="1295" spans="1:20">
      <c r="A1295" s="6" t="s">
        <v>1443</v>
      </c>
      <c r="B1295" s="6" t="s">
        <v>77</v>
      </c>
      <c r="C1295" s="6" t="s">
        <v>90</v>
      </c>
      <c r="D1295" s="6" t="s">
        <v>119</v>
      </c>
      <c r="E1295" s="6" t="s">
        <v>120</v>
      </c>
      <c r="F1295" s="7">
        <v>5</v>
      </c>
      <c r="G1295" s="7">
        <v>625</v>
      </c>
      <c r="H1295" s="16">
        <v>45267</v>
      </c>
      <c r="I1295" s="6">
        <v>49</v>
      </c>
      <c r="J1295" s="6" t="s">
        <v>121</v>
      </c>
      <c r="K1295" s="6" t="s">
        <v>725</v>
      </c>
      <c r="L1295" s="11">
        <f>F1295*Controls!$B$6</f>
        <v>5</v>
      </c>
      <c r="M1295" s="11">
        <f>G1295*Controls!$B$6</f>
        <v>625</v>
      </c>
      <c r="N1295" s="12">
        <f>IF(L1295=0,0,SUMIFS('PSI Plan'!$N$6:$N$173,'PSI Plan'!$B$6:$B$173,B1295,'PSI Plan'!$C$6:$C$173,I1295))</f>
        <v>0</v>
      </c>
      <c r="O1295" s="11">
        <f t="shared" si="40"/>
        <v>0</v>
      </c>
      <c r="P1295" s="11">
        <f t="shared" si="41"/>
        <v>0</v>
      </c>
      <c r="Q1295" s="6"/>
      <c r="R1295" s="6"/>
      <c r="S1295" s="6"/>
      <c r="T1295" s="6"/>
    </row>
    <row r="1296" spans="1:20">
      <c r="A1296" s="6" t="s">
        <v>1444</v>
      </c>
      <c r="B1296" s="6" t="s">
        <v>69</v>
      </c>
      <c r="C1296" s="6" t="s">
        <v>90</v>
      </c>
      <c r="D1296" s="6" t="s">
        <v>119</v>
      </c>
      <c r="E1296" s="6" t="s">
        <v>120</v>
      </c>
      <c r="F1296" s="7">
        <v>21</v>
      </c>
      <c r="G1296" s="7">
        <v>2625</v>
      </c>
      <c r="H1296" s="16">
        <v>45269</v>
      </c>
      <c r="I1296" s="6">
        <v>49</v>
      </c>
      <c r="J1296" s="6" t="s">
        <v>121</v>
      </c>
      <c r="K1296" s="6" t="s">
        <v>725</v>
      </c>
      <c r="L1296" s="11">
        <f>F1296*Controls!$B$6</f>
        <v>21</v>
      </c>
      <c r="M1296" s="11">
        <f>G1296*Controls!$B$6</f>
        <v>2625</v>
      </c>
      <c r="N1296" s="12">
        <f>IF(L1296=0,0,SUMIFS('PSI Plan'!$N$6:$N$173,'PSI Plan'!$B$6:$B$173,B1296,'PSI Plan'!$C$6:$C$173,I1296))</f>
        <v>0</v>
      </c>
      <c r="O1296" s="11">
        <f t="shared" si="40"/>
        <v>0</v>
      </c>
      <c r="P1296" s="11">
        <f t="shared" si="41"/>
        <v>0</v>
      </c>
      <c r="Q1296" s="6"/>
      <c r="R1296" s="6"/>
      <c r="S1296" s="6"/>
      <c r="T1296" s="6"/>
    </row>
    <row r="1297" spans="1:20">
      <c r="A1297" s="6" t="s">
        <v>1445</v>
      </c>
      <c r="B1297" s="6" t="s">
        <v>66</v>
      </c>
      <c r="C1297" s="6" t="s">
        <v>90</v>
      </c>
      <c r="D1297" s="6" t="s">
        <v>119</v>
      </c>
      <c r="E1297" s="6" t="s">
        <v>120</v>
      </c>
      <c r="F1297" s="7">
        <v>6</v>
      </c>
      <c r="G1297" s="7">
        <v>750</v>
      </c>
      <c r="H1297" s="16">
        <v>45209</v>
      </c>
      <c r="I1297" s="6">
        <v>41</v>
      </c>
      <c r="J1297" s="6" t="s">
        <v>121</v>
      </c>
      <c r="K1297" s="6" t="s">
        <v>298</v>
      </c>
      <c r="L1297" s="11">
        <f>F1297*Controls!$B$6</f>
        <v>6</v>
      </c>
      <c r="M1297" s="11">
        <f>G1297*Controls!$B$6</f>
        <v>750</v>
      </c>
      <c r="N1297" s="12">
        <f>IF(L1297=0,0,SUMIFS('PSI Plan'!$N$6:$N$173,'PSI Plan'!$B$6:$B$173,B1297,'PSI Plan'!$C$6:$C$173,I1297))</f>
        <v>0.22897465437788017</v>
      </c>
      <c r="O1297" s="11">
        <f t="shared" si="40"/>
        <v>1.3738479262672811</v>
      </c>
      <c r="P1297" s="11">
        <f t="shared" si="41"/>
        <v>171.73099078341014</v>
      </c>
      <c r="Q1297" s="6"/>
      <c r="R1297" s="6"/>
      <c r="S1297" s="6"/>
      <c r="T1297" s="6"/>
    </row>
    <row r="1298" spans="1:20">
      <c r="A1298" s="6" t="s">
        <v>1446</v>
      </c>
      <c r="B1298" s="6" t="s">
        <v>77</v>
      </c>
      <c r="C1298" s="6" t="s">
        <v>90</v>
      </c>
      <c r="D1298" s="6" t="s">
        <v>119</v>
      </c>
      <c r="E1298" s="6" t="s">
        <v>120</v>
      </c>
      <c r="F1298" s="7">
        <v>15</v>
      </c>
      <c r="G1298" s="7">
        <v>1875</v>
      </c>
      <c r="H1298" s="16">
        <v>45214</v>
      </c>
      <c r="I1298" s="6">
        <v>42</v>
      </c>
      <c r="J1298" s="6" t="s">
        <v>121</v>
      </c>
      <c r="K1298" s="6" t="s">
        <v>298</v>
      </c>
      <c r="L1298" s="11">
        <f>F1298*Controls!$B$6</f>
        <v>15</v>
      </c>
      <c r="M1298" s="11">
        <f>G1298*Controls!$B$6</f>
        <v>1875</v>
      </c>
      <c r="N1298" s="12">
        <f>IF(L1298=0,0,SUMIFS('PSI Plan'!$N$6:$N$173,'PSI Plan'!$B$6:$B$173,B1298,'PSI Plan'!$C$6:$C$173,I1298))</f>
        <v>0</v>
      </c>
      <c r="O1298" s="11">
        <f t="shared" si="40"/>
        <v>0</v>
      </c>
      <c r="P1298" s="11">
        <f t="shared" si="41"/>
        <v>0</v>
      </c>
      <c r="Q1298" s="6"/>
      <c r="R1298" s="6"/>
      <c r="S1298" s="6"/>
      <c r="T1298" s="6"/>
    </row>
    <row r="1299" spans="1:20">
      <c r="A1299" s="6" t="s">
        <v>1447</v>
      </c>
      <c r="B1299" s="6" t="s">
        <v>76</v>
      </c>
      <c r="C1299" s="6" t="s">
        <v>90</v>
      </c>
      <c r="D1299" s="6" t="s">
        <v>119</v>
      </c>
      <c r="E1299" s="6" t="s">
        <v>120</v>
      </c>
      <c r="F1299" s="7">
        <v>3</v>
      </c>
      <c r="G1299" s="7">
        <v>375</v>
      </c>
      <c r="H1299" s="16">
        <v>45268</v>
      </c>
      <c r="I1299" s="6">
        <v>49</v>
      </c>
      <c r="J1299" s="6" t="s">
        <v>121</v>
      </c>
      <c r="K1299" s="6" t="s">
        <v>298</v>
      </c>
      <c r="L1299" s="11">
        <f>F1299*Controls!$B$6</f>
        <v>3</v>
      </c>
      <c r="M1299" s="11">
        <f>G1299*Controls!$B$6</f>
        <v>375</v>
      </c>
      <c r="N1299" s="12">
        <f>IF(L1299=0,0,SUMIFS('PSI Plan'!$N$6:$N$173,'PSI Plan'!$B$6:$B$173,B1299,'PSI Plan'!$C$6:$C$173,I1299))</f>
        <v>0</v>
      </c>
      <c r="O1299" s="11">
        <f t="shared" si="40"/>
        <v>0</v>
      </c>
      <c r="P1299" s="11">
        <f t="shared" si="41"/>
        <v>0</v>
      </c>
      <c r="Q1299" s="6"/>
      <c r="R1299" s="6"/>
      <c r="S1299" s="6"/>
      <c r="T1299" s="6"/>
    </row>
    <row r="1300" spans="1:20">
      <c r="A1300" s="6" t="s">
        <v>1448</v>
      </c>
      <c r="B1300" s="6" t="s">
        <v>69</v>
      </c>
      <c r="C1300" s="6" t="s">
        <v>90</v>
      </c>
      <c r="D1300" s="6" t="s">
        <v>119</v>
      </c>
      <c r="E1300" s="6" t="s">
        <v>120</v>
      </c>
      <c r="F1300" s="7">
        <v>13</v>
      </c>
      <c r="G1300" s="7">
        <v>1625</v>
      </c>
      <c r="H1300" s="16">
        <v>45290</v>
      </c>
      <c r="I1300" s="6">
        <v>52</v>
      </c>
      <c r="J1300" s="6" t="s">
        <v>121</v>
      </c>
      <c r="K1300" s="6" t="s">
        <v>298</v>
      </c>
      <c r="L1300" s="11">
        <f>F1300*Controls!$B$6</f>
        <v>13</v>
      </c>
      <c r="M1300" s="11">
        <f>G1300*Controls!$B$6</f>
        <v>1625</v>
      </c>
      <c r="N1300" s="12">
        <f>IF(L1300=0,0,SUMIFS('PSI Plan'!$N$6:$N$173,'PSI Plan'!$B$6:$B$173,B1300,'PSI Plan'!$C$6:$C$173,I1300))</f>
        <v>0</v>
      </c>
      <c r="O1300" s="11">
        <f t="shared" si="40"/>
        <v>0</v>
      </c>
      <c r="P1300" s="11">
        <f t="shared" si="41"/>
        <v>0</v>
      </c>
      <c r="Q1300" s="6"/>
      <c r="R1300" s="6"/>
      <c r="S1300" s="6"/>
      <c r="T1300" s="6"/>
    </row>
    <row r="1301" spans="1:20">
      <c r="A1301" s="6" t="s">
        <v>1449</v>
      </c>
      <c r="B1301" s="6" t="s">
        <v>66</v>
      </c>
      <c r="C1301" s="6" t="s">
        <v>99</v>
      </c>
      <c r="D1301" s="6" t="s">
        <v>319</v>
      </c>
      <c r="E1301" s="6" t="s">
        <v>120</v>
      </c>
      <c r="F1301" s="7">
        <v>20</v>
      </c>
      <c r="G1301" s="7">
        <v>2500</v>
      </c>
      <c r="H1301" s="16">
        <v>45264</v>
      </c>
      <c r="I1301" s="6">
        <v>49</v>
      </c>
      <c r="J1301" s="6" t="s">
        <v>121</v>
      </c>
      <c r="K1301" s="6" t="s">
        <v>459</v>
      </c>
      <c r="L1301" s="11">
        <f>F1301*Controls!$B$6</f>
        <v>20</v>
      </c>
      <c r="M1301" s="11">
        <f>G1301*Controls!$B$6</f>
        <v>2500</v>
      </c>
      <c r="N1301" s="12">
        <f>IF(L1301=0,0,SUMIFS('PSI Plan'!$N$6:$N$173,'PSI Plan'!$B$6:$B$173,B1301,'PSI Plan'!$C$6:$C$173,I1301))</f>
        <v>0</v>
      </c>
      <c r="O1301" s="11">
        <f t="shared" si="40"/>
        <v>0</v>
      </c>
      <c r="P1301" s="11">
        <f t="shared" si="41"/>
        <v>0</v>
      </c>
      <c r="Q1301" s="6"/>
      <c r="R1301" s="6"/>
      <c r="S1301" s="6"/>
      <c r="T1301" s="6"/>
    </row>
    <row r="1302" spans="1:20">
      <c r="A1302" s="6" t="s">
        <v>1450</v>
      </c>
      <c r="B1302" s="6" t="s">
        <v>77</v>
      </c>
      <c r="C1302" s="6" t="s">
        <v>99</v>
      </c>
      <c r="D1302" s="6" t="s">
        <v>319</v>
      </c>
      <c r="E1302" s="6" t="s">
        <v>120</v>
      </c>
      <c r="F1302" s="7">
        <v>17</v>
      </c>
      <c r="G1302" s="7">
        <v>2125</v>
      </c>
      <c r="H1302" s="16">
        <v>45236</v>
      </c>
      <c r="I1302" s="6">
        <v>45</v>
      </c>
      <c r="J1302" s="6" t="s">
        <v>121</v>
      </c>
      <c r="K1302" s="6" t="s">
        <v>459</v>
      </c>
      <c r="L1302" s="11">
        <f>F1302*Controls!$B$6</f>
        <v>17</v>
      </c>
      <c r="M1302" s="11">
        <f>G1302*Controls!$B$6</f>
        <v>2125</v>
      </c>
      <c r="N1302" s="12">
        <f>IF(L1302=0,0,SUMIFS('PSI Plan'!$N$6:$N$173,'PSI Plan'!$B$6:$B$173,B1302,'PSI Plan'!$C$6:$C$173,I1302))</f>
        <v>0</v>
      </c>
      <c r="O1302" s="11">
        <f t="shared" si="40"/>
        <v>0</v>
      </c>
      <c r="P1302" s="11">
        <f t="shared" si="41"/>
        <v>0</v>
      </c>
      <c r="Q1302" s="6"/>
      <c r="R1302" s="6"/>
      <c r="S1302" s="6"/>
      <c r="T1302" s="6"/>
    </row>
    <row r="1303" spans="1:20">
      <c r="A1303" s="6" t="s">
        <v>1451</v>
      </c>
      <c r="B1303" s="6" t="s">
        <v>67</v>
      </c>
      <c r="C1303" s="6" t="s">
        <v>99</v>
      </c>
      <c r="D1303" s="6" t="s">
        <v>319</v>
      </c>
      <c r="E1303" s="6" t="s">
        <v>120</v>
      </c>
      <c r="F1303" s="7">
        <v>20</v>
      </c>
      <c r="G1303" s="7">
        <v>2500</v>
      </c>
      <c r="H1303" s="16">
        <v>45239</v>
      </c>
      <c r="I1303" s="6">
        <v>45</v>
      </c>
      <c r="J1303" s="6" t="s">
        <v>121</v>
      </c>
      <c r="K1303" s="6" t="s">
        <v>459</v>
      </c>
      <c r="L1303" s="11">
        <f>F1303*Controls!$B$6</f>
        <v>20</v>
      </c>
      <c r="M1303" s="11">
        <f>G1303*Controls!$B$6</f>
        <v>2500</v>
      </c>
      <c r="N1303" s="12">
        <f>IF(L1303=0,0,SUMIFS('PSI Plan'!$N$6:$N$173,'PSI Plan'!$B$6:$B$173,B1303,'PSI Plan'!$C$6:$C$173,I1303))</f>
        <v>0</v>
      </c>
      <c r="O1303" s="11">
        <f t="shared" si="40"/>
        <v>0</v>
      </c>
      <c r="P1303" s="11">
        <f t="shared" si="41"/>
        <v>0</v>
      </c>
      <c r="Q1303" s="6"/>
      <c r="R1303" s="6"/>
      <c r="S1303" s="6"/>
      <c r="T1303" s="6"/>
    </row>
    <row r="1304" spans="1:20">
      <c r="A1304" s="6" t="s">
        <v>1452</v>
      </c>
      <c r="B1304" s="6" t="s">
        <v>69</v>
      </c>
      <c r="C1304" s="6" t="s">
        <v>99</v>
      </c>
      <c r="D1304" s="6" t="s">
        <v>319</v>
      </c>
      <c r="E1304" s="6" t="s">
        <v>120</v>
      </c>
      <c r="F1304" s="7">
        <v>1</v>
      </c>
      <c r="G1304" s="7">
        <v>125</v>
      </c>
      <c r="H1304" s="16">
        <v>45208</v>
      </c>
      <c r="I1304" s="6">
        <v>41</v>
      </c>
      <c r="J1304" s="6" t="s">
        <v>121</v>
      </c>
      <c r="K1304" s="6" t="s">
        <v>459</v>
      </c>
      <c r="L1304" s="11">
        <f>F1304*Controls!$B$6</f>
        <v>1</v>
      </c>
      <c r="M1304" s="11">
        <f>G1304*Controls!$B$6</f>
        <v>125</v>
      </c>
      <c r="N1304" s="12">
        <f>IF(L1304=0,0,SUMIFS('PSI Plan'!$N$6:$N$173,'PSI Plan'!$B$6:$B$173,B1304,'PSI Plan'!$C$6:$C$173,I1304))</f>
        <v>0</v>
      </c>
      <c r="O1304" s="11">
        <f t="shared" si="40"/>
        <v>0</v>
      </c>
      <c r="P1304" s="11">
        <f t="shared" si="41"/>
        <v>0</v>
      </c>
      <c r="Q1304" s="6"/>
      <c r="R1304" s="6"/>
      <c r="S1304" s="6"/>
      <c r="T1304" s="6"/>
    </row>
    <row r="1305" spans="1:20">
      <c r="A1305" s="6" t="s">
        <v>1453</v>
      </c>
      <c r="B1305" s="6" t="s">
        <v>66</v>
      </c>
      <c r="C1305" s="6" t="s">
        <v>99</v>
      </c>
      <c r="D1305" s="6" t="s">
        <v>319</v>
      </c>
      <c r="E1305" s="6" t="s">
        <v>120</v>
      </c>
      <c r="F1305" s="7">
        <v>22</v>
      </c>
      <c r="G1305" s="7">
        <v>2750</v>
      </c>
      <c r="H1305" s="16">
        <v>45254</v>
      </c>
      <c r="I1305" s="6">
        <v>47</v>
      </c>
      <c r="J1305" s="6" t="s">
        <v>121</v>
      </c>
      <c r="K1305" s="6" t="s">
        <v>361</v>
      </c>
      <c r="L1305" s="11">
        <f>F1305*Controls!$B$6</f>
        <v>22</v>
      </c>
      <c r="M1305" s="11">
        <f>G1305*Controls!$B$6</f>
        <v>2750</v>
      </c>
      <c r="N1305" s="12">
        <f>IF(L1305=0,0,SUMIFS('PSI Plan'!$N$6:$N$173,'PSI Plan'!$B$6:$B$173,B1305,'PSI Plan'!$C$6:$C$173,I1305))</f>
        <v>0</v>
      </c>
      <c r="O1305" s="11">
        <f t="shared" si="40"/>
        <v>0</v>
      </c>
      <c r="P1305" s="11">
        <f t="shared" si="41"/>
        <v>0</v>
      </c>
      <c r="Q1305" s="6"/>
      <c r="R1305" s="6"/>
      <c r="S1305" s="6"/>
      <c r="T1305" s="6"/>
    </row>
    <row r="1306" spans="1:20">
      <c r="A1306" s="6" t="s">
        <v>1454</v>
      </c>
      <c r="B1306" s="6" t="s">
        <v>77</v>
      </c>
      <c r="C1306" s="6" t="s">
        <v>99</v>
      </c>
      <c r="D1306" s="6" t="s">
        <v>319</v>
      </c>
      <c r="E1306" s="6" t="s">
        <v>120</v>
      </c>
      <c r="F1306" s="7">
        <v>9</v>
      </c>
      <c r="G1306" s="7">
        <v>1125</v>
      </c>
      <c r="H1306" s="16">
        <v>45228</v>
      </c>
      <c r="I1306" s="6">
        <v>44</v>
      </c>
      <c r="J1306" s="6" t="s">
        <v>121</v>
      </c>
      <c r="K1306" s="6" t="s">
        <v>361</v>
      </c>
      <c r="L1306" s="11">
        <f>F1306*Controls!$B$6</f>
        <v>9</v>
      </c>
      <c r="M1306" s="11">
        <f>G1306*Controls!$B$6</f>
        <v>1125</v>
      </c>
      <c r="N1306" s="12">
        <f>IF(L1306=0,0,SUMIFS('PSI Plan'!$N$6:$N$173,'PSI Plan'!$B$6:$B$173,B1306,'PSI Plan'!$C$6:$C$173,I1306))</f>
        <v>0</v>
      </c>
      <c r="O1306" s="11">
        <f t="shared" si="40"/>
        <v>0</v>
      </c>
      <c r="P1306" s="11">
        <f t="shared" si="41"/>
        <v>0</v>
      </c>
      <c r="Q1306" s="6"/>
      <c r="R1306" s="6"/>
      <c r="S1306" s="6"/>
      <c r="T1306" s="6"/>
    </row>
    <row r="1307" spans="1:20">
      <c r="A1307" s="6" t="s">
        <v>1455</v>
      </c>
      <c r="B1307" s="6" t="s">
        <v>67</v>
      </c>
      <c r="C1307" s="6" t="s">
        <v>99</v>
      </c>
      <c r="D1307" s="6" t="s">
        <v>319</v>
      </c>
      <c r="E1307" s="6" t="s">
        <v>120</v>
      </c>
      <c r="F1307" s="7">
        <v>8</v>
      </c>
      <c r="G1307" s="7">
        <v>1000</v>
      </c>
      <c r="H1307" s="16">
        <v>45264</v>
      </c>
      <c r="I1307" s="6">
        <v>49</v>
      </c>
      <c r="J1307" s="6" t="s">
        <v>121</v>
      </c>
      <c r="K1307" s="6" t="s">
        <v>361</v>
      </c>
      <c r="L1307" s="11">
        <f>F1307*Controls!$B$6</f>
        <v>8</v>
      </c>
      <c r="M1307" s="11">
        <f>G1307*Controls!$B$6</f>
        <v>1000</v>
      </c>
      <c r="N1307" s="12">
        <f>IF(L1307=0,0,SUMIFS('PSI Plan'!$N$6:$N$173,'PSI Plan'!$B$6:$B$173,B1307,'PSI Plan'!$C$6:$C$173,I1307))</f>
        <v>0</v>
      </c>
      <c r="O1307" s="11">
        <f t="shared" si="40"/>
        <v>0</v>
      </c>
      <c r="P1307" s="11">
        <f t="shared" si="41"/>
        <v>0</v>
      </c>
      <c r="Q1307" s="6"/>
      <c r="R1307" s="6"/>
      <c r="S1307" s="6"/>
      <c r="T1307" s="6"/>
    </row>
    <row r="1308" spans="1:20">
      <c r="A1308" s="6" t="s">
        <v>1456</v>
      </c>
      <c r="B1308" s="6" t="s">
        <v>69</v>
      </c>
      <c r="C1308" s="6" t="s">
        <v>99</v>
      </c>
      <c r="D1308" s="6" t="s">
        <v>319</v>
      </c>
      <c r="E1308" s="6" t="s">
        <v>120</v>
      </c>
      <c r="F1308" s="7">
        <v>19</v>
      </c>
      <c r="G1308" s="7">
        <v>2375</v>
      </c>
      <c r="H1308" s="16">
        <v>45217</v>
      </c>
      <c r="I1308" s="6">
        <v>42</v>
      </c>
      <c r="J1308" s="6" t="s">
        <v>121</v>
      </c>
      <c r="K1308" s="6" t="s">
        <v>361</v>
      </c>
      <c r="L1308" s="11">
        <f>F1308*Controls!$B$6</f>
        <v>19</v>
      </c>
      <c r="M1308" s="11">
        <f>G1308*Controls!$B$6</f>
        <v>2375</v>
      </c>
      <c r="N1308" s="12">
        <f>IF(L1308=0,0,SUMIFS('PSI Plan'!$N$6:$N$173,'PSI Plan'!$B$6:$B$173,B1308,'PSI Plan'!$C$6:$C$173,I1308))</f>
        <v>0</v>
      </c>
      <c r="O1308" s="11">
        <f t="shared" si="40"/>
        <v>0</v>
      </c>
      <c r="P1308" s="11">
        <f t="shared" si="41"/>
        <v>0</v>
      </c>
      <c r="Q1308" s="6"/>
      <c r="R1308" s="6"/>
      <c r="S1308" s="6"/>
      <c r="T1308" s="6"/>
    </row>
    <row r="1309" spans="1:20">
      <c r="A1309" s="6" t="s">
        <v>1457</v>
      </c>
      <c r="B1309" s="6" t="s">
        <v>66</v>
      </c>
      <c r="C1309" s="6" t="s">
        <v>100</v>
      </c>
      <c r="D1309" s="6" t="s">
        <v>567</v>
      </c>
      <c r="E1309" s="6" t="s">
        <v>120</v>
      </c>
      <c r="F1309" s="7">
        <v>9</v>
      </c>
      <c r="G1309" s="7">
        <v>1125</v>
      </c>
      <c r="H1309" s="16">
        <v>45225</v>
      </c>
      <c r="I1309" s="6">
        <v>43</v>
      </c>
      <c r="J1309" s="6" t="s">
        <v>121</v>
      </c>
      <c r="K1309" s="6" t="s">
        <v>568</v>
      </c>
      <c r="L1309" s="11">
        <f>F1309*Controls!$B$6</f>
        <v>9</v>
      </c>
      <c r="M1309" s="11">
        <f>G1309*Controls!$B$6</f>
        <v>1125</v>
      </c>
      <c r="N1309" s="12">
        <f>IF(L1309=0,0,SUMIFS('PSI Plan'!$N$6:$N$173,'PSI Plan'!$B$6:$B$173,B1309,'PSI Plan'!$C$6:$C$173,I1309))</f>
        <v>0</v>
      </c>
      <c r="O1309" s="11">
        <f t="shared" si="40"/>
        <v>0</v>
      </c>
      <c r="P1309" s="11">
        <f t="shared" si="41"/>
        <v>0</v>
      </c>
      <c r="Q1309" s="6"/>
      <c r="R1309" s="6"/>
      <c r="S1309" s="6"/>
      <c r="T1309" s="6"/>
    </row>
    <row r="1310" spans="1:20">
      <c r="A1310" s="6" t="s">
        <v>1458</v>
      </c>
      <c r="B1310" s="6" t="s">
        <v>77</v>
      </c>
      <c r="C1310" s="6" t="s">
        <v>100</v>
      </c>
      <c r="D1310" s="6" t="s">
        <v>567</v>
      </c>
      <c r="E1310" s="6" t="s">
        <v>120</v>
      </c>
      <c r="F1310" s="7">
        <v>9</v>
      </c>
      <c r="G1310" s="7">
        <v>1125</v>
      </c>
      <c r="H1310" s="16">
        <v>45206</v>
      </c>
      <c r="I1310" s="6">
        <v>40</v>
      </c>
      <c r="J1310" s="6" t="s">
        <v>121</v>
      </c>
      <c r="K1310" s="6" t="s">
        <v>568</v>
      </c>
      <c r="L1310" s="11">
        <f>F1310*Controls!$B$6</f>
        <v>9</v>
      </c>
      <c r="M1310" s="11">
        <f>G1310*Controls!$B$6</f>
        <v>1125</v>
      </c>
      <c r="N1310" s="12">
        <f>IF(L1310=0,0,SUMIFS('PSI Plan'!$N$6:$N$173,'PSI Plan'!$B$6:$B$173,B1310,'PSI Plan'!$C$6:$C$173,I1310))</f>
        <v>0</v>
      </c>
      <c r="O1310" s="11">
        <f t="shared" si="40"/>
        <v>0</v>
      </c>
      <c r="P1310" s="11">
        <f t="shared" si="41"/>
        <v>0</v>
      </c>
      <c r="Q1310" s="6"/>
      <c r="R1310" s="6"/>
      <c r="S1310" s="6"/>
      <c r="T1310" s="6"/>
    </row>
    <row r="1311" spans="1:20">
      <c r="A1311" s="6" t="s">
        <v>1459</v>
      </c>
      <c r="B1311" s="6" t="s">
        <v>69</v>
      </c>
      <c r="C1311" s="6" t="s">
        <v>100</v>
      </c>
      <c r="D1311" s="6" t="s">
        <v>567</v>
      </c>
      <c r="E1311" s="6" t="s">
        <v>120</v>
      </c>
      <c r="F1311" s="7">
        <v>9</v>
      </c>
      <c r="G1311" s="7">
        <v>1125</v>
      </c>
      <c r="H1311" s="16">
        <v>45230</v>
      </c>
      <c r="I1311" s="6">
        <v>44</v>
      </c>
      <c r="J1311" s="6" t="s">
        <v>121</v>
      </c>
      <c r="K1311" s="6" t="s">
        <v>568</v>
      </c>
      <c r="L1311" s="11">
        <f>F1311*Controls!$B$6</f>
        <v>9</v>
      </c>
      <c r="M1311" s="11">
        <f>G1311*Controls!$B$6</f>
        <v>1125</v>
      </c>
      <c r="N1311" s="12">
        <f>IF(L1311=0,0,SUMIFS('PSI Plan'!$N$6:$N$173,'PSI Plan'!$B$6:$B$173,B1311,'PSI Plan'!$C$6:$C$173,I1311))</f>
        <v>0</v>
      </c>
      <c r="O1311" s="11">
        <f t="shared" si="40"/>
        <v>0</v>
      </c>
      <c r="P1311" s="11">
        <f t="shared" si="41"/>
        <v>0</v>
      </c>
      <c r="Q1311" s="6"/>
      <c r="R1311" s="6"/>
      <c r="S1311" s="6"/>
      <c r="T1311" s="6"/>
    </row>
    <row r="1312" spans="1:20">
      <c r="A1312" s="6" t="s">
        <v>1460</v>
      </c>
      <c r="B1312" s="6" t="s">
        <v>77</v>
      </c>
      <c r="C1312" s="6" t="s">
        <v>99</v>
      </c>
      <c r="D1312" s="6" t="s">
        <v>319</v>
      </c>
      <c r="E1312" s="6" t="s">
        <v>120</v>
      </c>
      <c r="F1312" s="7">
        <v>22</v>
      </c>
      <c r="G1312" s="7">
        <v>2750</v>
      </c>
      <c r="H1312" s="16">
        <v>45286</v>
      </c>
      <c r="I1312" s="6">
        <v>52</v>
      </c>
      <c r="J1312" s="6" t="s">
        <v>121</v>
      </c>
      <c r="K1312" s="6" t="s">
        <v>347</v>
      </c>
      <c r="L1312" s="11">
        <f>F1312*Controls!$B$6</f>
        <v>22</v>
      </c>
      <c r="M1312" s="11">
        <f>G1312*Controls!$B$6</f>
        <v>2750</v>
      </c>
      <c r="N1312" s="12">
        <f>IF(L1312=0,0,SUMIFS('PSI Plan'!$N$6:$N$173,'PSI Plan'!$B$6:$B$173,B1312,'PSI Plan'!$C$6:$C$173,I1312))</f>
        <v>0</v>
      </c>
      <c r="O1312" s="11">
        <f t="shared" si="40"/>
        <v>0</v>
      </c>
      <c r="P1312" s="11">
        <f t="shared" si="41"/>
        <v>0</v>
      </c>
      <c r="Q1312" s="6"/>
      <c r="R1312" s="6"/>
      <c r="S1312" s="6"/>
      <c r="T1312" s="6"/>
    </row>
    <row r="1313" spans="1:20">
      <c r="A1313" s="6" t="s">
        <v>1461</v>
      </c>
      <c r="B1313" s="6" t="s">
        <v>69</v>
      </c>
      <c r="C1313" s="6" t="s">
        <v>99</v>
      </c>
      <c r="D1313" s="6" t="s">
        <v>319</v>
      </c>
      <c r="E1313" s="6" t="s">
        <v>120</v>
      </c>
      <c r="F1313" s="7">
        <v>86</v>
      </c>
      <c r="G1313" s="7">
        <v>10750</v>
      </c>
      <c r="H1313" s="16">
        <v>45253</v>
      </c>
      <c r="I1313" s="6">
        <v>47</v>
      </c>
      <c r="J1313" s="6" t="s">
        <v>121</v>
      </c>
      <c r="K1313" s="6" t="s">
        <v>347</v>
      </c>
      <c r="L1313" s="11">
        <f>F1313*Controls!$B$6</f>
        <v>86</v>
      </c>
      <c r="M1313" s="11">
        <f>G1313*Controls!$B$6</f>
        <v>10750</v>
      </c>
      <c r="N1313" s="12">
        <f>IF(L1313=0,0,SUMIFS('PSI Plan'!$N$6:$N$173,'PSI Plan'!$B$6:$B$173,B1313,'PSI Plan'!$C$6:$C$173,I1313))</f>
        <v>0</v>
      </c>
      <c r="O1313" s="11">
        <f t="shared" si="40"/>
        <v>0</v>
      </c>
      <c r="P1313" s="11">
        <f t="shared" si="41"/>
        <v>0</v>
      </c>
      <c r="Q1313" s="6"/>
      <c r="R1313" s="6"/>
      <c r="S1313" s="6"/>
      <c r="T1313" s="6"/>
    </row>
    <row r="1314" spans="1:20">
      <c r="A1314" s="6" t="s">
        <v>1462</v>
      </c>
      <c r="B1314" s="6" t="s">
        <v>76</v>
      </c>
      <c r="C1314" s="6" t="s">
        <v>100</v>
      </c>
      <c r="D1314" s="6" t="s">
        <v>567</v>
      </c>
      <c r="E1314" s="6" t="s">
        <v>120</v>
      </c>
      <c r="F1314" s="7">
        <v>9</v>
      </c>
      <c r="G1314" s="7">
        <v>1125</v>
      </c>
      <c r="H1314" s="16">
        <v>45266</v>
      </c>
      <c r="I1314" s="6">
        <v>49</v>
      </c>
      <c r="J1314" s="6" t="s">
        <v>121</v>
      </c>
      <c r="K1314" s="6" t="s">
        <v>781</v>
      </c>
      <c r="L1314" s="11">
        <f>F1314*Controls!$B$6</f>
        <v>9</v>
      </c>
      <c r="M1314" s="11">
        <f>G1314*Controls!$B$6</f>
        <v>1125</v>
      </c>
      <c r="N1314" s="12">
        <f>IF(L1314=0,0,SUMIFS('PSI Plan'!$N$6:$N$173,'PSI Plan'!$B$6:$B$173,B1314,'PSI Plan'!$C$6:$C$173,I1314))</f>
        <v>0</v>
      </c>
      <c r="O1314" s="11">
        <f t="shared" si="40"/>
        <v>0</v>
      </c>
      <c r="P1314" s="11">
        <f t="shared" si="41"/>
        <v>0</v>
      </c>
      <c r="Q1314" s="6"/>
      <c r="R1314" s="6"/>
      <c r="S1314" s="6"/>
      <c r="T1314" s="6"/>
    </row>
    <row r="1315" spans="1:20">
      <c r="A1315" s="6" t="s">
        <v>1463</v>
      </c>
      <c r="B1315" s="6" t="s">
        <v>67</v>
      </c>
      <c r="C1315" s="6" t="s">
        <v>100</v>
      </c>
      <c r="D1315" s="6" t="s">
        <v>567</v>
      </c>
      <c r="E1315" s="6" t="s">
        <v>120</v>
      </c>
      <c r="F1315" s="7">
        <v>4</v>
      </c>
      <c r="G1315" s="7">
        <v>500</v>
      </c>
      <c r="H1315" s="16">
        <v>45226</v>
      </c>
      <c r="I1315" s="6">
        <v>43</v>
      </c>
      <c r="J1315" s="6" t="s">
        <v>121</v>
      </c>
      <c r="K1315" s="6" t="s">
        <v>781</v>
      </c>
      <c r="L1315" s="11">
        <f>F1315*Controls!$B$6</f>
        <v>4</v>
      </c>
      <c r="M1315" s="11">
        <f>G1315*Controls!$B$6</f>
        <v>500</v>
      </c>
      <c r="N1315" s="12">
        <f>IF(L1315=0,0,SUMIFS('PSI Plan'!$N$6:$N$173,'PSI Plan'!$B$6:$B$173,B1315,'PSI Plan'!$C$6:$C$173,I1315))</f>
        <v>0</v>
      </c>
      <c r="O1315" s="11">
        <f t="shared" si="40"/>
        <v>0</v>
      </c>
      <c r="P1315" s="11">
        <f t="shared" si="41"/>
        <v>0</v>
      </c>
      <c r="Q1315" s="6"/>
      <c r="R1315" s="6"/>
      <c r="S1315" s="6"/>
      <c r="T1315" s="6"/>
    </row>
    <row r="1316" spans="1:20">
      <c r="A1316" s="6" t="s">
        <v>1464</v>
      </c>
      <c r="B1316" s="6" t="s">
        <v>69</v>
      </c>
      <c r="C1316" s="6" t="s">
        <v>100</v>
      </c>
      <c r="D1316" s="6" t="s">
        <v>567</v>
      </c>
      <c r="E1316" s="6" t="s">
        <v>120</v>
      </c>
      <c r="F1316" s="7">
        <v>5</v>
      </c>
      <c r="G1316" s="7">
        <v>625</v>
      </c>
      <c r="H1316" s="16">
        <v>45288</v>
      </c>
      <c r="I1316" s="6">
        <v>52</v>
      </c>
      <c r="J1316" s="6" t="s">
        <v>121</v>
      </c>
      <c r="K1316" s="6" t="s">
        <v>781</v>
      </c>
      <c r="L1316" s="11">
        <f>F1316*Controls!$B$6</f>
        <v>5</v>
      </c>
      <c r="M1316" s="11">
        <f>G1316*Controls!$B$6</f>
        <v>625</v>
      </c>
      <c r="N1316" s="12">
        <f>IF(L1316=0,0,SUMIFS('PSI Plan'!$N$6:$N$173,'PSI Plan'!$B$6:$B$173,B1316,'PSI Plan'!$C$6:$C$173,I1316))</f>
        <v>0</v>
      </c>
      <c r="O1316" s="11">
        <f t="shared" si="40"/>
        <v>0</v>
      </c>
      <c r="P1316" s="11">
        <f t="shared" si="41"/>
        <v>0</v>
      </c>
      <c r="Q1316" s="6"/>
      <c r="R1316" s="6"/>
      <c r="S1316" s="6"/>
      <c r="T1316" s="6"/>
    </row>
    <row r="1317" spans="1:20">
      <c r="A1317" s="6" t="s">
        <v>1465</v>
      </c>
      <c r="B1317" s="6" t="s">
        <v>77</v>
      </c>
      <c r="C1317" s="6" t="s">
        <v>99</v>
      </c>
      <c r="D1317" s="6" t="s">
        <v>319</v>
      </c>
      <c r="E1317" s="6" t="s">
        <v>120</v>
      </c>
      <c r="F1317" s="7">
        <v>34</v>
      </c>
      <c r="G1317" s="7">
        <v>4250</v>
      </c>
      <c r="H1317" s="16">
        <v>45202</v>
      </c>
      <c r="I1317" s="6">
        <v>40</v>
      </c>
      <c r="J1317" s="6" t="s">
        <v>121</v>
      </c>
      <c r="K1317" s="6" t="s">
        <v>347</v>
      </c>
      <c r="L1317" s="11">
        <f>F1317*Controls!$B$6</f>
        <v>34</v>
      </c>
      <c r="M1317" s="11">
        <f>G1317*Controls!$B$6</f>
        <v>4250</v>
      </c>
      <c r="N1317" s="12">
        <f>IF(L1317=0,0,SUMIFS('PSI Plan'!$N$6:$N$173,'PSI Plan'!$B$6:$B$173,B1317,'PSI Plan'!$C$6:$C$173,I1317))</f>
        <v>0</v>
      </c>
      <c r="O1317" s="11">
        <f t="shared" si="40"/>
        <v>0</v>
      </c>
      <c r="P1317" s="11">
        <f t="shared" si="41"/>
        <v>0</v>
      </c>
      <c r="Q1317" s="6"/>
      <c r="R1317" s="6"/>
      <c r="S1317" s="6"/>
      <c r="T1317" s="6"/>
    </row>
    <row r="1318" spans="1:20">
      <c r="A1318" s="6" t="s">
        <v>1466</v>
      </c>
      <c r="B1318" s="6" t="s">
        <v>66</v>
      </c>
      <c r="C1318" s="6" t="s">
        <v>99</v>
      </c>
      <c r="D1318" s="6" t="s">
        <v>319</v>
      </c>
      <c r="E1318" s="6" t="s">
        <v>120</v>
      </c>
      <c r="F1318" s="7">
        <v>76</v>
      </c>
      <c r="G1318" s="7">
        <v>9500</v>
      </c>
      <c r="H1318" s="16">
        <v>45275</v>
      </c>
      <c r="I1318" s="6">
        <v>50</v>
      </c>
      <c r="J1318" s="6" t="s">
        <v>121</v>
      </c>
      <c r="K1318" s="6" t="s">
        <v>347</v>
      </c>
      <c r="L1318" s="11">
        <f>F1318*Controls!$B$6</f>
        <v>76</v>
      </c>
      <c r="M1318" s="11">
        <f>G1318*Controls!$B$6</f>
        <v>9500</v>
      </c>
      <c r="N1318" s="12">
        <f>IF(L1318=0,0,SUMIFS('PSI Plan'!$N$6:$N$173,'PSI Plan'!$B$6:$B$173,B1318,'PSI Plan'!$C$6:$C$173,I1318))</f>
        <v>0</v>
      </c>
      <c r="O1318" s="11">
        <f t="shared" si="40"/>
        <v>0</v>
      </c>
      <c r="P1318" s="11">
        <f t="shared" si="41"/>
        <v>0</v>
      </c>
      <c r="Q1318" s="6"/>
      <c r="R1318" s="6"/>
      <c r="S1318" s="6"/>
      <c r="T1318" s="6"/>
    </row>
    <row r="1319" spans="1:20">
      <c r="A1319" s="6" t="s">
        <v>1467</v>
      </c>
      <c r="B1319" s="6" t="s">
        <v>77</v>
      </c>
      <c r="C1319" s="6" t="s">
        <v>99</v>
      </c>
      <c r="D1319" s="6" t="s">
        <v>319</v>
      </c>
      <c r="E1319" s="6" t="s">
        <v>120</v>
      </c>
      <c r="F1319" s="7">
        <v>42</v>
      </c>
      <c r="G1319" s="7">
        <v>5250</v>
      </c>
      <c r="H1319" s="16">
        <v>45235</v>
      </c>
      <c r="I1319" s="6">
        <v>45</v>
      </c>
      <c r="J1319" s="6" t="s">
        <v>121</v>
      </c>
      <c r="K1319" s="6" t="s">
        <v>347</v>
      </c>
      <c r="L1319" s="11">
        <f>F1319*Controls!$B$6</f>
        <v>42</v>
      </c>
      <c r="M1319" s="11">
        <f>G1319*Controls!$B$6</f>
        <v>5250</v>
      </c>
      <c r="N1319" s="12">
        <f>IF(L1319=0,0,SUMIFS('PSI Plan'!$N$6:$N$173,'PSI Plan'!$B$6:$B$173,B1319,'PSI Plan'!$C$6:$C$173,I1319))</f>
        <v>0</v>
      </c>
      <c r="O1319" s="11">
        <f t="shared" si="40"/>
        <v>0</v>
      </c>
      <c r="P1319" s="11">
        <f t="shared" si="41"/>
        <v>0</v>
      </c>
      <c r="Q1319" s="6"/>
      <c r="R1319" s="6"/>
      <c r="S1319" s="6"/>
      <c r="T1319" s="6"/>
    </row>
    <row r="1320" spans="1:20">
      <c r="A1320" s="6" t="s">
        <v>1468</v>
      </c>
      <c r="B1320" s="6" t="s">
        <v>76</v>
      </c>
      <c r="C1320" s="6" t="s">
        <v>99</v>
      </c>
      <c r="D1320" s="6" t="s">
        <v>319</v>
      </c>
      <c r="E1320" s="6" t="s">
        <v>120</v>
      </c>
      <c r="F1320" s="7">
        <v>6</v>
      </c>
      <c r="G1320" s="7">
        <v>750</v>
      </c>
      <c r="H1320" s="16">
        <v>45202</v>
      </c>
      <c r="I1320" s="6">
        <v>40</v>
      </c>
      <c r="J1320" s="6" t="s">
        <v>121</v>
      </c>
      <c r="K1320" s="6" t="s">
        <v>347</v>
      </c>
      <c r="L1320" s="11">
        <f>F1320*Controls!$B$6</f>
        <v>6</v>
      </c>
      <c r="M1320" s="11">
        <f>G1320*Controls!$B$6</f>
        <v>750</v>
      </c>
      <c r="N1320" s="12">
        <f>IF(L1320=0,0,SUMIFS('PSI Plan'!$N$6:$N$173,'PSI Plan'!$B$6:$B$173,B1320,'PSI Plan'!$C$6:$C$173,I1320))</f>
        <v>0</v>
      </c>
      <c r="O1320" s="11">
        <f t="shared" si="40"/>
        <v>0</v>
      </c>
      <c r="P1320" s="11">
        <f t="shared" si="41"/>
        <v>0</v>
      </c>
      <c r="Q1320" s="6"/>
      <c r="R1320" s="6"/>
      <c r="S1320" s="6"/>
      <c r="T1320" s="6"/>
    </row>
    <row r="1321" spans="1:20">
      <c r="A1321" s="6" t="s">
        <v>1469</v>
      </c>
      <c r="B1321" s="6" t="s">
        <v>66</v>
      </c>
      <c r="C1321" s="6" t="s">
        <v>90</v>
      </c>
      <c r="D1321" s="6" t="s">
        <v>119</v>
      </c>
      <c r="E1321" s="6" t="s">
        <v>120</v>
      </c>
      <c r="F1321" s="7">
        <v>26</v>
      </c>
      <c r="G1321" s="7">
        <v>3250</v>
      </c>
      <c r="H1321" s="16">
        <v>45236</v>
      </c>
      <c r="I1321" s="6">
        <v>45</v>
      </c>
      <c r="J1321" s="6" t="s">
        <v>121</v>
      </c>
      <c r="K1321" s="6" t="s">
        <v>855</v>
      </c>
      <c r="L1321" s="11">
        <f>F1321*Controls!$B$6</f>
        <v>26</v>
      </c>
      <c r="M1321" s="11">
        <f>G1321*Controls!$B$6</f>
        <v>3250</v>
      </c>
      <c r="N1321" s="12">
        <f>IF(L1321=0,0,SUMIFS('PSI Plan'!$N$6:$N$173,'PSI Plan'!$B$6:$B$173,B1321,'PSI Plan'!$C$6:$C$173,I1321))</f>
        <v>0</v>
      </c>
      <c r="O1321" s="11">
        <f t="shared" si="40"/>
        <v>0</v>
      </c>
      <c r="P1321" s="11">
        <f t="shared" si="41"/>
        <v>0</v>
      </c>
      <c r="Q1321" s="6"/>
      <c r="R1321" s="6"/>
      <c r="S1321" s="6"/>
      <c r="T1321" s="6"/>
    </row>
    <row r="1322" spans="1:20">
      <c r="A1322" s="6" t="s">
        <v>1470</v>
      </c>
      <c r="B1322" s="6" t="s">
        <v>69</v>
      </c>
      <c r="C1322" s="6" t="s">
        <v>90</v>
      </c>
      <c r="D1322" s="6" t="s">
        <v>119</v>
      </c>
      <c r="E1322" s="6" t="s">
        <v>120</v>
      </c>
      <c r="F1322" s="7">
        <v>26</v>
      </c>
      <c r="G1322" s="7">
        <v>3250</v>
      </c>
      <c r="H1322" s="16">
        <v>45208</v>
      </c>
      <c r="I1322" s="6">
        <v>41</v>
      </c>
      <c r="J1322" s="6" t="s">
        <v>121</v>
      </c>
      <c r="K1322" s="6" t="s">
        <v>855</v>
      </c>
      <c r="L1322" s="11">
        <f>F1322*Controls!$B$6</f>
        <v>26</v>
      </c>
      <c r="M1322" s="11">
        <f>G1322*Controls!$B$6</f>
        <v>3250</v>
      </c>
      <c r="N1322" s="12">
        <f>IF(L1322=0,0,SUMIFS('PSI Plan'!$N$6:$N$173,'PSI Plan'!$B$6:$B$173,B1322,'PSI Plan'!$C$6:$C$173,I1322))</f>
        <v>0</v>
      </c>
      <c r="O1322" s="11">
        <f t="shared" si="40"/>
        <v>0</v>
      </c>
      <c r="P1322" s="11">
        <f t="shared" si="41"/>
        <v>0</v>
      </c>
      <c r="Q1322" s="6"/>
      <c r="R1322" s="6"/>
      <c r="S1322" s="6"/>
      <c r="T1322" s="6"/>
    </row>
    <row r="1323" spans="1:20">
      <c r="A1323" s="6" t="s">
        <v>1471</v>
      </c>
      <c r="B1323" s="6" t="s">
        <v>77</v>
      </c>
      <c r="C1323" s="6" t="s">
        <v>90</v>
      </c>
      <c r="D1323" s="6" t="s">
        <v>119</v>
      </c>
      <c r="E1323" s="6" t="s">
        <v>120</v>
      </c>
      <c r="F1323" s="7">
        <v>1</v>
      </c>
      <c r="G1323" s="7">
        <v>125</v>
      </c>
      <c r="H1323" s="16">
        <v>45219</v>
      </c>
      <c r="I1323" s="6">
        <v>42</v>
      </c>
      <c r="J1323" s="6" t="s">
        <v>121</v>
      </c>
      <c r="K1323" s="6" t="s">
        <v>132</v>
      </c>
      <c r="L1323" s="11">
        <f>F1323*Controls!$B$6</f>
        <v>1</v>
      </c>
      <c r="M1323" s="11">
        <f>G1323*Controls!$B$6</f>
        <v>125</v>
      </c>
      <c r="N1323" s="12">
        <f>IF(L1323=0,0,SUMIFS('PSI Plan'!$N$6:$N$173,'PSI Plan'!$B$6:$B$173,B1323,'PSI Plan'!$C$6:$C$173,I1323))</f>
        <v>0</v>
      </c>
      <c r="O1323" s="11">
        <f t="shared" si="40"/>
        <v>0</v>
      </c>
      <c r="P1323" s="11">
        <f t="shared" si="41"/>
        <v>0</v>
      </c>
      <c r="Q1323" s="6"/>
      <c r="R1323" s="6"/>
      <c r="S1323" s="6"/>
      <c r="T1323" s="6"/>
    </row>
    <row r="1324" spans="1:20">
      <c r="A1324" s="6" t="s">
        <v>1472</v>
      </c>
      <c r="B1324" s="6" t="s">
        <v>69</v>
      </c>
      <c r="C1324" s="6" t="s">
        <v>90</v>
      </c>
      <c r="D1324" s="6" t="s">
        <v>119</v>
      </c>
      <c r="E1324" s="6" t="s">
        <v>120</v>
      </c>
      <c r="F1324" s="7">
        <v>2</v>
      </c>
      <c r="G1324" s="7">
        <v>250</v>
      </c>
      <c r="H1324" s="16">
        <v>45280</v>
      </c>
      <c r="I1324" s="6">
        <v>51</v>
      </c>
      <c r="J1324" s="6" t="s">
        <v>121</v>
      </c>
      <c r="K1324" s="6" t="s">
        <v>132</v>
      </c>
      <c r="L1324" s="11">
        <f>F1324*Controls!$B$6</f>
        <v>2</v>
      </c>
      <c r="M1324" s="11">
        <f>G1324*Controls!$B$6</f>
        <v>250</v>
      </c>
      <c r="N1324" s="12">
        <f>IF(L1324=0,0,SUMIFS('PSI Plan'!$N$6:$N$173,'PSI Plan'!$B$6:$B$173,B1324,'PSI Plan'!$C$6:$C$173,I1324))</f>
        <v>0</v>
      </c>
      <c r="O1324" s="11">
        <f t="shared" si="40"/>
        <v>0</v>
      </c>
      <c r="P1324" s="11">
        <f t="shared" si="41"/>
        <v>0</v>
      </c>
      <c r="Q1324" s="6"/>
      <c r="R1324" s="6"/>
      <c r="S1324" s="6"/>
      <c r="T1324" s="6"/>
    </row>
    <row r="1325" spans="1:20">
      <c r="A1325" s="6" t="s">
        <v>1473</v>
      </c>
      <c r="B1325" s="6" t="s">
        <v>77</v>
      </c>
      <c r="C1325" s="6" t="s">
        <v>90</v>
      </c>
      <c r="D1325" s="6" t="s">
        <v>119</v>
      </c>
      <c r="E1325" s="6" t="s">
        <v>120</v>
      </c>
      <c r="F1325" s="7">
        <v>2</v>
      </c>
      <c r="G1325" s="7">
        <v>250</v>
      </c>
      <c r="H1325" s="16">
        <v>45231</v>
      </c>
      <c r="I1325" s="6">
        <v>44</v>
      </c>
      <c r="J1325" s="6" t="s">
        <v>121</v>
      </c>
      <c r="K1325" s="6" t="s">
        <v>725</v>
      </c>
      <c r="L1325" s="11">
        <f>F1325*Controls!$B$6</f>
        <v>2</v>
      </c>
      <c r="M1325" s="11">
        <f>G1325*Controls!$B$6</f>
        <v>250</v>
      </c>
      <c r="N1325" s="12">
        <f>IF(L1325=0,0,SUMIFS('PSI Plan'!$N$6:$N$173,'PSI Plan'!$B$6:$B$173,B1325,'PSI Plan'!$C$6:$C$173,I1325))</f>
        <v>0</v>
      </c>
      <c r="O1325" s="11">
        <f t="shared" si="40"/>
        <v>0</v>
      </c>
      <c r="P1325" s="11">
        <f t="shared" si="41"/>
        <v>0</v>
      </c>
      <c r="Q1325" s="6"/>
      <c r="R1325" s="6"/>
      <c r="S1325" s="6"/>
      <c r="T1325" s="6"/>
    </row>
    <row r="1326" spans="1:20">
      <c r="A1326" s="6" t="s">
        <v>1474</v>
      </c>
      <c r="B1326" s="6" t="s">
        <v>69</v>
      </c>
      <c r="C1326" s="6" t="s">
        <v>90</v>
      </c>
      <c r="D1326" s="6" t="s">
        <v>119</v>
      </c>
      <c r="E1326" s="6" t="s">
        <v>120</v>
      </c>
      <c r="F1326" s="7">
        <v>3</v>
      </c>
      <c r="G1326" s="7">
        <v>375</v>
      </c>
      <c r="H1326" s="16">
        <v>45280</v>
      </c>
      <c r="I1326" s="6">
        <v>51</v>
      </c>
      <c r="J1326" s="6" t="s">
        <v>121</v>
      </c>
      <c r="K1326" s="6" t="s">
        <v>725</v>
      </c>
      <c r="L1326" s="11">
        <f>F1326*Controls!$B$6</f>
        <v>3</v>
      </c>
      <c r="M1326" s="11">
        <f>G1326*Controls!$B$6</f>
        <v>375</v>
      </c>
      <c r="N1326" s="12">
        <f>IF(L1326=0,0,SUMIFS('PSI Plan'!$N$6:$N$173,'PSI Plan'!$B$6:$B$173,B1326,'PSI Plan'!$C$6:$C$173,I1326))</f>
        <v>0</v>
      </c>
      <c r="O1326" s="11">
        <f t="shared" si="40"/>
        <v>0</v>
      </c>
      <c r="P1326" s="11">
        <f t="shared" si="41"/>
        <v>0</v>
      </c>
      <c r="Q1326" s="6"/>
      <c r="R1326" s="6"/>
      <c r="S1326" s="6"/>
      <c r="T1326" s="6"/>
    </row>
    <row r="1327" spans="1:20">
      <c r="A1327" s="6" t="s">
        <v>1475</v>
      </c>
      <c r="B1327" s="6" t="s">
        <v>77</v>
      </c>
      <c r="C1327" s="6" t="s">
        <v>90</v>
      </c>
      <c r="D1327" s="6" t="s">
        <v>119</v>
      </c>
      <c r="E1327" s="6" t="s">
        <v>120</v>
      </c>
      <c r="F1327" s="7">
        <v>4</v>
      </c>
      <c r="G1327" s="7">
        <v>500</v>
      </c>
      <c r="H1327" s="16">
        <v>45242</v>
      </c>
      <c r="I1327" s="6">
        <v>46</v>
      </c>
      <c r="J1327" s="6" t="s">
        <v>121</v>
      </c>
      <c r="K1327" s="6" t="s">
        <v>298</v>
      </c>
      <c r="L1327" s="11">
        <f>F1327*Controls!$B$6</f>
        <v>4</v>
      </c>
      <c r="M1327" s="11">
        <f>G1327*Controls!$B$6</f>
        <v>500</v>
      </c>
      <c r="N1327" s="12">
        <f>IF(L1327=0,0,SUMIFS('PSI Plan'!$N$6:$N$173,'PSI Plan'!$B$6:$B$173,B1327,'PSI Plan'!$C$6:$C$173,I1327))</f>
        <v>0</v>
      </c>
      <c r="O1327" s="11">
        <f t="shared" si="40"/>
        <v>0</v>
      </c>
      <c r="P1327" s="11">
        <f t="shared" si="41"/>
        <v>0</v>
      </c>
      <c r="Q1327" s="6"/>
      <c r="R1327" s="6"/>
      <c r="S1327" s="6"/>
      <c r="T1327" s="6"/>
    </row>
    <row r="1328" spans="1:20">
      <c r="A1328" s="6" t="s">
        <v>1476</v>
      </c>
      <c r="B1328" s="6" t="s">
        <v>69</v>
      </c>
      <c r="C1328" s="6" t="s">
        <v>90</v>
      </c>
      <c r="D1328" s="6" t="s">
        <v>119</v>
      </c>
      <c r="E1328" s="6" t="s">
        <v>120</v>
      </c>
      <c r="F1328" s="7">
        <v>18</v>
      </c>
      <c r="G1328" s="7">
        <v>2250</v>
      </c>
      <c r="H1328" s="16">
        <v>45230</v>
      </c>
      <c r="I1328" s="6">
        <v>44</v>
      </c>
      <c r="J1328" s="6" t="s">
        <v>121</v>
      </c>
      <c r="K1328" s="6" t="s">
        <v>298</v>
      </c>
      <c r="L1328" s="11">
        <f>F1328*Controls!$B$6</f>
        <v>18</v>
      </c>
      <c r="M1328" s="11">
        <f>G1328*Controls!$B$6</f>
        <v>2250</v>
      </c>
      <c r="N1328" s="12">
        <f>IF(L1328=0,0,SUMIFS('PSI Plan'!$N$6:$N$173,'PSI Plan'!$B$6:$B$173,B1328,'PSI Plan'!$C$6:$C$173,I1328))</f>
        <v>0</v>
      </c>
      <c r="O1328" s="11">
        <f t="shared" si="40"/>
        <v>0</v>
      </c>
      <c r="P1328" s="11">
        <f t="shared" si="41"/>
        <v>0</v>
      </c>
      <c r="Q1328" s="6"/>
      <c r="R1328" s="6"/>
      <c r="S1328" s="6"/>
      <c r="T1328" s="6"/>
    </row>
    <row r="1329" spans="1:20">
      <c r="A1329" s="6" t="s">
        <v>1477</v>
      </c>
      <c r="B1329" s="6" t="s">
        <v>66</v>
      </c>
      <c r="C1329" s="6" t="s">
        <v>90</v>
      </c>
      <c r="D1329" s="6" t="s">
        <v>119</v>
      </c>
      <c r="E1329" s="6" t="s">
        <v>120</v>
      </c>
      <c r="F1329" s="7">
        <v>4</v>
      </c>
      <c r="G1329" s="7">
        <v>500</v>
      </c>
      <c r="H1329" s="16">
        <v>45255</v>
      </c>
      <c r="I1329" s="6">
        <v>47</v>
      </c>
      <c r="J1329" s="6" t="s">
        <v>121</v>
      </c>
      <c r="K1329" s="6" t="s">
        <v>139</v>
      </c>
      <c r="L1329" s="11">
        <f>F1329*Controls!$B$6</f>
        <v>4</v>
      </c>
      <c r="M1329" s="11">
        <f>G1329*Controls!$B$6</f>
        <v>500</v>
      </c>
      <c r="N1329" s="12">
        <f>IF(L1329=0,0,SUMIFS('PSI Plan'!$N$6:$N$173,'PSI Plan'!$B$6:$B$173,B1329,'PSI Plan'!$C$6:$C$173,I1329))</f>
        <v>0</v>
      </c>
      <c r="O1329" s="11">
        <f t="shared" si="40"/>
        <v>0</v>
      </c>
      <c r="P1329" s="11">
        <f t="shared" si="41"/>
        <v>0</v>
      </c>
      <c r="Q1329" s="6"/>
      <c r="R1329" s="6"/>
      <c r="S1329" s="6"/>
      <c r="T1329" s="6"/>
    </row>
    <row r="1330" spans="1:20">
      <c r="A1330" s="6" t="s">
        <v>1478</v>
      </c>
      <c r="B1330" s="6" t="s">
        <v>76</v>
      </c>
      <c r="C1330" s="6" t="s">
        <v>90</v>
      </c>
      <c r="D1330" s="6" t="s">
        <v>119</v>
      </c>
      <c r="E1330" s="6" t="s">
        <v>120</v>
      </c>
      <c r="F1330" s="7">
        <v>6</v>
      </c>
      <c r="G1330" s="7">
        <v>750</v>
      </c>
      <c r="H1330" s="16">
        <v>45216</v>
      </c>
      <c r="I1330" s="6">
        <v>42</v>
      </c>
      <c r="J1330" s="6" t="s">
        <v>121</v>
      </c>
      <c r="K1330" s="6" t="s">
        <v>139</v>
      </c>
      <c r="L1330" s="11">
        <f>F1330*Controls!$B$6</f>
        <v>6</v>
      </c>
      <c r="M1330" s="11">
        <f>G1330*Controls!$B$6</f>
        <v>750</v>
      </c>
      <c r="N1330" s="12">
        <f>IF(L1330=0,0,SUMIFS('PSI Plan'!$N$6:$N$173,'PSI Plan'!$B$6:$B$173,B1330,'PSI Plan'!$C$6:$C$173,I1330))</f>
        <v>0</v>
      </c>
      <c r="O1330" s="11">
        <f t="shared" si="40"/>
        <v>0</v>
      </c>
      <c r="P1330" s="11">
        <f t="shared" si="41"/>
        <v>0</v>
      </c>
      <c r="Q1330" s="6"/>
      <c r="R1330" s="6"/>
      <c r="S1330" s="6"/>
      <c r="T1330" s="6"/>
    </row>
    <row r="1331" spans="1:20">
      <c r="A1331" s="6" t="s">
        <v>1479</v>
      </c>
      <c r="B1331" s="6" t="s">
        <v>66</v>
      </c>
      <c r="C1331" s="6" t="s">
        <v>90</v>
      </c>
      <c r="D1331" s="6" t="s">
        <v>119</v>
      </c>
      <c r="E1331" s="6" t="s">
        <v>120</v>
      </c>
      <c r="F1331" s="7">
        <v>27</v>
      </c>
      <c r="G1331" s="7">
        <v>3375</v>
      </c>
      <c r="H1331" s="16">
        <v>45208</v>
      </c>
      <c r="I1331" s="6">
        <v>41</v>
      </c>
      <c r="J1331" s="6" t="s">
        <v>121</v>
      </c>
      <c r="K1331" s="6" t="s">
        <v>122</v>
      </c>
      <c r="L1331" s="11">
        <f>F1331*Controls!$B$6</f>
        <v>27</v>
      </c>
      <c r="M1331" s="11">
        <f>G1331*Controls!$B$6</f>
        <v>3375</v>
      </c>
      <c r="N1331" s="12">
        <f>IF(L1331=0,0,SUMIFS('PSI Plan'!$N$6:$N$173,'PSI Plan'!$B$6:$B$173,B1331,'PSI Plan'!$C$6:$C$173,I1331))</f>
        <v>0.22897465437788017</v>
      </c>
      <c r="O1331" s="11">
        <f t="shared" si="40"/>
        <v>6.1823156682027642</v>
      </c>
      <c r="P1331" s="11">
        <f t="shared" si="41"/>
        <v>772.78945852534559</v>
      </c>
      <c r="Q1331" s="6"/>
      <c r="R1331" s="6"/>
      <c r="S1331" s="6"/>
      <c r="T1331" s="6"/>
    </row>
    <row r="1332" spans="1:20">
      <c r="A1332" s="6" t="s">
        <v>1480</v>
      </c>
      <c r="B1332" s="6" t="s">
        <v>77</v>
      </c>
      <c r="C1332" s="6" t="s">
        <v>90</v>
      </c>
      <c r="D1332" s="6" t="s">
        <v>119</v>
      </c>
      <c r="E1332" s="6" t="s">
        <v>120</v>
      </c>
      <c r="F1332" s="7">
        <v>37</v>
      </c>
      <c r="G1332" s="7">
        <v>4625</v>
      </c>
      <c r="H1332" s="16">
        <v>45281</v>
      </c>
      <c r="I1332" s="6">
        <v>51</v>
      </c>
      <c r="J1332" s="6" t="s">
        <v>121</v>
      </c>
      <c r="K1332" s="6" t="s">
        <v>122</v>
      </c>
      <c r="L1332" s="11">
        <f>F1332*Controls!$B$6</f>
        <v>37</v>
      </c>
      <c r="M1332" s="11">
        <f>G1332*Controls!$B$6</f>
        <v>4625</v>
      </c>
      <c r="N1332" s="12">
        <f>IF(L1332=0,0,SUMIFS('PSI Plan'!$N$6:$N$173,'PSI Plan'!$B$6:$B$173,B1332,'PSI Plan'!$C$6:$C$173,I1332))</f>
        <v>0</v>
      </c>
      <c r="O1332" s="11">
        <f t="shared" si="40"/>
        <v>0</v>
      </c>
      <c r="P1332" s="11">
        <f t="shared" si="41"/>
        <v>0</v>
      </c>
      <c r="Q1332" s="6"/>
      <c r="R1332" s="6"/>
      <c r="S1332" s="6"/>
      <c r="T1332" s="6"/>
    </row>
    <row r="1333" spans="1:20">
      <c r="A1333" s="6" t="s">
        <v>1481</v>
      </c>
      <c r="B1333" s="6" t="s">
        <v>69</v>
      </c>
      <c r="C1333" s="6" t="s">
        <v>90</v>
      </c>
      <c r="D1333" s="6" t="s">
        <v>119</v>
      </c>
      <c r="E1333" s="6" t="s">
        <v>120</v>
      </c>
      <c r="F1333" s="7">
        <v>79</v>
      </c>
      <c r="G1333" s="7">
        <v>9875</v>
      </c>
      <c r="H1333" s="16">
        <v>45248</v>
      </c>
      <c r="I1333" s="6">
        <v>46</v>
      </c>
      <c r="J1333" s="6" t="s">
        <v>121</v>
      </c>
      <c r="K1333" s="6" t="s">
        <v>122</v>
      </c>
      <c r="L1333" s="11">
        <f>F1333*Controls!$B$6</f>
        <v>79</v>
      </c>
      <c r="M1333" s="11">
        <f>G1333*Controls!$B$6</f>
        <v>9875</v>
      </c>
      <c r="N1333" s="12">
        <f>IF(L1333=0,0,SUMIFS('PSI Plan'!$N$6:$N$173,'PSI Plan'!$B$6:$B$173,B1333,'PSI Plan'!$C$6:$C$173,I1333))</f>
        <v>0</v>
      </c>
      <c r="O1333" s="11">
        <f t="shared" si="40"/>
        <v>0</v>
      </c>
      <c r="P1333" s="11">
        <f t="shared" si="41"/>
        <v>0</v>
      </c>
      <c r="Q1333" s="6"/>
      <c r="R1333" s="6"/>
      <c r="S1333" s="6"/>
      <c r="T1333" s="6"/>
    </row>
    <row r="1334" spans="1:20">
      <c r="A1334" s="6" t="s">
        <v>1482</v>
      </c>
      <c r="B1334" s="6" t="s">
        <v>66</v>
      </c>
      <c r="C1334" s="6" t="s">
        <v>99</v>
      </c>
      <c r="D1334" s="6" t="s">
        <v>319</v>
      </c>
      <c r="E1334" s="6" t="s">
        <v>120</v>
      </c>
      <c r="F1334" s="7">
        <v>52</v>
      </c>
      <c r="G1334" s="7">
        <v>6500</v>
      </c>
      <c r="H1334" s="16">
        <v>45258</v>
      </c>
      <c r="I1334" s="6">
        <v>48</v>
      </c>
      <c r="J1334" s="6" t="s">
        <v>121</v>
      </c>
      <c r="K1334" s="6" t="s">
        <v>344</v>
      </c>
      <c r="L1334" s="11">
        <f>F1334*Controls!$B$6</f>
        <v>52</v>
      </c>
      <c r="M1334" s="11">
        <f>G1334*Controls!$B$6</f>
        <v>6500</v>
      </c>
      <c r="N1334" s="12">
        <f>IF(L1334=0,0,SUMIFS('PSI Plan'!$N$6:$N$173,'PSI Plan'!$B$6:$B$173,B1334,'PSI Plan'!$C$6:$C$173,I1334))</f>
        <v>0</v>
      </c>
      <c r="O1334" s="11">
        <f t="shared" si="40"/>
        <v>0</v>
      </c>
      <c r="P1334" s="11">
        <f t="shared" si="41"/>
        <v>0</v>
      </c>
      <c r="Q1334" s="6"/>
      <c r="R1334" s="6"/>
      <c r="S1334" s="6"/>
      <c r="T1334" s="6"/>
    </row>
    <row r="1335" spans="1:20">
      <c r="A1335" s="6" t="s">
        <v>1483</v>
      </c>
      <c r="B1335" s="6" t="s">
        <v>77</v>
      </c>
      <c r="C1335" s="6" t="s">
        <v>99</v>
      </c>
      <c r="D1335" s="6" t="s">
        <v>319</v>
      </c>
      <c r="E1335" s="6" t="s">
        <v>120</v>
      </c>
      <c r="F1335" s="7">
        <v>52</v>
      </c>
      <c r="G1335" s="7">
        <v>6500</v>
      </c>
      <c r="H1335" s="16">
        <v>45241</v>
      </c>
      <c r="I1335" s="6">
        <v>45</v>
      </c>
      <c r="J1335" s="6" t="s">
        <v>121</v>
      </c>
      <c r="K1335" s="6" t="s">
        <v>344</v>
      </c>
      <c r="L1335" s="11">
        <f>F1335*Controls!$B$6</f>
        <v>52</v>
      </c>
      <c r="M1335" s="11">
        <f>G1335*Controls!$B$6</f>
        <v>6500</v>
      </c>
      <c r="N1335" s="12">
        <f>IF(L1335=0,0,SUMIFS('PSI Plan'!$N$6:$N$173,'PSI Plan'!$B$6:$B$173,B1335,'PSI Plan'!$C$6:$C$173,I1335))</f>
        <v>0</v>
      </c>
      <c r="O1335" s="11">
        <f t="shared" si="40"/>
        <v>0</v>
      </c>
      <c r="P1335" s="11">
        <f t="shared" si="41"/>
        <v>0</v>
      </c>
      <c r="Q1335" s="6"/>
      <c r="R1335" s="6"/>
      <c r="S1335" s="6"/>
      <c r="T1335" s="6"/>
    </row>
    <row r="1336" spans="1:20">
      <c r="A1336" s="6" t="s">
        <v>1484</v>
      </c>
      <c r="B1336" s="6" t="s">
        <v>67</v>
      </c>
      <c r="C1336" s="6" t="s">
        <v>99</v>
      </c>
      <c r="D1336" s="6" t="s">
        <v>319</v>
      </c>
      <c r="E1336" s="6" t="s">
        <v>120</v>
      </c>
      <c r="F1336" s="7">
        <v>52</v>
      </c>
      <c r="G1336" s="7">
        <v>6500</v>
      </c>
      <c r="H1336" s="16">
        <v>45207</v>
      </c>
      <c r="I1336" s="6">
        <v>41</v>
      </c>
      <c r="J1336" s="6" t="s">
        <v>121</v>
      </c>
      <c r="K1336" s="6" t="s">
        <v>344</v>
      </c>
      <c r="L1336" s="11">
        <f>F1336*Controls!$B$6</f>
        <v>52</v>
      </c>
      <c r="M1336" s="11">
        <f>G1336*Controls!$B$6</f>
        <v>6500</v>
      </c>
      <c r="N1336" s="12">
        <f>IF(L1336=0,0,SUMIFS('PSI Plan'!$N$6:$N$173,'PSI Plan'!$B$6:$B$173,B1336,'PSI Plan'!$C$6:$C$173,I1336))</f>
        <v>0</v>
      </c>
      <c r="O1336" s="11">
        <f t="shared" si="40"/>
        <v>0</v>
      </c>
      <c r="P1336" s="11">
        <f t="shared" si="41"/>
        <v>0</v>
      </c>
      <c r="Q1336" s="6"/>
      <c r="R1336" s="6"/>
      <c r="S1336" s="6"/>
      <c r="T1336" s="6"/>
    </row>
    <row r="1337" spans="1:20">
      <c r="A1337" s="6" t="s">
        <v>1485</v>
      </c>
      <c r="B1337" s="6" t="s">
        <v>69</v>
      </c>
      <c r="C1337" s="6" t="s">
        <v>99</v>
      </c>
      <c r="D1337" s="6" t="s">
        <v>319</v>
      </c>
      <c r="E1337" s="6" t="s">
        <v>120</v>
      </c>
      <c r="F1337" s="7">
        <v>52</v>
      </c>
      <c r="G1337" s="7">
        <v>6500</v>
      </c>
      <c r="H1337" s="16">
        <v>45246</v>
      </c>
      <c r="I1337" s="6">
        <v>46</v>
      </c>
      <c r="J1337" s="6" t="s">
        <v>121</v>
      </c>
      <c r="K1337" s="6" t="s">
        <v>344</v>
      </c>
      <c r="L1337" s="11">
        <f>F1337*Controls!$B$6</f>
        <v>52</v>
      </c>
      <c r="M1337" s="11">
        <f>G1337*Controls!$B$6</f>
        <v>6500</v>
      </c>
      <c r="N1337" s="12">
        <f>IF(L1337=0,0,SUMIFS('PSI Plan'!$N$6:$N$173,'PSI Plan'!$B$6:$B$173,B1337,'PSI Plan'!$C$6:$C$173,I1337))</f>
        <v>0</v>
      </c>
      <c r="O1337" s="11">
        <f t="shared" si="40"/>
        <v>0</v>
      </c>
      <c r="P1337" s="11">
        <f t="shared" si="41"/>
        <v>0</v>
      </c>
      <c r="Q1337" s="6"/>
      <c r="R1337" s="6"/>
      <c r="S1337" s="6"/>
      <c r="T1337" s="6"/>
    </row>
    <row r="1338" spans="1:20">
      <c r="A1338" s="6" t="s">
        <v>1486</v>
      </c>
      <c r="B1338" s="6" t="s">
        <v>66</v>
      </c>
      <c r="C1338" s="6" t="s">
        <v>90</v>
      </c>
      <c r="D1338" s="6" t="s">
        <v>119</v>
      </c>
      <c r="E1338" s="6" t="s">
        <v>120</v>
      </c>
      <c r="F1338" s="7">
        <v>13</v>
      </c>
      <c r="G1338" s="7">
        <v>1625</v>
      </c>
      <c r="H1338" s="16">
        <v>45255</v>
      </c>
      <c r="I1338" s="6">
        <v>47</v>
      </c>
      <c r="J1338" s="6" t="s">
        <v>121</v>
      </c>
      <c r="K1338" s="6" t="s">
        <v>855</v>
      </c>
      <c r="L1338" s="11">
        <f>F1338*Controls!$B$6</f>
        <v>13</v>
      </c>
      <c r="M1338" s="11">
        <f>G1338*Controls!$B$6</f>
        <v>1625</v>
      </c>
      <c r="N1338" s="12">
        <f>IF(L1338=0,0,SUMIFS('PSI Plan'!$N$6:$N$173,'PSI Plan'!$B$6:$B$173,B1338,'PSI Plan'!$C$6:$C$173,I1338))</f>
        <v>0</v>
      </c>
      <c r="O1338" s="11">
        <f t="shared" si="40"/>
        <v>0</v>
      </c>
      <c r="P1338" s="11">
        <f t="shared" si="41"/>
        <v>0</v>
      </c>
      <c r="Q1338" s="6"/>
      <c r="R1338" s="6"/>
      <c r="S1338" s="6"/>
      <c r="T1338" s="6"/>
    </row>
    <row r="1339" spans="1:20">
      <c r="A1339" s="6" t="s">
        <v>1487</v>
      </c>
      <c r="B1339" s="6" t="s">
        <v>77</v>
      </c>
      <c r="C1339" s="6" t="s">
        <v>90</v>
      </c>
      <c r="D1339" s="6" t="s">
        <v>119</v>
      </c>
      <c r="E1339" s="6" t="s">
        <v>120</v>
      </c>
      <c r="F1339" s="7">
        <v>13</v>
      </c>
      <c r="G1339" s="7">
        <v>1625</v>
      </c>
      <c r="H1339" s="16">
        <v>45205</v>
      </c>
      <c r="I1339" s="6">
        <v>40</v>
      </c>
      <c r="J1339" s="6" t="s">
        <v>121</v>
      </c>
      <c r="K1339" s="6" t="s">
        <v>855</v>
      </c>
      <c r="L1339" s="11">
        <f>F1339*Controls!$B$6</f>
        <v>13</v>
      </c>
      <c r="M1339" s="11">
        <f>G1339*Controls!$B$6</f>
        <v>1625</v>
      </c>
      <c r="N1339" s="12">
        <f>IF(L1339=0,0,SUMIFS('PSI Plan'!$N$6:$N$173,'PSI Plan'!$B$6:$B$173,B1339,'PSI Plan'!$C$6:$C$173,I1339))</f>
        <v>0</v>
      </c>
      <c r="O1339" s="11">
        <f t="shared" si="40"/>
        <v>0</v>
      </c>
      <c r="P1339" s="11">
        <f t="shared" si="41"/>
        <v>0</v>
      </c>
      <c r="Q1339" s="6"/>
      <c r="R1339" s="6"/>
      <c r="S1339" s="6"/>
      <c r="T1339" s="6"/>
    </row>
    <row r="1340" spans="1:20">
      <c r="A1340" s="6" t="s">
        <v>1488</v>
      </c>
      <c r="B1340" s="6" t="s">
        <v>66</v>
      </c>
      <c r="C1340" s="6" t="s">
        <v>90</v>
      </c>
      <c r="D1340" s="6" t="s">
        <v>119</v>
      </c>
      <c r="E1340" s="6" t="s">
        <v>120</v>
      </c>
      <c r="F1340" s="7">
        <v>13</v>
      </c>
      <c r="G1340" s="7">
        <v>1625</v>
      </c>
      <c r="H1340" s="16">
        <v>45234</v>
      </c>
      <c r="I1340" s="6">
        <v>44</v>
      </c>
      <c r="J1340" s="6" t="s">
        <v>121</v>
      </c>
      <c r="K1340" s="6" t="s">
        <v>171</v>
      </c>
      <c r="L1340" s="11">
        <f>F1340*Controls!$B$6</f>
        <v>13</v>
      </c>
      <c r="M1340" s="11">
        <f>G1340*Controls!$B$6</f>
        <v>1625</v>
      </c>
      <c r="N1340" s="12">
        <f>IF(L1340=0,0,SUMIFS('PSI Plan'!$N$6:$N$173,'PSI Plan'!$B$6:$B$173,B1340,'PSI Plan'!$C$6:$C$173,I1340))</f>
        <v>0</v>
      </c>
      <c r="O1340" s="11">
        <f t="shared" si="40"/>
        <v>0</v>
      </c>
      <c r="P1340" s="11">
        <f t="shared" si="41"/>
        <v>0</v>
      </c>
      <c r="Q1340" s="6"/>
      <c r="R1340" s="6"/>
      <c r="S1340" s="6"/>
      <c r="T1340" s="6"/>
    </row>
    <row r="1341" spans="1:20">
      <c r="A1341" s="6" t="s">
        <v>1489</v>
      </c>
      <c r="B1341" s="6" t="s">
        <v>76</v>
      </c>
      <c r="C1341" s="6" t="s">
        <v>90</v>
      </c>
      <c r="D1341" s="6" t="s">
        <v>119</v>
      </c>
      <c r="E1341" s="6" t="s">
        <v>120</v>
      </c>
      <c r="F1341" s="7">
        <v>13</v>
      </c>
      <c r="G1341" s="7">
        <v>1625</v>
      </c>
      <c r="H1341" s="16">
        <v>45209</v>
      </c>
      <c r="I1341" s="6">
        <v>41</v>
      </c>
      <c r="J1341" s="6" t="s">
        <v>121</v>
      </c>
      <c r="K1341" s="6" t="s">
        <v>171</v>
      </c>
      <c r="L1341" s="11">
        <f>F1341*Controls!$B$6</f>
        <v>13</v>
      </c>
      <c r="M1341" s="11">
        <f>G1341*Controls!$B$6</f>
        <v>1625</v>
      </c>
      <c r="N1341" s="12">
        <f>IF(L1341=0,0,SUMIFS('PSI Plan'!$N$6:$N$173,'PSI Plan'!$B$6:$B$173,B1341,'PSI Plan'!$C$6:$C$173,I1341))</f>
        <v>0</v>
      </c>
      <c r="O1341" s="11">
        <f t="shared" si="40"/>
        <v>0</v>
      </c>
      <c r="P1341" s="11">
        <f t="shared" si="41"/>
        <v>0</v>
      </c>
      <c r="Q1341" s="6"/>
      <c r="R1341" s="6"/>
      <c r="S1341" s="6"/>
      <c r="T1341" s="6"/>
    </row>
    <row r="1342" spans="1:20">
      <c r="A1342" s="6" t="s">
        <v>1490</v>
      </c>
      <c r="B1342" s="6" t="s">
        <v>77</v>
      </c>
      <c r="C1342" s="6" t="s">
        <v>90</v>
      </c>
      <c r="D1342" s="6" t="s">
        <v>119</v>
      </c>
      <c r="E1342" s="6" t="s">
        <v>120</v>
      </c>
      <c r="F1342" s="7">
        <v>27</v>
      </c>
      <c r="G1342" s="7">
        <v>3375</v>
      </c>
      <c r="H1342" s="16">
        <v>45287</v>
      </c>
      <c r="I1342" s="6">
        <v>52</v>
      </c>
      <c r="J1342" s="6" t="s">
        <v>121</v>
      </c>
      <c r="K1342" s="6" t="s">
        <v>122</v>
      </c>
      <c r="L1342" s="11">
        <f>F1342*Controls!$B$6</f>
        <v>27</v>
      </c>
      <c r="M1342" s="11">
        <f>G1342*Controls!$B$6</f>
        <v>3375</v>
      </c>
      <c r="N1342" s="12">
        <f>IF(L1342=0,0,SUMIFS('PSI Plan'!$N$6:$N$173,'PSI Plan'!$B$6:$B$173,B1342,'PSI Plan'!$C$6:$C$173,I1342))</f>
        <v>0</v>
      </c>
      <c r="O1342" s="11">
        <f t="shared" si="40"/>
        <v>0</v>
      </c>
      <c r="P1342" s="11">
        <f t="shared" si="41"/>
        <v>0</v>
      </c>
      <c r="Q1342" s="6"/>
      <c r="R1342" s="6"/>
      <c r="S1342" s="6"/>
      <c r="T1342" s="6"/>
    </row>
    <row r="1343" spans="1:20">
      <c r="A1343" s="6" t="s">
        <v>1491</v>
      </c>
      <c r="B1343" s="6" t="s">
        <v>69</v>
      </c>
      <c r="C1343" s="6" t="s">
        <v>90</v>
      </c>
      <c r="D1343" s="6" t="s">
        <v>119</v>
      </c>
      <c r="E1343" s="6" t="s">
        <v>120</v>
      </c>
      <c r="F1343" s="7">
        <v>78</v>
      </c>
      <c r="G1343" s="7">
        <v>9750</v>
      </c>
      <c r="H1343" s="16">
        <v>45253</v>
      </c>
      <c r="I1343" s="6">
        <v>47</v>
      </c>
      <c r="J1343" s="6" t="s">
        <v>121</v>
      </c>
      <c r="K1343" s="6" t="s">
        <v>122</v>
      </c>
      <c r="L1343" s="11">
        <f>F1343*Controls!$B$6</f>
        <v>78</v>
      </c>
      <c r="M1343" s="11">
        <f>G1343*Controls!$B$6</f>
        <v>9750</v>
      </c>
      <c r="N1343" s="12">
        <f>IF(L1343=0,0,SUMIFS('PSI Plan'!$N$6:$N$173,'PSI Plan'!$B$6:$B$173,B1343,'PSI Plan'!$C$6:$C$173,I1343))</f>
        <v>0</v>
      </c>
      <c r="O1343" s="11">
        <f t="shared" si="40"/>
        <v>0</v>
      </c>
      <c r="P1343" s="11">
        <f t="shared" si="41"/>
        <v>0</v>
      </c>
      <c r="Q1343" s="6"/>
      <c r="R1343" s="6"/>
      <c r="S1343" s="6"/>
      <c r="T1343" s="6"/>
    </row>
    <row r="1344" spans="1:20">
      <c r="A1344" s="6" t="s">
        <v>1492</v>
      </c>
      <c r="B1344" s="6" t="s">
        <v>77</v>
      </c>
      <c r="C1344" s="6" t="s">
        <v>90</v>
      </c>
      <c r="D1344" s="6" t="s">
        <v>119</v>
      </c>
      <c r="E1344" s="6" t="s">
        <v>120</v>
      </c>
      <c r="F1344" s="7">
        <v>2</v>
      </c>
      <c r="G1344" s="7">
        <v>250</v>
      </c>
      <c r="H1344" s="16">
        <v>45283</v>
      </c>
      <c r="I1344" s="6">
        <v>51</v>
      </c>
      <c r="J1344" s="6" t="s">
        <v>121</v>
      </c>
      <c r="K1344" s="6" t="s">
        <v>298</v>
      </c>
      <c r="L1344" s="11">
        <f>F1344*Controls!$B$6</f>
        <v>2</v>
      </c>
      <c r="M1344" s="11">
        <f>G1344*Controls!$B$6</f>
        <v>250</v>
      </c>
      <c r="N1344" s="12">
        <f>IF(L1344=0,0,SUMIFS('PSI Plan'!$N$6:$N$173,'PSI Plan'!$B$6:$B$173,B1344,'PSI Plan'!$C$6:$C$173,I1344))</f>
        <v>0</v>
      </c>
      <c r="O1344" s="11">
        <f t="shared" si="40"/>
        <v>0</v>
      </c>
      <c r="P1344" s="11">
        <f t="shared" si="41"/>
        <v>0</v>
      </c>
      <c r="Q1344" s="6"/>
      <c r="R1344" s="6"/>
      <c r="S1344" s="6"/>
      <c r="T1344" s="6"/>
    </row>
    <row r="1345" spans="1:20">
      <c r="A1345" s="6" t="s">
        <v>1493</v>
      </c>
      <c r="B1345" s="6" t="s">
        <v>69</v>
      </c>
      <c r="C1345" s="6" t="s">
        <v>90</v>
      </c>
      <c r="D1345" s="6" t="s">
        <v>119</v>
      </c>
      <c r="E1345" s="6" t="s">
        <v>120</v>
      </c>
      <c r="F1345" s="7">
        <v>14</v>
      </c>
      <c r="G1345" s="7">
        <v>1750</v>
      </c>
      <c r="H1345" s="16">
        <v>45226</v>
      </c>
      <c r="I1345" s="6">
        <v>43</v>
      </c>
      <c r="J1345" s="6" t="s">
        <v>121</v>
      </c>
      <c r="K1345" s="6" t="s">
        <v>298</v>
      </c>
      <c r="L1345" s="11">
        <f>F1345*Controls!$B$6</f>
        <v>14</v>
      </c>
      <c r="M1345" s="11">
        <f>G1345*Controls!$B$6</f>
        <v>1750</v>
      </c>
      <c r="N1345" s="12">
        <f>IF(L1345=0,0,SUMIFS('PSI Plan'!$N$6:$N$173,'PSI Plan'!$B$6:$B$173,B1345,'PSI Plan'!$C$6:$C$173,I1345))</f>
        <v>0</v>
      </c>
      <c r="O1345" s="11">
        <f t="shared" si="40"/>
        <v>0</v>
      </c>
      <c r="P1345" s="11">
        <f t="shared" si="41"/>
        <v>0</v>
      </c>
      <c r="Q1345" s="6"/>
      <c r="R1345" s="6"/>
      <c r="S1345" s="6"/>
      <c r="T1345" s="6"/>
    </row>
    <row r="1346" spans="1:20">
      <c r="A1346" s="6" t="s">
        <v>1494</v>
      </c>
      <c r="B1346" s="6" t="s">
        <v>77</v>
      </c>
      <c r="C1346" s="6" t="s">
        <v>90</v>
      </c>
      <c r="D1346" s="6" t="s">
        <v>119</v>
      </c>
      <c r="E1346" s="6" t="s">
        <v>120</v>
      </c>
      <c r="F1346" s="7">
        <v>3</v>
      </c>
      <c r="G1346" s="7">
        <v>375</v>
      </c>
      <c r="H1346" s="16">
        <v>45286</v>
      </c>
      <c r="I1346" s="6">
        <v>52</v>
      </c>
      <c r="J1346" s="6" t="s">
        <v>121</v>
      </c>
      <c r="K1346" s="6" t="s">
        <v>132</v>
      </c>
      <c r="L1346" s="11">
        <f>F1346*Controls!$B$6</f>
        <v>3</v>
      </c>
      <c r="M1346" s="11">
        <f>G1346*Controls!$B$6</f>
        <v>375</v>
      </c>
      <c r="N1346" s="12">
        <f>IF(L1346=0,0,SUMIFS('PSI Plan'!$N$6:$N$173,'PSI Plan'!$B$6:$B$173,B1346,'PSI Plan'!$C$6:$C$173,I1346))</f>
        <v>0</v>
      </c>
      <c r="O1346" s="11">
        <f t="shared" ref="O1346:O1409" si="42">L1346*N1346</f>
        <v>0</v>
      </c>
      <c r="P1346" s="11">
        <f t="shared" ref="P1346:P1409" si="43">M1346*N1346</f>
        <v>0</v>
      </c>
      <c r="Q1346" s="6"/>
      <c r="R1346" s="6"/>
      <c r="S1346" s="6"/>
      <c r="T1346" s="6"/>
    </row>
    <row r="1347" spans="1:20">
      <c r="A1347" s="6" t="s">
        <v>1495</v>
      </c>
      <c r="B1347" s="6" t="s">
        <v>69</v>
      </c>
      <c r="C1347" s="6" t="s">
        <v>90</v>
      </c>
      <c r="D1347" s="6" t="s">
        <v>119</v>
      </c>
      <c r="E1347" s="6" t="s">
        <v>120</v>
      </c>
      <c r="F1347" s="7">
        <v>5</v>
      </c>
      <c r="G1347" s="7">
        <v>625</v>
      </c>
      <c r="H1347" s="16">
        <v>45262</v>
      </c>
      <c r="I1347" s="6">
        <v>48</v>
      </c>
      <c r="J1347" s="6" t="s">
        <v>121</v>
      </c>
      <c r="K1347" s="6" t="s">
        <v>132</v>
      </c>
      <c r="L1347" s="11">
        <f>F1347*Controls!$B$6</f>
        <v>5</v>
      </c>
      <c r="M1347" s="11">
        <f>G1347*Controls!$B$6</f>
        <v>625</v>
      </c>
      <c r="N1347" s="12">
        <f>IF(L1347=0,0,SUMIFS('PSI Plan'!$N$6:$N$173,'PSI Plan'!$B$6:$B$173,B1347,'PSI Plan'!$C$6:$C$173,I1347))</f>
        <v>0</v>
      </c>
      <c r="O1347" s="11">
        <f t="shared" si="42"/>
        <v>0</v>
      </c>
      <c r="P1347" s="11">
        <f t="shared" si="43"/>
        <v>0</v>
      </c>
      <c r="Q1347" s="6"/>
      <c r="R1347" s="6"/>
      <c r="S1347" s="6"/>
      <c r="T1347" s="6"/>
    </row>
    <row r="1348" spans="1:20">
      <c r="A1348" s="6" t="s">
        <v>1496</v>
      </c>
      <c r="B1348" s="6" t="s">
        <v>66</v>
      </c>
      <c r="C1348" s="6" t="s">
        <v>90</v>
      </c>
      <c r="D1348" s="6" t="s">
        <v>119</v>
      </c>
      <c r="E1348" s="6" t="s">
        <v>120</v>
      </c>
      <c r="F1348" s="7">
        <v>4</v>
      </c>
      <c r="G1348" s="7">
        <v>500</v>
      </c>
      <c r="H1348" s="16">
        <v>45225</v>
      </c>
      <c r="I1348" s="6">
        <v>43</v>
      </c>
      <c r="J1348" s="6" t="s">
        <v>121</v>
      </c>
      <c r="K1348" s="6" t="s">
        <v>139</v>
      </c>
      <c r="L1348" s="11">
        <f>F1348*Controls!$B$6</f>
        <v>4</v>
      </c>
      <c r="M1348" s="11">
        <f>G1348*Controls!$B$6</f>
        <v>500</v>
      </c>
      <c r="N1348" s="12">
        <f>IF(L1348=0,0,SUMIFS('PSI Plan'!$N$6:$N$173,'PSI Plan'!$B$6:$B$173,B1348,'PSI Plan'!$C$6:$C$173,I1348))</f>
        <v>0</v>
      </c>
      <c r="O1348" s="11">
        <f t="shared" si="42"/>
        <v>0</v>
      </c>
      <c r="P1348" s="11">
        <f t="shared" si="43"/>
        <v>0</v>
      </c>
      <c r="Q1348" s="6"/>
      <c r="R1348" s="6"/>
      <c r="S1348" s="6"/>
      <c r="T1348" s="6"/>
    </row>
    <row r="1349" spans="1:20">
      <c r="A1349" s="6" t="s">
        <v>1497</v>
      </c>
      <c r="B1349" s="6" t="s">
        <v>77</v>
      </c>
      <c r="C1349" s="6" t="s">
        <v>90</v>
      </c>
      <c r="D1349" s="6" t="s">
        <v>119</v>
      </c>
      <c r="E1349" s="6" t="s">
        <v>120</v>
      </c>
      <c r="F1349" s="7">
        <v>24</v>
      </c>
      <c r="G1349" s="7">
        <v>3000</v>
      </c>
      <c r="H1349" s="16">
        <v>45224</v>
      </c>
      <c r="I1349" s="6">
        <v>43</v>
      </c>
      <c r="J1349" s="6" t="s">
        <v>121</v>
      </c>
      <c r="K1349" s="6" t="s">
        <v>139</v>
      </c>
      <c r="L1349" s="11">
        <f>F1349*Controls!$B$6</f>
        <v>24</v>
      </c>
      <c r="M1349" s="11">
        <f>G1349*Controls!$B$6</f>
        <v>3000</v>
      </c>
      <c r="N1349" s="12">
        <f>IF(L1349=0,0,SUMIFS('PSI Plan'!$N$6:$N$173,'PSI Plan'!$B$6:$B$173,B1349,'PSI Plan'!$C$6:$C$173,I1349))</f>
        <v>0</v>
      </c>
      <c r="O1349" s="11">
        <f t="shared" si="42"/>
        <v>0</v>
      </c>
      <c r="P1349" s="11">
        <f t="shared" si="43"/>
        <v>0</v>
      </c>
      <c r="Q1349" s="6"/>
      <c r="R1349" s="6"/>
      <c r="S1349" s="6"/>
      <c r="T1349" s="6"/>
    </row>
    <row r="1350" spans="1:20">
      <c r="A1350" s="6" t="s">
        <v>1498</v>
      </c>
      <c r="B1350" s="6" t="s">
        <v>76</v>
      </c>
      <c r="C1350" s="6" t="s">
        <v>90</v>
      </c>
      <c r="D1350" s="6" t="s">
        <v>119</v>
      </c>
      <c r="E1350" s="6" t="s">
        <v>120</v>
      </c>
      <c r="F1350" s="7">
        <v>11</v>
      </c>
      <c r="G1350" s="7">
        <v>1375</v>
      </c>
      <c r="H1350" s="16">
        <v>45234</v>
      </c>
      <c r="I1350" s="6">
        <v>44</v>
      </c>
      <c r="J1350" s="6" t="s">
        <v>121</v>
      </c>
      <c r="K1350" s="6" t="s">
        <v>139</v>
      </c>
      <c r="L1350" s="11">
        <f>F1350*Controls!$B$6</f>
        <v>11</v>
      </c>
      <c r="M1350" s="11">
        <f>G1350*Controls!$B$6</f>
        <v>1375</v>
      </c>
      <c r="N1350" s="12">
        <f>IF(L1350=0,0,SUMIFS('PSI Plan'!$N$6:$N$173,'PSI Plan'!$B$6:$B$173,B1350,'PSI Plan'!$C$6:$C$173,I1350))</f>
        <v>0</v>
      </c>
      <c r="O1350" s="11">
        <f t="shared" si="42"/>
        <v>0</v>
      </c>
      <c r="P1350" s="11">
        <f t="shared" si="43"/>
        <v>0</v>
      </c>
      <c r="Q1350" s="6"/>
      <c r="R1350" s="6"/>
      <c r="S1350" s="6"/>
      <c r="T1350" s="6"/>
    </row>
    <row r="1351" spans="1:20">
      <c r="A1351" s="6" t="s">
        <v>1499</v>
      </c>
      <c r="B1351" s="6" t="s">
        <v>69</v>
      </c>
      <c r="C1351" s="6" t="s">
        <v>90</v>
      </c>
      <c r="D1351" s="6" t="s">
        <v>119</v>
      </c>
      <c r="E1351" s="6" t="s">
        <v>120</v>
      </c>
      <c r="F1351" s="7">
        <v>24</v>
      </c>
      <c r="G1351" s="7">
        <v>3000</v>
      </c>
      <c r="H1351" s="16">
        <v>45239</v>
      </c>
      <c r="I1351" s="6">
        <v>45</v>
      </c>
      <c r="J1351" s="6" t="s">
        <v>121</v>
      </c>
      <c r="K1351" s="6" t="s">
        <v>139</v>
      </c>
      <c r="L1351" s="11">
        <f>F1351*Controls!$B$6</f>
        <v>24</v>
      </c>
      <c r="M1351" s="11">
        <f>G1351*Controls!$B$6</f>
        <v>3000</v>
      </c>
      <c r="N1351" s="12">
        <f>IF(L1351=0,0,SUMIFS('PSI Plan'!$N$6:$N$173,'PSI Plan'!$B$6:$B$173,B1351,'PSI Plan'!$C$6:$C$173,I1351))</f>
        <v>0</v>
      </c>
      <c r="O1351" s="11">
        <f t="shared" si="42"/>
        <v>0</v>
      </c>
      <c r="P1351" s="11">
        <f t="shared" si="43"/>
        <v>0</v>
      </c>
      <c r="Q1351" s="6"/>
      <c r="R1351" s="6"/>
      <c r="S1351" s="6"/>
      <c r="T1351" s="6"/>
    </row>
    <row r="1352" spans="1:20">
      <c r="A1352" s="6" t="s">
        <v>1500</v>
      </c>
      <c r="B1352" s="6" t="s">
        <v>66</v>
      </c>
      <c r="C1352" s="6" t="s">
        <v>99</v>
      </c>
      <c r="D1352" s="6" t="s">
        <v>319</v>
      </c>
      <c r="E1352" s="6" t="s">
        <v>120</v>
      </c>
      <c r="F1352" s="7">
        <v>52</v>
      </c>
      <c r="G1352" s="7">
        <v>6500</v>
      </c>
      <c r="H1352" s="16">
        <v>45243</v>
      </c>
      <c r="I1352" s="6">
        <v>46</v>
      </c>
      <c r="J1352" s="6" t="s">
        <v>121</v>
      </c>
      <c r="K1352" s="6" t="s">
        <v>344</v>
      </c>
      <c r="L1352" s="11">
        <f>F1352*Controls!$B$6</f>
        <v>52</v>
      </c>
      <c r="M1352" s="11">
        <f>G1352*Controls!$B$6</f>
        <v>6500</v>
      </c>
      <c r="N1352" s="12">
        <f>IF(L1352=0,0,SUMIFS('PSI Plan'!$N$6:$N$173,'PSI Plan'!$B$6:$B$173,B1352,'PSI Plan'!$C$6:$C$173,I1352))</f>
        <v>0</v>
      </c>
      <c r="O1352" s="11">
        <f t="shared" si="42"/>
        <v>0</v>
      </c>
      <c r="P1352" s="11">
        <f t="shared" si="43"/>
        <v>0</v>
      </c>
      <c r="Q1352" s="6"/>
      <c r="R1352" s="6"/>
      <c r="S1352" s="6"/>
      <c r="T1352" s="6"/>
    </row>
    <row r="1353" spans="1:20">
      <c r="A1353" s="6" t="s">
        <v>1501</v>
      </c>
      <c r="B1353" s="6" t="s">
        <v>67</v>
      </c>
      <c r="C1353" s="6" t="s">
        <v>99</v>
      </c>
      <c r="D1353" s="6" t="s">
        <v>319</v>
      </c>
      <c r="E1353" s="6" t="s">
        <v>120</v>
      </c>
      <c r="F1353" s="7">
        <v>52</v>
      </c>
      <c r="G1353" s="7">
        <v>6500</v>
      </c>
      <c r="H1353" s="16">
        <v>45281</v>
      </c>
      <c r="I1353" s="6">
        <v>51</v>
      </c>
      <c r="J1353" s="6" t="s">
        <v>121</v>
      </c>
      <c r="K1353" s="6" t="s">
        <v>344</v>
      </c>
      <c r="L1353" s="11">
        <f>F1353*Controls!$B$6</f>
        <v>52</v>
      </c>
      <c r="M1353" s="11">
        <f>G1353*Controls!$B$6</f>
        <v>6500</v>
      </c>
      <c r="N1353" s="12">
        <f>IF(L1353=0,0,SUMIFS('PSI Plan'!$N$6:$N$173,'PSI Plan'!$B$6:$B$173,B1353,'PSI Plan'!$C$6:$C$173,I1353))</f>
        <v>0</v>
      </c>
      <c r="O1353" s="11">
        <f t="shared" si="42"/>
        <v>0</v>
      </c>
      <c r="P1353" s="11">
        <f t="shared" si="43"/>
        <v>0</v>
      </c>
      <c r="Q1353" s="6"/>
      <c r="R1353" s="6"/>
      <c r="S1353" s="6"/>
      <c r="T1353" s="6"/>
    </row>
    <row r="1354" spans="1:20">
      <c r="A1354" s="6" t="s">
        <v>1502</v>
      </c>
      <c r="B1354" s="6" t="s">
        <v>66</v>
      </c>
      <c r="C1354" s="6" t="s">
        <v>99</v>
      </c>
      <c r="D1354" s="6" t="s">
        <v>319</v>
      </c>
      <c r="E1354" s="6" t="s">
        <v>120</v>
      </c>
      <c r="F1354" s="7">
        <v>120</v>
      </c>
      <c r="G1354" s="7">
        <v>15000</v>
      </c>
      <c r="H1354" s="16">
        <v>45203</v>
      </c>
      <c r="I1354" s="6">
        <v>40</v>
      </c>
      <c r="J1354" s="6" t="s">
        <v>121</v>
      </c>
      <c r="K1354" s="6" t="s">
        <v>347</v>
      </c>
      <c r="L1354" s="11">
        <f>F1354*Controls!$B$6</f>
        <v>120</v>
      </c>
      <c r="M1354" s="11">
        <f>G1354*Controls!$B$6</f>
        <v>15000</v>
      </c>
      <c r="N1354" s="12">
        <f>IF(L1354=0,0,SUMIFS('PSI Plan'!$N$6:$N$173,'PSI Plan'!$B$6:$B$173,B1354,'PSI Plan'!$C$6:$C$173,I1354))</f>
        <v>0</v>
      </c>
      <c r="O1354" s="11">
        <f t="shared" si="42"/>
        <v>0</v>
      </c>
      <c r="P1354" s="11">
        <f t="shared" si="43"/>
        <v>0</v>
      </c>
      <c r="Q1354" s="6"/>
      <c r="R1354" s="6"/>
      <c r="S1354" s="6"/>
      <c r="T1354" s="6"/>
    </row>
    <row r="1355" spans="1:20">
      <c r="A1355" s="6" t="s">
        <v>1503</v>
      </c>
      <c r="B1355" s="6" t="s">
        <v>77</v>
      </c>
      <c r="C1355" s="6" t="s">
        <v>99</v>
      </c>
      <c r="D1355" s="6" t="s">
        <v>319</v>
      </c>
      <c r="E1355" s="6" t="s">
        <v>120</v>
      </c>
      <c r="F1355" s="7">
        <v>96</v>
      </c>
      <c r="G1355" s="7">
        <v>12000</v>
      </c>
      <c r="H1355" s="16">
        <v>45254</v>
      </c>
      <c r="I1355" s="6">
        <v>47</v>
      </c>
      <c r="J1355" s="6" t="s">
        <v>121</v>
      </c>
      <c r="K1355" s="6" t="s">
        <v>347</v>
      </c>
      <c r="L1355" s="11">
        <f>F1355*Controls!$B$6</f>
        <v>96</v>
      </c>
      <c r="M1355" s="11">
        <f>G1355*Controls!$B$6</f>
        <v>12000</v>
      </c>
      <c r="N1355" s="12">
        <f>IF(L1355=0,0,SUMIFS('PSI Plan'!$N$6:$N$173,'PSI Plan'!$B$6:$B$173,B1355,'PSI Plan'!$C$6:$C$173,I1355))</f>
        <v>0</v>
      </c>
      <c r="O1355" s="11">
        <f t="shared" si="42"/>
        <v>0</v>
      </c>
      <c r="P1355" s="11">
        <f t="shared" si="43"/>
        <v>0</v>
      </c>
      <c r="Q1355" s="6"/>
      <c r="R1355" s="6"/>
      <c r="S1355" s="6"/>
      <c r="T1355" s="6"/>
    </row>
    <row r="1356" spans="1:20">
      <c r="A1356" s="6" t="s">
        <v>1504</v>
      </c>
      <c r="B1356" s="6" t="s">
        <v>76</v>
      </c>
      <c r="C1356" s="6" t="s">
        <v>99</v>
      </c>
      <c r="D1356" s="6" t="s">
        <v>319</v>
      </c>
      <c r="E1356" s="6" t="s">
        <v>120</v>
      </c>
      <c r="F1356" s="7">
        <v>14</v>
      </c>
      <c r="G1356" s="7">
        <v>1750</v>
      </c>
      <c r="H1356" s="16">
        <v>45202</v>
      </c>
      <c r="I1356" s="6">
        <v>40</v>
      </c>
      <c r="J1356" s="6" t="s">
        <v>121</v>
      </c>
      <c r="K1356" s="6" t="s">
        <v>347</v>
      </c>
      <c r="L1356" s="11">
        <f>F1356*Controls!$B$6</f>
        <v>14</v>
      </c>
      <c r="M1356" s="11">
        <f>G1356*Controls!$B$6</f>
        <v>1750</v>
      </c>
      <c r="N1356" s="12">
        <f>IF(L1356=0,0,SUMIFS('PSI Plan'!$N$6:$N$173,'PSI Plan'!$B$6:$B$173,B1356,'PSI Plan'!$C$6:$C$173,I1356))</f>
        <v>0</v>
      </c>
      <c r="O1356" s="11">
        <f t="shared" si="42"/>
        <v>0</v>
      </c>
      <c r="P1356" s="11">
        <f t="shared" si="43"/>
        <v>0</v>
      </c>
      <c r="Q1356" s="6"/>
      <c r="R1356" s="6"/>
      <c r="S1356" s="6"/>
      <c r="T1356" s="6"/>
    </row>
    <row r="1357" spans="1:20">
      <c r="A1357" s="6" t="s">
        <v>1505</v>
      </c>
      <c r="B1357" s="6" t="s">
        <v>69</v>
      </c>
      <c r="C1357" s="6" t="s">
        <v>99</v>
      </c>
      <c r="D1357" s="6" t="s">
        <v>319</v>
      </c>
      <c r="E1357" s="6" t="s">
        <v>120</v>
      </c>
      <c r="F1357" s="7">
        <v>110</v>
      </c>
      <c r="G1357" s="7">
        <v>13750</v>
      </c>
      <c r="H1357" s="16">
        <v>45286</v>
      </c>
      <c r="I1357" s="6">
        <v>52</v>
      </c>
      <c r="J1357" s="6" t="s">
        <v>121</v>
      </c>
      <c r="K1357" s="6" t="s">
        <v>347</v>
      </c>
      <c r="L1357" s="11">
        <f>F1357*Controls!$B$6</f>
        <v>110</v>
      </c>
      <c r="M1357" s="11">
        <f>G1357*Controls!$B$6</f>
        <v>13750</v>
      </c>
      <c r="N1357" s="12">
        <f>IF(L1357=0,0,SUMIFS('PSI Plan'!$N$6:$N$173,'PSI Plan'!$B$6:$B$173,B1357,'PSI Plan'!$C$6:$C$173,I1357))</f>
        <v>0</v>
      </c>
      <c r="O1357" s="11">
        <f t="shared" si="42"/>
        <v>0</v>
      </c>
      <c r="P1357" s="11">
        <f t="shared" si="43"/>
        <v>0</v>
      </c>
      <c r="Q1357" s="6"/>
      <c r="R1357" s="6"/>
      <c r="S1357" s="6"/>
      <c r="T1357" s="6"/>
    </row>
    <row r="1358" spans="1:20">
      <c r="A1358" s="6" t="s">
        <v>1506</v>
      </c>
      <c r="B1358" s="6" t="s">
        <v>76</v>
      </c>
      <c r="C1358" s="6" t="s">
        <v>90</v>
      </c>
      <c r="D1358" s="6" t="s">
        <v>119</v>
      </c>
      <c r="E1358" s="6" t="s">
        <v>120</v>
      </c>
      <c r="F1358" s="7">
        <v>22</v>
      </c>
      <c r="G1358" s="7">
        <v>2750</v>
      </c>
      <c r="H1358" s="16">
        <v>45261</v>
      </c>
      <c r="I1358" s="6">
        <v>48</v>
      </c>
      <c r="J1358" s="6" t="s">
        <v>121</v>
      </c>
      <c r="K1358" s="6" t="s">
        <v>122</v>
      </c>
      <c r="L1358" s="11">
        <f>F1358*Controls!$B$6</f>
        <v>22</v>
      </c>
      <c r="M1358" s="11">
        <f>G1358*Controls!$B$6</f>
        <v>2750</v>
      </c>
      <c r="N1358" s="12">
        <f>IF(L1358=0,0,SUMIFS('PSI Plan'!$N$6:$N$173,'PSI Plan'!$B$6:$B$173,B1358,'PSI Plan'!$C$6:$C$173,I1358))</f>
        <v>0</v>
      </c>
      <c r="O1358" s="11">
        <f t="shared" si="42"/>
        <v>0</v>
      </c>
      <c r="P1358" s="11">
        <f t="shared" si="43"/>
        <v>0</v>
      </c>
      <c r="Q1358" s="6"/>
      <c r="R1358" s="6"/>
      <c r="S1358" s="6"/>
      <c r="T1358" s="6"/>
    </row>
    <row r="1359" spans="1:20">
      <c r="A1359" s="6" t="s">
        <v>1507</v>
      </c>
      <c r="B1359" s="6" t="s">
        <v>67</v>
      </c>
      <c r="C1359" s="6" t="s">
        <v>90</v>
      </c>
      <c r="D1359" s="6" t="s">
        <v>119</v>
      </c>
      <c r="E1359" s="6" t="s">
        <v>120</v>
      </c>
      <c r="F1359" s="7">
        <v>21</v>
      </c>
      <c r="G1359" s="7">
        <v>2625</v>
      </c>
      <c r="H1359" s="16">
        <v>45233</v>
      </c>
      <c r="I1359" s="6">
        <v>44</v>
      </c>
      <c r="J1359" s="6" t="s">
        <v>121</v>
      </c>
      <c r="K1359" s="6" t="s">
        <v>122</v>
      </c>
      <c r="L1359" s="11">
        <f>F1359*Controls!$B$6</f>
        <v>21</v>
      </c>
      <c r="M1359" s="11">
        <f>G1359*Controls!$B$6</f>
        <v>2625</v>
      </c>
      <c r="N1359" s="12">
        <f>IF(L1359=0,0,SUMIFS('PSI Plan'!$N$6:$N$173,'PSI Plan'!$B$6:$B$173,B1359,'PSI Plan'!$C$6:$C$173,I1359))</f>
        <v>0</v>
      </c>
      <c r="O1359" s="11">
        <f t="shared" si="42"/>
        <v>0</v>
      </c>
      <c r="P1359" s="11">
        <f t="shared" si="43"/>
        <v>0</v>
      </c>
      <c r="Q1359" s="6"/>
      <c r="R1359" s="6"/>
      <c r="S1359" s="6"/>
      <c r="T1359" s="6"/>
    </row>
    <row r="1360" spans="1:20">
      <c r="A1360" s="6" t="s">
        <v>1508</v>
      </c>
      <c r="B1360" s="6" t="s">
        <v>77</v>
      </c>
      <c r="C1360" s="6" t="s">
        <v>90</v>
      </c>
      <c r="D1360" s="6" t="s">
        <v>119</v>
      </c>
      <c r="E1360" s="6" t="s">
        <v>120</v>
      </c>
      <c r="F1360" s="7">
        <v>8</v>
      </c>
      <c r="G1360" s="7">
        <v>1000</v>
      </c>
      <c r="H1360" s="16">
        <v>45282</v>
      </c>
      <c r="I1360" s="6">
        <v>51</v>
      </c>
      <c r="J1360" s="6" t="s">
        <v>121</v>
      </c>
      <c r="K1360" s="6" t="s">
        <v>855</v>
      </c>
      <c r="L1360" s="11">
        <f>F1360*Controls!$B$6</f>
        <v>8</v>
      </c>
      <c r="M1360" s="11">
        <f>G1360*Controls!$B$6</f>
        <v>1000</v>
      </c>
      <c r="N1360" s="12">
        <f>IF(L1360=0,0,SUMIFS('PSI Plan'!$N$6:$N$173,'PSI Plan'!$B$6:$B$173,B1360,'PSI Plan'!$C$6:$C$173,I1360))</f>
        <v>0</v>
      </c>
      <c r="O1360" s="11">
        <f t="shared" si="42"/>
        <v>0</v>
      </c>
      <c r="P1360" s="11">
        <f t="shared" si="43"/>
        <v>0</v>
      </c>
      <c r="Q1360" s="6"/>
      <c r="R1360" s="6"/>
      <c r="S1360" s="6"/>
      <c r="T1360" s="6"/>
    </row>
    <row r="1361" spans="1:20">
      <c r="A1361" s="6" t="s">
        <v>1509</v>
      </c>
      <c r="B1361" s="6" t="s">
        <v>76</v>
      </c>
      <c r="C1361" s="6" t="s">
        <v>90</v>
      </c>
      <c r="D1361" s="6" t="s">
        <v>119</v>
      </c>
      <c r="E1361" s="6" t="s">
        <v>120</v>
      </c>
      <c r="F1361" s="7">
        <v>7</v>
      </c>
      <c r="G1361" s="7">
        <v>875</v>
      </c>
      <c r="H1361" s="16">
        <v>45206</v>
      </c>
      <c r="I1361" s="6">
        <v>40</v>
      </c>
      <c r="J1361" s="6" t="s">
        <v>121</v>
      </c>
      <c r="K1361" s="6" t="s">
        <v>855</v>
      </c>
      <c r="L1361" s="11">
        <f>F1361*Controls!$B$6</f>
        <v>7</v>
      </c>
      <c r="M1361" s="11">
        <f>G1361*Controls!$B$6</f>
        <v>875</v>
      </c>
      <c r="N1361" s="12">
        <f>IF(L1361=0,0,SUMIFS('PSI Plan'!$N$6:$N$173,'PSI Plan'!$B$6:$B$173,B1361,'PSI Plan'!$C$6:$C$173,I1361))</f>
        <v>0</v>
      </c>
      <c r="O1361" s="11">
        <f t="shared" si="42"/>
        <v>0</v>
      </c>
      <c r="P1361" s="11">
        <f t="shared" si="43"/>
        <v>0</v>
      </c>
      <c r="Q1361" s="6"/>
      <c r="R1361" s="6"/>
      <c r="S1361" s="6"/>
      <c r="T1361" s="6"/>
    </row>
    <row r="1362" spans="1:20">
      <c r="A1362" s="6" t="s">
        <v>1510</v>
      </c>
      <c r="B1362" s="6" t="s">
        <v>69</v>
      </c>
      <c r="C1362" s="6" t="s">
        <v>90</v>
      </c>
      <c r="D1362" s="6" t="s">
        <v>119</v>
      </c>
      <c r="E1362" s="6" t="s">
        <v>120</v>
      </c>
      <c r="F1362" s="7">
        <v>13</v>
      </c>
      <c r="G1362" s="7">
        <v>1625</v>
      </c>
      <c r="H1362" s="16">
        <v>45201</v>
      </c>
      <c r="I1362" s="6">
        <v>40</v>
      </c>
      <c r="J1362" s="6" t="s">
        <v>121</v>
      </c>
      <c r="K1362" s="6" t="s">
        <v>855</v>
      </c>
      <c r="L1362" s="11">
        <f>F1362*Controls!$B$6</f>
        <v>13</v>
      </c>
      <c r="M1362" s="11">
        <f>G1362*Controls!$B$6</f>
        <v>1625</v>
      </c>
      <c r="N1362" s="12">
        <f>IF(L1362=0,0,SUMIFS('PSI Plan'!$N$6:$N$173,'PSI Plan'!$B$6:$B$173,B1362,'PSI Plan'!$C$6:$C$173,I1362))</f>
        <v>0</v>
      </c>
      <c r="O1362" s="11">
        <f t="shared" si="42"/>
        <v>0</v>
      </c>
      <c r="P1362" s="11">
        <f t="shared" si="43"/>
        <v>0</v>
      </c>
      <c r="Q1362" s="6"/>
      <c r="R1362" s="6"/>
      <c r="S1362" s="6"/>
      <c r="T1362" s="6"/>
    </row>
    <row r="1363" spans="1:20">
      <c r="A1363" s="6" t="s">
        <v>1511</v>
      </c>
      <c r="B1363" s="6" t="s">
        <v>76</v>
      </c>
      <c r="C1363" s="6" t="s">
        <v>90</v>
      </c>
      <c r="D1363" s="6" t="s">
        <v>119</v>
      </c>
      <c r="E1363" s="6" t="s">
        <v>120</v>
      </c>
      <c r="F1363" s="7">
        <v>13</v>
      </c>
      <c r="G1363" s="7">
        <v>1625</v>
      </c>
      <c r="H1363" s="16">
        <v>45205</v>
      </c>
      <c r="I1363" s="6">
        <v>40</v>
      </c>
      <c r="J1363" s="6" t="s">
        <v>121</v>
      </c>
      <c r="K1363" s="6" t="s">
        <v>171</v>
      </c>
      <c r="L1363" s="11">
        <f>F1363*Controls!$B$6</f>
        <v>13</v>
      </c>
      <c r="M1363" s="11">
        <f>G1363*Controls!$B$6</f>
        <v>1625</v>
      </c>
      <c r="N1363" s="12">
        <f>IF(L1363=0,0,SUMIFS('PSI Plan'!$N$6:$N$173,'PSI Plan'!$B$6:$B$173,B1363,'PSI Plan'!$C$6:$C$173,I1363))</f>
        <v>0</v>
      </c>
      <c r="O1363" s="11">
        <f t="shared" si="42"/>
        <v>0</v>
      </c>
      <c r="P1363" s="11">
        <f t="shared" si="43"/>
        <v>0</v>
      </c>
      <c r="Q1363" s="6"/>
      <c r="R1363" s="6"/>
      <c r="S1363" s="6"/>
      <c r="T1363" s="6"/>
    </row>
    <row r="1364" spans="1:20">
      <c r="A1364" s="6" t="s">
        <v>1512</v>
      </c>
      <c r="B1364" s="6" t="s">
        <v>77</v>
      </c>
      <c r="C1364" s="6" t="s">
        <v>90</v>
      </c>
      <c r="D1364" s="6" t="s">
        <v>119</v>
      </c>
      <c r="E1364" s="6" t="s">
        <v>120</v>
      </c>
      <c r="F1364" s="7">
        <v>56</v>
      </c>
      <c r="G1364" s="7">
        <v>7000</v>
      </c>
      <c r="H1364" s="16">
        <v>45203</v>
      </c>
      <c r="I1364" s="6">
        <v>40</v>
      </c>
      <c r="J1364" s="6" t="s">
        <v>121</v>
      </c>
      <c r="K1364" s="6" t="s">
        <v>139</v>
      </c>
      <c r="L1364" s="11">
        <f>F1364*Controls!$B$6</f>
        <v>56</v>
      </c>
      <c r="M1364" s="11">
        <f>G1364*Controls!$B$6</f>
        <v>7000</v>
      </c>
      <c r="N1364" s="12">
        <f>IF(L1364=0,0,SUMIFS('PSI Plan'!$N$6:$N$173,'PSI Plan'!$B$6:$B$173,B1364,'PSI Plan'!$C$6:$C$173,I1364))</f>
        <v>0</v>
      </c>
      <c r="O1364" s="11">
        <f t="shared" si="42"/>
        <v>0</v>
      </c>
      <c r="P1364" s="11">
        <f t="shared" si="43"/>
        <v>0</v>
      </c>
      <c r="Q1364" s="6"/>
      <c r="R1364" s="6"/>
      <c r="S1364" s="6"/>
      <c r="T1364" s="6"/>
    </row>
    <row r="1365" spans="1:20">
      <c r="A1365" s="6" t="s">
        <v>1513</v>
      </c>
      <c r="B1365" s="6" t="s">
        <v>69</v>
      </c>
      <c r="C1365" s="6" t="s">
        <v>90</v>
      </c>
      <c r="D1365" s="6" t="s">
        <v>119</v>
      </c>
      <c r="E1365" s="6" t="s">
        <v>120</v>
      </c>
      <c r="F1365" s="7">
        <v>56</v>
      </c>
      <c r="G1365" s="7">
        <v>7000</v>
      </c>
      <c r="H1365" s="16">
        <v>45269</v>
      </c>
      <c r="I1365" s="6">
        <v>49</v>
      </c>
      <c r="J1365" s="6" t="s">
        <v>121</v>
      </c>
      <c r="K1365" s="6" t="s">
        <v>139</v>
      </c>
      <c r="L1365" s="11">
        <f>F1365*Controls!$B$6</f>
        <v>56</v>
      </c>
      <c r="M1365" s="11">
        <f>G1365*Controls!$B$6</f>
        <v>7000</v>
      </c>
      <c r="N1365" s="12">
        <f>IF(L1365=0,0,SUMIFS('PSI Plan'!$N$6:$N$173,'PSI Plan'!$B$6:$B$173,B1365,'PSI Plan'!$C$6:$C$173,I1365))</f>
        <v>0</v>
      </c>
      <c r="O1365" s="11">
        <f t="shared" si="42"/>
        <v>0</v>
      </c>
      <c r="P1365" s="11">
        <f t="shared" si="43"/>
        <v>0</v>
      </c>
      <c r="Q1365" s="6"/>
      <c r="R1365" s="6"/>
      <c r="S1365" s="6"/>
      <c r="T1365" s="6"/>
    </row>
    <row r="1366" spans="1:20">
      <c r="A1366" s="6" t="s">
        <v>1514</v>
      </c>
      <c r="B1366" s="6" t="s">
        <v>66</v>
      </c>
      <c r="C1366" s="6" t="s">
        <v>90</v>
      </c>
      <c r="D1366" s="6" t="s">
        <v>119</v>
      </c>
      <c r="E1366" s="6" t="s">
        <v>120</v>
      </c>
      <c r="F1366" s="7">
        <v>8</v>
      </c>
      <c r="G1366" s="7">
        <v>1000</v>
      </c>
      <c r="H1366" s="16">
        <v>45233</v>
      </c>
      <c r="I1366" s="6">
        <v>44</v>
      </c>
      <c r="J1366" s="6" t="s">
        <v>121</v>
      </c>
      <c r="K1366" s="6" t="s">
        <v>298</v>
      </c>
      <c r="L1366" s="11">
        <f>F1366*Controls!$B$6</f>
        <v>8</v>
      </c>
      <c r="M1366" s="11">
        <f>G1366*Controls!$B$6</f>
        <v>1000</v>
      </c>
      <c r="N1366" s="12">
        <f>IF(L1366=0,0,SUMIFS('PSI Plan'!$N$6:$N$173,'PSI Plan'!$B$6:$B$173,B1366,'PSI Plan'!$C$6:$C$173,I1366))</f>
        <v>0</v>
      </c>
      <c r="O1366" s="11">
        <f t="shared" si="42"/>
        <v>0</v>
      </c>
      <c r="P1366" s="11">
        <f t="shared" si="43"/>
        <v>0</v>
      </c>
      <c r="Q1366" s="6"/>
      <c r="R1366" s="6"/>
      <c r="S1366" s="6"/>
      <c r="T1366" s="6"/>
    </row>
    <row r="1367" spans="1:20">
      <c r="A1367" s="6" t="s">
        <v>1515</v>
      </c>
      <c r="B1367" s="6" t="s">
        <v>77</v>
      </c>
      <c r="C1367" s="6" t="s">
        <v>90</v>
      </c>
      <c r="D1367" s="6" t="s">
        <v>119</v>
      </c>
      <c r="E1367" s="6" t="s">
        <v>120</v>
      </c>
      <c r="F1367" s="7">
        <v>6</v>
      </c>
      <c r="G1367" s="7">
        <v>750</v>
      </c>
      <c r="H1367" s="16">
        <v>45266</v>
      </c>
      <c r="I1367" s="6">
        <v>49</v>
      </c>
      <c r="J1367" s="6" t="s">
        <v>121</v>
      </c>
      <c r="K1367" s="6" t="s">
        <v>298</v>
      </c>
      <c r="L1367" s="11">
        <f>F1367*Controls!$B$6</f>
        <v>6</v>
      </c>
      <c r="M1367" s="11">
        <f>G1367*Controls!$B$6</f>
        <v>750</v>
      </c>
      <c r="N1367" s="12">
        <f>IF(L1367=0,0,SUMIFS('PSI Plan'!$N$6:$N$173,'PSI Plan'!$B$6:$B$173,B1367,'PSI Plan'!$C$6:$C$173,I1367))</f>
        <v>0</v>
      </c>
      <c r="O1367" s="11">
        <f t="shared" si="42"/>
        <v>0</v>
      </c>
      <c r="P1367" s="11">
        <f t="shared" si="43"/>
        <v>0</v>
      </c>
      <c r="Q1367" s="6"/>
      <c r="R1367" s="6"/>
      <c r="S1367" s="6"/>
      <c r="T1367" s="6"/>
    </row>
    <row r="1368" spans="1:20">
      <c r="A1368" s="6" t="s">
        <v>1516</v>
      </c>
      <c r="B1368" s="6" t="s">
        <v>69</v>
      </c>
      <c r="C1368" s="6" t="s">
        <v>90</v>
      </c>
      <c r="D1368" s="6" t="s">
        <v>119</v>
      </c>
      <c r="E1368" s="6" t="s">
        <v>120</v>
      </c>
      <c r="F1368" s="7">
        <v>13</v>
      </c>
      <c r="G1368" s="7">
        <v>1625</v>
      </c>
      <c r="H1368" s="16">
        <v>45280</v>
      </c>
      <c r="I1368" s="6">
        <v>51</v>
      </c>
      <c r="J1368" s="6" t="s">
        <v>121</v>
      </c>
      <c r="K1368" s="6" t="s">
        <v>298</v>
      </c>
      <c r="L1368" s="11">
        <f>F1368*Controls!$B$6</f>
        <v>13</v>
      </c>
      <c r="M1368" s="11">
        <f>G1368*Controls!$B$6</f>
        <v>1625</v>
      </c>
      <c r="N1368" s="12">
        <f>IF(L1368=0,0,SUMIFS('PSI Plan'!$N$6:$N$173,'PSI Plan'!$B$6:$B$173,B1368,'PSI Plan'!$C$6:$C$173,I1368))</f>
        <v>0</v>
      </c>
      <c r="O1368" s="11">
        <f t="shared" si="42"/>
        <v>0</v>
      </c>
      <c r="P1368" s="11">
        <f t="shared" si="43"/>
        <v>0</v>
      </c>
      <c r="Q1368" s="6"/>
      <c r="R1368" s="6"/>
      <c r="S1368" s="6"/>
      <c r="T1368" s="6"/>
    </row>
    <row r="1369" spans="1:20">
      <c r="A1369" s="6" t="s">
        <v>1517</v>
      </c>
      <c r="B1369" s="6" t="s">
        <v>66</v>
      </c>
      <c r="C1369" s="6" t="s">
        <v>99</v>
      </c>
      <c r="D1369" s="6" t="s">
        <v>319</v>
      </c>
      <c r="E1369" s="6" t="s">
        <v>120</v>
      </c>
      <c r="F1369" s="7">
        <v>26</v>
      </c>
      <c r="G1369" s="7">
        <v>3250</v>
      </c>
      <c r="H1369" s="16">
        <v>45258</v>
      </c>
      <c r="I1369" s="6">
        <v>48</v>
      </c>
      <c r="J1369" s="6" t="s">
        <v>121</v>
      </c>
      <c r="K1369" s="6" t="s">
        <v>459</v>
      </c>
      <c r="L1369" s="11">
        <f>F1369*Controls!$B$6</f>
        <v>26</v>
      </c>
      <c r="M1369" s="11">
        <f>G1369*Controls!$B$6</f>
        <v>3250</v>
      </c>
      <c r="N1369" s="12">
        <f>IF(L1369=0,0,SUMIFS('PSI Plan'!$N$6:$N$173,'PSI Plan'!$B$6:$B$173,B1369,'PSI Plan'!$C$6:$C$173,I1369))</f>
        <v>0</v>
      </c>
      <c r="O1369" s="11">
        <f t="shared" si="42"/>
        <v>0</v>
      </c>
      <c r="P1369" s="11">
        <f t="shared" si="43"/>
        <v>0</v>
      </c>
      <c r="Q1369" s="6"/>
      <c r="R1369" s="6"/>
      <c r="S1369" s="6"/>
      <c r="T1369" s="6"/>
    </row>
    <row r="1370" spans="1:20">
      <c r="A1370" s="6" t="s">
        <v>1518</v>
      </c>
      <c r="B1370" s="6" t="s">
        <v>69</v>
      </c>
      <c r="C1370" s="6" t="s">
        <v>99</v>
      </c>
      <c r="D1370" s="6" t="s">
        <v>319</v>
      </c>
      <c r="E1370" s="6" t="s">
        <v>120</v>
      </c>
      <c r="F1370" s="7">
        <v>84</v>
      </c>
      <c r="G1370" s="7">
        <v>10500</v>
      </c>
      <c r="H1370" s="16">
        <v>45228</v>
      </c>
      <c r="I1370" s="6">
        <v>44</v>
      </c>
      <c r="J1370" s="6" t="s">
        <v>121</v>
      </c>
      <c r="K1370" s="6" t="s">
        <v>459</v>
      </c>
      <c r="L1370" s="11">
        <f>F1370*Controls!$B$6</f>
        <v>84</v>
      </c>
      <c r="M1370" s="11">
        <f>G1370*Controls!$B$6</f>
        <v>10500</v>
      </c>
      <c r="N1370" s="12">
        <f>IF(L1370=0,0,SUMIFS('PSI Plan'!$N$6:$N$173,'PSI Plan'!$B$6:$B$173,B1370,'PSI Plan'!$C$6:$C$173,I1370))</f>
        <v>0</v>
      </c>
      <c r="O1370" s="11">
        <f t="shared" si="42"/>
        <v>0</v>
      </c>
      <c r="P1370" s="11">
        <f t="shared" si="43"/>
        <v>0</v>
      </c>
      <c r="Q1370" s="6"/>
      <c r="R1370" s="6"/>
      <c r="S1370" s="6"/>
      <c r="T1370" s="6"/>
    </row>
    <row r="1371" spans="1:20">
      <c r="A1371" s="6" t="s">
        <v>1519</v>
      </c>
      <c r="B1371" s="6" t="s">
        <v>77</v>
      </c>
      <c r="C1371" s="6" t="s">
        <v>100</v>
      </c>
      <c r="D1371" s="6" t="s">
        <v>567</v>
      </c>
      <c r="E1371" s="6" t="s">
        <v>120</v>
      </c>
      <c r="F1371" s="7">
        <v>9</v>
      </c>
      <c r="G1371" s="7">
        <v>1125</v>
      </c>
      <c r="H1371" s="16">
        <v>45218</v>
      </c>
      <c r="I1371" s="6">
        <v>42</v>
      </c>
      <c r="J1371" s="6" t="s">
        <v>121</v>
      </c>
      <c r="K1371" s="6" t="s">
        <v>568</v>
      </c>
      <c r="L1371" s="11">
        <f>F1371*Controls!$B$6</f>
        <v>9</v>
      </c>
      <c r="M1371" s="11">
        <f>G1371*Controls!$B$6</f>
        <v>1125</v>
      </c>
      <c r="N1371" s="12">
        <f>IF(L1371=0,0,SUMIFS('PSI Plan'!$N$6:$N$173,'PSI Plan'!$B$6:$B$173,B1371,'PSI Plan'!$C$6:$C$173,I1371))</f>
        <v>0</v>
      </c>
      <c r="O1371" s="11">
        <f t="shared" si="42"/>
        <v>0</v>
      </c>
      <c r="P1371" s="11">
        <f t="shared" si="43"/>
        <v>0</v>
      </c>
      <c r="Q1371" s="6"/>
      <c r="R1371" s="6"/>
      <c r="S1371" s="6"/>
      <c r="T1371" s="6"/>
    </row>
    <row r="1372" spans="1:20">
      <c r="A1372" s="6" t="s">
        <v>1520</v>
      </c>
      <c r="B1372" s="6" t="s">
        <v>69</v>
      </c>
      <c r="C1372" s="6" t="s">
        <v>100</v>
      </c>
      <c r="D1372" s="6" t="s">
        <v>567</v>
      </c>
      <c r="E1372" s="6" t="s">
        <v>120</v>
      </c>
      <c r="F1372" s="7">
        <v>9</v>
      </c>
      <c r="G1372" s="7">
        <v>1125</v>
      </c>
      <c r="H1372" s="16">
        <v>45232</v>
      </c>
      <c r="I1372" s="6">
        <v>44</v>
      </c>
      <c r="J1372" s="6" t="s">
        <v>121</v>
      </c>
      <c r="K1372" s="6" t="s">
        <v>568</v>
      </c>
      <c r="L1372" s="11">
        <f>F1372*Controls!$B$6</f>
        <v>9</v>
      </c>
      <c r="M1372" s="11">
        <f>G1372*Controls!$B$6</f>
        <v>1125</v>
      </c>
      <c r="N1372" s="12">
        <f>IF(L1372=0,0,SUMIFS('PSI Plan'!$N$6:$N$173,'PSI Plan'!$B$6:$B$173,B1372,'PSI Plan'!$C$6:$C$173,I1372))</f>
        <v>0</v>
      </c>
      <c r="O1372" s="11">
        <f t="shared" si="42"/>
        <v>0</v>
      </c>
      <c r="P1372" s="11">
        <f t="shared" si="43"/>
        <v>0</v>
      </c>
      <c r="Q1372" s="6"/>
      <c r="R1372" s="6"/>
      <c r="S1372" s="6"/>
      <c r="T1372" s="6"/>
    </row>
    <row r="1373" spans="1:20">
      <c r="A1373" s="6" t="s">
        <v>1521</v>
      </c>
      <c r="B1373" s="6" t="s">
        <v>66</v>
      </c>
      <c r="C1373" s="6" t="s">
        <v>99</v>
      </c>
      <c r="D1373" s="6" t="s">
        <v>319</v>
      </c>
      <c r="E1373" s="6" t="s">
        <v>120</v>
      </c>
      <c r="F1373" s="7">
        <v>18</v>
      </c>
      <c r="G1373" s="7">
        <v>2250</v>
      </c>
      <c r="H1373" s="16">
        <v>45264</v>
      </c>
      <c r="I1373" s="6">
        <v>49</v>
      </c>
      <c r="J1373" s="6" t="s">
        <v>121</v>
      </c>
      <c r="K1373" s="6" t="s">
        <v>324</v>
      </c>
      <c r="L1373" s="11">
        <f>F1373*Controls!$B$6</f>
        <v>18</v>
      </c>
      <c r="M1373" s="11">
        <f>G1373*Controls!$B$6</f>
        <v>2250</v>
      </c>
      <c r="N1373" s="12">
        <f>IF(L1373=0,0,SUMIFS('PSI Plan'!$N$6:$N$173,'PSI Plan'!$B$6:$B$173,B1373,'PSI Plan'!$C$6:$C$173,I1373))</f>
        <v>0</v>
      </c>
      <c r="O1373" s="11">
        <f t="shared" si="42"/>
        <v>0</v>
      </c>
      <c r="P1373" s="11">
        <f t="shared" si="43"/>
        <v>0</v>
      </c>
      <c r="Q1373" s="6"/>
      <c r="R1373" s="6"/>
      <c r="S1373" s="6"/>
      <c r="T1373" s="6"/>
    </row>
    <row r="1374" spans="1:20">
      <c r="A1374" s="6" t="s">
        <v>1522</v>
      </c>
      <c r="B1374" s="6" t="s">
        <v>77</v>
      </c>
      <c r="C1374" s="6" t="s">
        <v>99</v>
      </c>
      <c r="D1374" s="6" t="s">
        <v>319</v>
      </c>
      <c r="E1374" s="6" t="s">
        <v>120</v>
      </c>
      <c r="F1374" s="7">
        <v>18</v>
      </c>
      <c r="G1374" s="7">
        <v>2250</v>
      </c>
      <c r="H1374" s="16">
        <v>45263</v>
      </c>
      <c r="I1374" s="6">
        <v>49</v>
      </c>
      <c r="J1374" s="6" t="s">
        <v>121</v>
      </c>
      <c r="K1374" s="6" t="s">
        <v>324</v>
      </c>
      <c r="L1374" s="11">
        <f>F1374*Controls!$B$6</f>
        <v>18</v>
      </c>
      <c r="M1374" s="11">
        <f>G1374*Controls!$B$6</f>
        <v>2250</v>
      </c>
      <c r="N1374" s="12">
        <f>IF(L1374=0,0,SUMIFS('PSI Plan'!$N$6:$N$173,'PSI Plan'!$B$6:$B$173,B1374,'PSI Plan'!$C$6:$C$173,I1374))</f>
        <v>0</v>
      </c>
      <c r="O1374" s="11">
        <f t="shared" si="42"/>
        <v>0</v>
      </c>
      <c r="P1374" s="11">
        <f t="shared" si="43"/>
        <v>0</v>
      </c>
      <c r="Q1374" s="6"/>
      <c r="R1374" s="6"/>
      <c r="S1374" s="6"/>
      <c r="T1374" s="6"/>
    </row>
    <row r="1375" spans="1:20">
      <c r="A1375" s="6" t="s">
        <v>1523</v>
      </c>
      <c r="B1375" s="6" t="s">
        <v>67</v>
      </c>
      <c r="C1375" s="6" t="s">
        <v>99</v>
      </c>
      <c r="D1375" s="6" t="s">
        <v>319</v>
      </c>
      <c r="E1375" s="6" t="s">
        <v>120</v>
      </c>
      <c r="F1375" s="7">
        <v>56</v>
      </c>
      <c r="G1375" s="7">
        <v>7000</v>
      </c>
      <c r="H1375" s="16">
        <v>45201</v>
      </c>
      <c r="I1375" s="6">
        <v>40</v>
      </c>
      <c r="J1375" s="6" t="s">
        <v>121</v>
      </c>
      <c r="K1375" s="6" t="s">
        <v>324</v>
      </c>
      <c r="L1375" s="11">
        <f>F1375*Controls!$B$6</f>
        <v>56</v>
      </c>
      <c r="M1375" s="11">
        <f>G1375*Controls!$B$6</f>
        <v>7000</v>
      </c>
      <c r="N1375" s="12">
        <f>IF(L1375=0,0,SUMIFS('PSI Plan'!$N$6:$N$173,'PSI Plan'!$B$6:$B$173,B1375,'PSI Plan'!$C$6:$C$173,I1375))</f>
        <v>0</v>
      </c>
      <c r="O1375" s="11">
        <f t="shared" si="42"/>
        <v>0</v>
      </c>
      <c r="P1375" s="11">
        <f t="shared" si="43"/>
        <v>0</v>
      </c>
      <c r="Q1375" s="6"/>
      <c r="R1375" s="6"/>
      <c r="S1375" s="6"/>
      <c r="T1375" s="6"/>
    </row>
    <row r="1376" spans="1:20">
      <c r="A1376" s="6" t="s">
        <v>1524</v>
      </c>
      <c r="B1376" s="6" t="s">
        <v>66</v>
      </c>
      <c r="C1376" s="6" t="s">
        <v>90</v>
      </c>
      <c r="D1376" s="6" t="s">
        <v>119</v>
      </c>
      <c r="E1376" s="6" t="s">
        <v>120</v>
      </c>
      <c r="F1376" s="7">
        <v>39</v>
      </c>
      <c r="G1376" s="7">
        <v>4875</v>
      </c>
      <c r="H1376" s="16">
        <v>45213</v>
      </c>
      <c r="I1376" s="6">
        <v>41</v>
      </c>
      <c r="J1376" s="6" t="s">
        <v>121</v>
      </c>
      <c r="K1376" s="6" t="s">
        <v>855</v>
      </c>
      <c r="L1376" s="11">
        <f>F1376*Controls!$B$6</f>
        <v>39</v>
      </c>
      <c r="M1376" s="11">
        <f>G1376*Controls!$B$6</f>
        <v>4875</v>
      </c>
      <c r="N1376" s="12">
        <f>IF(L1376=0,0,SUMIFS('PSI Plan'!$N$6:$N$173,'PSI Plan'!$B$6:$B$173,B1376,'PSI Plan'!$C$6:$C$173,I1376))</f>
        <v>0.22897465437788017</v>
      </c>
      <c r="O1376" s="11">
        <f t="shared" si="42"/>
        <v>8.9300115207373274</v>
      </c>
      <c r="P1376" s="11">
        <f t="shared" si="43"/>
        <v>1116.2514400921659</v>
      </c>
      <c r="Q1376" s="6"/>
      <c r="R1376" s="6"/>
      <c r="S1376" s="6"/>
      <c r="T1376" s="6"/>
    </row>
    <row r="1377" spans="1:20">
      <c r="A1377" s="6" t="s">
        <v>1525</v>
      </c>
      <c r="B1377" s="6" t="s">
        <v>77</v>
      </c>
      <c r="C1377" s="6" t="s">
        <v>90</v>
      </c>
      <c r="D1377" s="6" t="s">
        <v>119</v>
      </c>
      <c r="E1377" s="6" t="s">
        <v>120</v>
      </c>
      <c r="F1377" s="7">
        <v>42</v>
      </c>
      <c r="G1377" s="7">
        <v>5250</v>
      </c>
      <c r="H1377" s="16">
        <v>45220</v>
      </c>
      <c r="I1377" s="6">
        <v>42</v>
      </c>
      <c r="J1377" s="6" t="s">
        <v>121</v>
      </c>
      <c r="K1377" s="6" t="s">
        <v>855</v>
      </c>
      <c r="L1377" s="11">
        <f>F1377*Controls!$B$6</f>
        <v>42</v>
      </c>
      <c r="M1377" s="11">
        <f>G1377*Controls!$B$6</f>
        <v>5250</v>
      </c>
      <c r="N1377" s="12">
        <f>IF(L1377=0,0,SUMIFS('PSI Plan'!$N$6:$N$173,'PSI Plan'!$B$6:$B$173,B1377,'PSI Plan'!$C$6:$C$173,I1377))</f>
        <v>0</v>
      </c>
      <c r="O1377" s="11">
        <f t="shared" si="42"/>
        <v>0</v>
      </c>
      <c r="P1377" s="11">
        <f t="shared" si="43"/>
        <v>0</v>
      </c>
      <c r="Q1377" s="6"/>
      <c r="R1377" s="6"/>
      <c r="S1377" s="6"/>
      <c r="T1377" s="6"/>
    </row>
    <row r="1378" spans="1:20">
      <c r="A1378" s="6" t="s">
        <v>1526</v>
      </c>
      <c r="B1378" s="6" t="s">
        <v>76</v>
      </c>
      <c r="C1378" s="6" t="s">
        <v>90</v>
      </c>
      <c r="D1378" s="6" t="s">
        <v>119</v>
      </c>
      <c r="E1378" s="6" t="s">
        <v>120</v>
      </c>
      <c r="F1378" s="7">
        <v>13</v>
      </c>
      <c r="G1378" s="7">
        <v>1625</v>
      </c>
      <c r="H1378" s="16">
        <v>45273</v>
      </c>
      <c r="I1378" s="6">
        <v>50</v>
      </c>
      <c r="J1378" s="6" t="s">
        <v>121</v>
      </c>
      <c r="K1378" s="6" t="s">
        <v>855</v>
      </c>
      <c r="L1378" s="11">
        <f>F1378*Controls!$B$6</f>
        <v>13</v>
      </c>
      <c r="M1378" s="11">
        <f>G1378*Controls!$B$6</f>
        <v>1625</v>
      </c>
      <c r="N1378" s="12">
        <f>IF(L1378=0,0,SUMIFS('PSI Plan'!$N$6:$N$173,'PSI Plan'!$B$6:$B$173,B1378,'PSI Plan'!$C$6:$C$173,I1378))</f>
        <v>0</v>
      </c>
      <c r="O1378" s="11">
        <f t="shared" si="42"/>
        <v>0</v>
      </c>
      <c r="P1378" s="11">
        <f t="shared" si="43"/>
        <v>0</v>
      </c>
      <c r="Q1378" s="6"/>
      <c r="R1378" s="6"/>
      <c r="S1378" s="6"/>
      <c r="T1378" s="6"/>
    </row>
    <row r="1379" spans="1:20">
      <c r="A1379" s="6" t="s">
        <v>1527</v>
      </c>
      <c r="B1379" s="6" t="s">
        <v>69</v>
      </c>
      <c r="C1379" s="6" t="s">
        <v>90</v>
      </c>
      <c r="D1379" s="6" t="s">
        <v>119</v>
      </c>
      <c r="E1379" s="6" t="s">
        <v>120</v>
      </c>
      <c r="F1379" s="7">
        <v>13</v>
      </c>
      <c r="G1379" s="7">
        <v>1625</v>
      </c>
      <c r="H1379" s="16">
        <v>45288</v>
      </c>
      <c r="I1379" s="6">
        <v>52</v>
      </c>
      <c r="J1379" s="6" t="s">
        <v>121</v>
      </c>
      <c r="K1379" s="6" t="s">
        <v>855</v>
      </c>
      <c r="L1379" s="11">
        <f>F1379*Controls!$B$6</f>
        <v>13</v>
      </c>
      <c r="M1379" s="11">
        <f>G1379*Controls!$B$6</f>
        <v>1625</v>
      </c>
      <c r="N1379" s="12">
        <f>IF(L1379=0,0,SUMIFS('PSI Plan'!$N$6:$N$173,'PSI Plan'!$B$6:$B$173,B1379,'PSI Plan'!$C$6:$C$173,I1379))</f>
        <v>0</v>
      </c>
      <c r="O1379" s="11">
        <f t="shared" si="42"/>
        <v>0</v>
      </c>
      <c r="P1379" s="11">
        <f t="shared" si="43"/>
        <v>0</v>
      </c>
      <c r="Q1379" s="6"/>
      <c r="R1379" s="6"/>
      <c r="S1379" s="6"/>
      <c r="T1379" s="6"/>
    </row>
    <row r="1380" spans="1:20">
      <c r="A1380" s="6" t="s">
        <v>1528</v>
      </c>
      <c r="B1380" s="6" t="s">
        <v>66</v>
      </c>
      <c r="C1380" s="6" t="s">
        <v>90</v>
      </c>
      <c r="D1380" s="6" t="s">
        <v>119</v>
      </c>
      <c r="E1380" s="6" t="s">
        <v>120</v>
      </c>
      <c r="F1380" s="7">
        <v>17</v>
      </c>
      <c r="G1380" s="7">
        <v>2125</v>
      </c>
      <c r="H1380" s="16">
        <v>45219</v>
      </c>
      <c r="I1380" s="6">
        <v>42</v>
      </c>
      <c r="J1380" s="6" t="s">
        <v>121</v>
      </c>
      <c r="K1380" s="6" t="s">
        <v>139</v>
      </c>
      <c r="L1380" s="11">
        <f>F1380*Controls!$B$6</f>
        <v>17</v>
      </c>
      <c r="M1380" s="11">
        <f>G1380*Controls!$B$6</f>
        <v>2125</v>
      </c>
      <c r="N1380" s="12">
        <f>IF(L1380=0,0,SUMIFS('PSI Plan'!$N$6:$N$173,'PSI Plan'!$B$6:$B$173,B1380,'PSI Plan'!$C$6:$C$173,I1380))</f>
        <v>0.59807073954983925</v>
      </c>
      <c r="O1380" s="11">
        <f t="shared" si="42"/>
        <v>10.167202572347268</v>
      </c>
      <c r="P1380" s="11">
        <f t="shared" si="43"/>
        <v>1270.9003215434084</v>
      </c>
      <c r="Q1380" s="6"/>
      <c r="R1380" s="6"/>
      <c r="S1380" s="6"/>
      <c r="T1380" s="6"/>
    </row>
    <row r="1381" spans="1:20">
      <c r="A1381" s="6" t="s">
        <v>1529</v>
      </c>
      <c r="B1381" s="6" t="s">
        <v>69</v>
      </c>
      <c r="C1381" s="6" t="s">
        <v>90</v>
      </c>
      <c r="D1381" s="6" t="s">
        <v>119</v>
      </c>
      <c r="E1381" s="6" t="s">
        <v>120</v>
      </c>
      <c r="F1381" s="7">
        <v>6</v>
      </c>
      <c r="G1381" s="7">
        <v>750</v>
      </c>
      <c r="H1381" s="16">
        <v>45201</v>
      </c>
      <c r="I1381" s="6">
        <v>40</v>
      </c>
      <c r="J1381" s="6" t="s">
        <v>121</v>
      </c>
      <c r="K1381" s="6" t="s">
        <v>139</v>
      </c>
      <c r="L1381" s="11">
        <f>F1381*Controls!$B$6</f>
        <v>6</v>
      </c>
      <c r="M1381" s="11">
        <f>G1381*Controls!$B$6</f>
        <v>750</v>
      </c>
      <c r="N1381" s="12">
        <f>IF(L1381=0,0,SUMIFS('PSI Plan'!$N$6:$N$173,'PSI Plan'!$B$6:$B$173,B1381,'PSI Plan'!$C$6:$C$173,I1381))</f>
        <v>0</v>
      </c>
      <c r="O1381" s="11">
        <f t="shared" si="42"/>
        <v>0</v>
      </c>
      <c r="P1381" s="11">
        <f t="shared" si="43"/>
        <v>0</v>
      </c>
      <c r="Q1381" s="6"/>
      <c r="R1381" s="6"/>
      <c r="S1381" s="6"/>
      <c r="T1381" s="6"/>
    </row>
    <row r="1382" spans="1:20">
      <c r="A1382" s="6" t="s">
        <v>1530</v>
      </c>
      <c r="B1382" s="6" t="s">
        <v>76</v>
      </c>
      <c r="C1382" s="6" t="s">
        <v>90</v>
      </c>
      <c r="D1382" s="6" t="s">
        <v>119</v>
      </c>
      <c r="E1382" s="6" t="s">
        <v>120</v>
      </c>
      <c r="F1382" s="7">
        <v>38</v>
      </c>
      <c r="G1382" s="7">
        <v>4750</v>
      </c>
      <c r="H1382" s="16">
        <v>45213</v>
      </c>
      <c r="I1382" s="6">
        <v>41</v>
      </c>
      <c r="J1382" s="6" t="s">
        <v>121</v>
      </c>
      <c r="K1382" s="6" t="s">
        <v>122</v>
      </c>
      <c r="L1382" s="11">
        <f>F1382*Controls!$B$6</f>
        <v>38</v>
      </c>
      <c r="M1382" s="11">
        <f>G1382*Controls!$B$6</f>
        <v>4750</v>
      </c>
      <c r="N1382" s="12">
        <f>IF(L1382=0,0,SUMIFS('PSI Plan'!$N$6:$N$173,'PSI Plan'!$B$6:$B$173,B1382,'PSI Plan'!$C$6:$C$173,I1382))</f>
        <v>0</v>
      </c>
      <c r="O1382" s="11">
        <f t="shared" si="42"/>
        <v>0</v>
      </c>
      <c r="P1382" s="11">
        <f t="shared" si="43"/>
        <v>0</v>
      </c>
      <c r="Q1382" s="6"/>
      <c r="R1382" s="6"/>
      <c r="S1382" s="6"/>
      <c r="T1382" s="6"/>
    </row>
    <row r="1383" spans="1:20">
      <c r="A1383" s="6" t="s">
        <v>1531</v>
      </c>
      <c r="B1383" s="6" t="s">
        <v>66</v>
      </c>
      <c r="C1383" s="6" t="s">
        <v>90</v>
      </c>
      <c r="D1383" s="6" t="s">
        <v>119</v>
      </c>
      <c r="E1383" s="6" t="s">
        <v>120</v>
      </c>
      <c r="F1383" s="7">
        <v>78</v>
      </c>
      <c r="G1383" s="7">
        <v>9750</v>
      </c>
      <c r="H1383" s="16">
        <v>45245</v>
      </c>
      <c r="I1383" s="6">
        <v>46</v>
      </c>
      <c r="J1383" s="6" t="s">
        <v>121</v>
      </c>
      <c r="K1383" s="6" t="s">
        <v>122</v>
      </c>
      <c r="L1383" s="11">
        <f>F1383*Controls!$B$6</f>
        <v>78</v>
      </c>
      <c r="M1383" s="11">
        <f>G1383*Controls!$B$6</f>
        <v>9750</v>
      </c>
      <c r="N1383" s="12">
        <f>IF(L1383=0,0,SUMIFS('PSI Plan'!$N$6:$N$173,'PSI Plan'!$B$6:$B$173,B1383,'PSI Plan'!$C$6:$C$173,I1383))</f>
        <v>0</v>
      </c>
      <c r="O1383" s="11">
        <f t="shared" si="42"/>
        <v>0</v>
      </c>
      <c r="P1383" s="11">
        <f t="shared" si="43"/>
        <v>0</v>
      </c>
      <c r="Q1383" s="6"/>
      <c r="R1383" s="6"/>
      <c r="S1383" s="6"/>
      <c r="T1383" s="6"/>
    </row>
    <row r="1384" spans="1:20">
      <c r="A1384" s="6" t="s">
        <v>1532</v>
      </c>
      <c r="B1384" s="6" t="s">
        <v>77</v>
      </c>
      <c r="C1384" s="6" t="s">
        <v>90</v>
      </c>
      <c r="D1384" s="6" t="s">
        <v>119</v>
      </c>
      <c r="E1384" s="6" t="s">
        <v>120</v>
      </c>
      <c r="F1384" s="7">
        <v>6</v>
      </c>
      <c r="G1384" s="7">
        <v>750</v>
      </c>
      <c r="H1384" s="16">
        <v>45218</v>
      </c>
      <c r="I1384" s="6">
        <v>42</v>
      </c>
      <c r="J1384" s="6" t="s">
        <v>121</v>
      </c>
      <c r="K1384" s="6" t="s">
        <v>122</v>
      </c>
      <c r="L1384" s="11">
        <f>F1384*Controls!$B$6</f>
        <v>6</v>
      </c>
      <c r="M1384" s="11">
        <f>G1384*Controls!$B$6</f>
        <v>750</v>
      </c>
      <c r="N1384" s="12">
        <f>IF(L1384=0,0,SUMIFS('PSI Plan'!$N$6:$N$173,'PSI Plan'!$B$6:$B$173,B1384,'PSI Plan'!$C$6:$C$173,I1384))</f>
        <v>0</v>
      </c>
      <c r="O1384" s="11">
        <f t="shared" si="42"/>
        <v>0</v>
      </c>
      <c r="P1384" s="11">
        <f t="shared" si="43"/>
        <v>0</v>
      </c>
      <c r="Q1384" s="6"/>
      <c r="R1384" s="6"/>
      <c r="S1384" s="6"/>
      <c r="T1384" s="6"/>
    </row>
    <row r="1385" spans="1:20">
      <c r="A1385" s="6" t="s">
        <v>1533</v>
      </c>
      <c r="B1385" s="6" t="s">
        <v>76</v>
      </c>
      <c r="C1385" s="6" t="s">
        <v>90</v>
      </c>
      <c r="D1385" s="6" t="s">
        <v>119</v>
      </c>
      <c r="E1385" s="6" t="s">
        <v>120</v>
      </c>
      <c r="F1385" s="7">
        <v>27</v>
      </c>
      <c r="G1385" s="7">
        <v>3375</v>
      </c>
      <c r="H1385" s="16">
        <v>45279</v>
      </c>
      <c r="I1385" s="6">
        <v>51</v>
      </c>
      <c r="J1385" s="6" t="s">
        <v>121</v>
      </c>
      <c r="K1385" s="6" t="s">
        <v>122</v>
      </c>
      <c r="L1385" s="11">
        <f>F1385*Controls!$B$6</f>
        <v>27</v>
      </c>
      <c r="M1385" s="11">
        <f>G1385*Controls!$B$6</f>
        <v>3375</v>
      </c>
      <c r="N1385" s="12">
        <f>IF(L1385=0,0,SUMIFS('PSI Plan'!$N$6:$N$173,'PSI Plan'!$B$6:$B$173,B1385,'PSI Plan'!$C$6:$C$173,I1385))</f>
        <v>0</v>
      </c>
      <c r="O1385" s="11">
        <f t="shared" si="42"/>
        <v>0</v>
      </c>
      <c r="P1385" s="11">
        <f t="shared" si="43"/>
        <v>0</v>
      </c>
      <c r="Q1385" s="6"/>
      <c r="R1385" s="6"/>
      <c r="S1385" s="6"/>
      <c r="T1385" s="6"/>
    </row>
    <row r="1386" spans="1:20">
      <c r="A1386" s="6" t="s">
        <v>1534</v>
      </c>
      <c r="B1386" s="6" t="s">
        <v>66</v>
      </c>
      <c r="C1386" s="6" t="s">
        <v>90</v>
      </c>
      <c r="D1386" s="6" t="s">
        <v>119</v>
      </c>
      <c r="E1386" s="6" t="s">
        <v>120</v>
      </c>
      <c r="F1386" s="7">
        <v>26</v>
      </c>
      <c r="G1386" s="7">
        <v>3250</v>
      </c>
      <c r="H1386" s="16">
        <v>45265</v>
      </c>
      <c r="I1386" s="6">
        <v>49</v>
      </c>
      <c r="J1386" s="6" t="s">
        <v>121</v>
      </c>
      <c r="K1386" s="6" t="s">
        <v>150</v>
      </c>
      <c r="L1386" s="11">
        <f>F1386*Controls!$B$6</f>
        <v>26</v>
      </c>
      <c r="M1386" s="11">
        <f>G1386*Controls!$B$6</f>
        <v>3250</v>
      </c>
      <c r="N1386" s="12">
        <f>IF(L1386=0,0,SUMIFS('PSI Plan'!$N$6:$N$173,'PSI Plan'!$B$6:$B$173,B1386,'PSI Plan'!$C$6:$C$173,I1386))</f>
        <v>0</v>
      </c>
      <c r="O1386" s="11">
        <f t="shared" si="42"/>
        <v>0</v>
      </c>
      <c r="P1386" s="11">
        <f t="shared" si="43"/>
        <v>0</v>
      </c>
      <c r="Q1386" s="6"/>
      <c r="R1386" s="6"/>
      <c r="S1386" s="6"/>
      <c r="T1386" s="6"/>
    </row>
    <row r="1387" spans="1:20">
      <c r="A1387" s="6" t="s">
        <v>1535</v>
      </c>
      <c r="B1387" s="6" t="s">
        <v>77</v>
      </c>
      <c r="C1387" s="6" t="s">
        <v>90</v>
      </c>
      <c r="D1387" s="6" t="s">
        <v>119</v>
      </c>
      <c r="E1387" s="6" t="s">
        <v>120</v>
      </c>
      <c r="F1387" s="7">
        <v>26</v>
      </c>
      <c r="G1387" s="7">
        <v>3250</v>
      </c>
      <c r="H1387" s="16">
        <v>45275</v>
      </c>
      <c r="I1387" s="6">
        <v>50</v>
      </c>
      <c r="J1387" s="6" t="s">
        <v>121</v>
      </c>
      <c r="K1387" s="6" t="s">
        <v>150</v>
      </c>
      <c r="L1387" s="11">
        <f>F1387*Controls!$B$6</f>
        <v>26</v>
      </c>
      <c r="M1387" s="11">
        <f>G1387*Controls!$B$6</f>
        <v>3250</v>
      </c>
      <c r="N1387" s="12">
        <f>IF(L1387=0,0,SUMIFS('PSI Plan'!$N$6:$N$173,'PSI Plan'!$B$6:$B$173,B1387,'PSI Plan'!$C$6:$C$173,I1387))</f>
        <v>0</v>
      </c>
      <c r="O1387" s="11">
        <f t="shared" si="42"/>
        <v>0</v>
      </c>
      <c r="P1387" s="11">
        <f t="shared" si="43"/>
        <v>0</v>
      </c>
      <c r="Q1387" s="6"/>
      <c r="R1387" s="6"/>
      <c r="S1387" s="6"/>
      <c r="T1387" s="6"/>
    </row>
    <row r="1388" spans="1:20">
      <c r="A1388" s="6" t="s">
        <v>1536</v>
      </c>
      <c r="B1388" s="6" t="s">
        <v>76</v>
      </c>
      <c r="C1388" s="6" t="s">
        <v>90</v>
      </c>
      <c r="D1388" s="6" t="s">
        <v>119</v>
      </c>
      <c r="E1388" s="6" t="s">
        <v>120</v>
      </c>
      <c r="F1388" s="7">
        <v>26</v>
      </c>
      <c r="G1388" s="7">
        <v>3250</v>
      </c>
      <c r="H1388" s="16">
        <v>45208</v>
      </c>
      <c r="I1388" s="6">
        <v>41</v>
      </c>
      <c r="J1388" s="6" t="s">
        <v>121</v>
      </c>
      <c r="K1388" s="6" t="s">
        <v>150</v>
      </c>
      <c r="L1388" s="11">
        <f>F1388*Controls!$B$6</f>
        <v>26</v>
      </c>
      <c r="M1388" s="11">
        <f>G1388*Controls!$B$6</f>
        <v>3250</v>
      </c>
      <c r="N1388" s="12">
        <f>IF(L1388=0,0,SUMIFS('PSI Plan'!$N$6:$N$173,'PSI Plan'!$B$6:$B$173,B1388,'PSI Plan'!$C$6:$C$173,I1388))</f>
        <v>0</v>
      </c>
      <c r="O1388" s="11">
        <f t="shared" si="42"/>
        <v>0</v>
      </c>
      <c r="P1388" s="11">
        <f t="shared" si="43"/>
        <v>0</v>
      </c>
      <c r="Q1388" s="6"/>
      <c r="R1388" s="6"/>
      <c r="S1388" s="6"/>
      <c r="T1388" s="6"/>
    </row>
    <row r="1389" spans="1:20">
      <c r="A1389" s="6" t="s">
        <v>1537</v>
      </c>
      <c r="B1389" s="6" t="s">
        <v>69</v>
      </c>
      <c r="C1389" s="6" t="s">
        <v>90</v>
      </c>
      <c r="D1389" s="6" t="s">
        <v>119</v>
      </c>
      <c r="E1389" s="6" t="s">
        <v>120</v>
      </c>
      <c r="F1389" s="7">
        <v>26</v>
      </c>
      <c r="G1389" s="7">
        <v>3250</v>
      </c>
      <c r="H1389" s="16">
        <v>45202</v>
      </c>
      <c r="I1389" s="6">
        <v>40</v>
      </c>
      <c r="J1389" s="6" t="s">
        <v>121</v>
      </c>
      <c r="K1389" s="6" t="s">
        <v>150</v>
      </c>
      <c r="L1389" s="11">
        <f>F1389*Controls!$B$6</f>
        <v>26</v>
      </c>
      <c r="M1389" s="11">
        <f>G1389*Controls!$B$6</f>
        <v>3250</v>
      </c>
      <c r="N1389" s="12">
        <f>IF(L1389=0,0,SUMIFS('PSI Plan'!$N$6:$N$173,'PSI Plan'!$B$6:$B$173,B1389,'PSI Plan'!$C$6:$C$173,I1389))</f>
        <v>0</v>
      </c>
      <c r="O1389" s="11">
        <f t="shared" si="42"/>
        <v>0</v>
      </c>
      <c r="P1389" s="11">
        <f t="shared" si="43"/>
        <v>0</v>
      </c>
      <c r="Q1389" s="6"/>
      <c r="R1389" s="6"/>
      <c r="S1389" s="6"/>
      <c r="T1389" s="6"/>
    </row>
    <row r="1390" spans="1:20">
      <c r="A1390" s="6" t="s">
        <v>1538</v>
      </c>
      <c r="B1390" s="6" t="s">
        <v>77</v>
      </c>
      <c r="C1390" s="6" t="s">
        <v>90</v>
      </c>
      <c r="D1390" s="6" t="s">
        <v>119</v>
      </c>
      <c r="E1390" s="6" t="s">
        <v>120</v>
      </c>
      <c r="F1390" s="7">
        <v>13</v>
      </c>
      <c r="G1390" s="7">
        <v>1625</v>
      </c>
      <c r="H1390" s="16">
        <v>45262</v>
      </c>
      <c r="I1390" s="6">
        <v>48</v>
      </c>
      <c r="J1390" s="6" t="s">
        <v>121</v>
      </c>
      <c r="K1390" s="6" t="s">
        <v>139</v>
      </c>
      <c r="L1390" s="11">
        <f>F1390*Controls!$B$6</f>
        <v>13</v>
      </c>
      <c r="M1390" s="11">
        <f>G1390*Controls!$B$6</f>
        <v>1625</v>
      </c>
      <c r="N1390" s="12">
        <f>IF(L1390=0,0,SUMIFS('PSI Plan'!$N$6:$N$173,'PSI Plan'!$B$6:$B$173,B1390,'PSI Plan'!$C$6:$C$173,I1390))</f>
        <v>0</v>
      </c>
      <c r="O1390" s="11">
        <f t="shared" si="42"/>
        <v>0</v>
      </c>
      <c r="P1390" s="11">
        <f t="shared" si="43"/>
        <v>0</v>
      </c>
      <c r="Q1390" s="6"/>
      <c r="R1390" s="6"/>
      <c r="S1390" s="6"/>
      <c r="T1390" s="6"/>
    </row>
    <row r="1391" spans="1:20">
      <c r="A1391" s="6" t="s">
        <v>1539</v>
      </c>
      <c r="B1391" s="6" t="s">
        <v>69</v>
      </c>
      <c r="C1391" s="6" t="s">
        <v>90</v>
      </c>
      <c r="D1391" s="6" t="s">
        <v>119</v>
      </c>
      <c r="E1391" s="6" t="s">
        <v>120</v>
      </c>
      <c r="F1391" s="7">
        <v>6</v>
      </c>
      <c r="G1391" s="7">
        <v>750</v>
      </c>
      <c r="H1391" s="16">
        <v>45265</v>
      </c>
      <c r="I1391" s="6">
        <v>49</v>
      </c>
      <c r="J1391" s="6" t="s">
        <v>121</v>
      </c>
      <c r="K1391" s="6" t="s">
        <v>139</v>
      </c>
      <c r="L1391" s="11">
        <f>F1391*Controls!$B$6</f>
        <v>6</v>
      </c>
      <c r="M1391" s="11">
        <f>G1391*Controls!$B$6</f>
        <v>750</v>
      </c>
      <c r="N1391" s="12">
        <f>IF(L1391=0,0,SUMIFS('PSI Plan'!$N$6:$N$173,'PSI Plan'!$B$6:$B$173,B1391,'PSI Plan'!$C$6:$C$173,I1391))</f>
        <v>0</v>
      </c>
      <c r="O1391" s="11">
        <f t="shared" si="42"/>
        <v>0</v>
      </c>
      <c r="P1391" s="11">
        <f t="shared" si="43"/>
        <v>0</v>
      </c>
      <c r="Q1391" s="6"/>
      <c r="R1391" s="6"/>
      <c r="S1391" s="6"/>
      <c r="T1391" s="6"/>
    </row>
    <row r="1392" spans="1:20">
      <c r="A1392" s="6" t="s">
        <v>1540</v>
      </c>
      <c r="B1392" s="6" t="s">
        <v>66</v>
      </c>
      <c r="C1392" s="6" t="s">
        <v>90</v>
      </c>
      <c r="D1392" s="6" t="s">
        <v>119</v>
      </c>
      <c r="E1392" s="6" t="s">
        <v>120</v>
      </c>
      <c r="F1392" s="7">
        <v>52</v>
      </c>
      <c r="G1392" s="7">
        <v>6500</v>
      </c>
      <c r="H1392" s="16">
        <v>45221</v>
      </c>
      <c r="I1392" s="6">
        <v>43</v>
      </c>
      <c r="J1392" s="6" t="s">
        <v>121</v>
      </c>
      <c r="K1392" s="6" t="s">
        <v>122</v>
      </c>
      <c r="L1392" s="11">
        <f>F1392*Controls!$B$6</f>
        <v>52</v>
      </c>
      <c r="M1392" s="11">
        <f>G1392*Controls!$B$6</f>
        <v>6500</v>
      </c>
      <c r="N1392" s="12">
        <f>IF(L1392=0,0,SUMIFS('PSI Plan'!$N$6:$N$173,'PSI Plan'!$B$6:$B$173,B1392,'PSI Plan'!$C$6:$C$173,I1392))</f>
        <v>0</v>
      </c>
      <c r="O1392" s="11">
        <f t="shared" si="42"/>
        <v>0</v>
      </c>
      <c r="P1392" s="11">
        <f t="shared" si="43"/>
        <v>0</v>
      </c>
      <c r="Q1392" s="6"/>
      <c r="R1392" s="6"/>
      <c r="S1392" s="6"/>
      <c r="T1392" s="6"/>
    </row>
    <row r="1393" spans="1:20">
      <c r="A1393" s="6" t="s">
        <v>1541</v>
      </c>
      <c r="B1393" s="6" t="s">
        <v>77</v>
      </c>
      <c r="C1393" s="6" t="s">
        <v>90</v>
      </c>
      <c r="D1393" s="6" t="s">
        <v>119</v>
      </c>
      <c r="E1393" s="6" t="s">
        <v>120</v>
      </c>
      <c r="F1393" s="7">
        <v>37</v>
      </c>
      <c r="G1393" s="7">
        <v>4625</v>
      </c>
      <c r="H1393" s="16">
        <v>45261</v>
      </c>
      <c r="I1393" s="6">
        <v>48</v>
      </c>
      <c r="J1393" s="6" t="s">
        <v>121</v>
      </c>
      <c r="K1393" s="6" t="s">
        <v>122</v>
      </c>
      <c r="L1393" s="11">
        <f>F1393*Controls!$B$6</f>
        <v>37</v>
      </c>
      <c r="M1393" s="11">
        <f>G1393*Controls!$B$6</f>
        <v>4625</v>
      </c>
      <c r="N1393" s="12">
        <f>IF(L1393=0,0,SUMIFS('PSI Plan'!$N$6:$N$173,'PSI Plan'!$B$6:$B$173,B1393,'PSI Plan'!$C$6:$C$173,I1393))</f>
        <v>0</v>
      </c>
      <c r="O1393" s="11">
        <f t="shared" si="42"/>
        <v>0</v>
      </c>
      <c r="P1393" s="11">
        <f t="shared" si="43"/>
        <v>0</v>
      </c>
      <c r="Q1393" s="6"/>
      <c r="R1393" s="6"/>
      <c r="S1393" s="6"/>
      <c r="T1393" s="6"/>
    </row>
    <row r="1394" spans="1:20">
      <c r="A1394" s="6" t="s">
        <v>1542</v>
      </c>
      <c r="B1394" s="6" t="s">
        <v>69</v>
      </c>
      <c r="C1394" s="6" t="s">
        <v>90</v>
      </c>
      <c r="D1394" s="6" t="s">
        <v>119</v>
      </c>
      <c r="E1394" s="6" t="s">
        <v>120</v>
      </c>
      <c r="F1394" s="7">
        <v>52</v>
      </c>
      <c r="G1394" s="7">
        <v>6500</v>
      </c>
      <c r="H1394" s="16">
        <v>45260</v>
      </c>
      <c r="I1394" s="6">
        <v>48</v>
      </c>
      <c r="J1394" s="6" t="s">
        <v>121</v>
      </c>
      <c r="K1394" s="6" t="s">
        <v>122</v>
      </c>
      <c r="L1394" s="11">
        <f>F1394*Controls!$B$6</f>
        <v>52</v>
      </c>
      <c r="M1394" s="11">
        <f>G1394*Controls!$B$6</f>
        <v>6500</v>
      </c>
      <c r="N1394" s="12">
        <f>IF(L1394=0,0,SUMIFS('PSI Plan'!$N$6:$N$173,'PSI Plan'!$B$6:$B$173,B1394,'PSI Plan'!$C$6:$C$173,I1394))</f>
        <v>0</v>
      </c>
      <c r="O1394" s="11">
        <f t="shared" si="42"/>
        <v>0</v>
      </c>
      <c r="P1394" s="11">
        <f t="shared" si="43"/>
        <v>0</v>
      </c>
      <c r="Q1394" s="6"/>
      <c r="R1394" s="6"/>
      <c r="S1394" s="6"/>
      <c r="T1394" s="6"/>
    </row>
    <row r="1395" spans="1:20">
      <c r="A1395" s="6" t="s">
        <v>1543</v>
      </c>
      <c r="B1395" s="6" t="s">
        <v>66</v>
      </c>
      <c r="C1395" s="6" t="s">
        <v>90</v>
      </c>
      <c r="D1395" s="6" t="s">
        <v>119</v>
      </c>
      <c r="E1395" s="6" t="s">
        <v>120</v>
      </c>
      <c r="F1395" s="7">
        <v>6</v>
      </c>
      <c r="G1395" s="7">
        <v>750</v>
      </c>
      <c r="H1395" s="16">
        <v>45235</v>
      </c>
      <c r="I1395" s="6">
        <v>45</v>
      </c>
      <c r="J1395" s="6" t="s">
        <v>121</v>
      </c>
      <c r="K1395" s="6" t="s">
        <v>298</v>
      </c>
      <c r="L1395" s="11">
        <f>F1395*Controls!$B$6</f>
        <v>6</v>
      </c>
      <c r="M1395" s="11">
        <f>G1395*Controls!$B$6</f>
        <v>750</v>
      </c>
      <c r="N1395" s="12">
        <f>IF(L1395=0,0,SUMIFS('PSI Plan'!$N$6:$N$173,'PSI Plan'!$B$6:$B$173,B1395,'PSI Plan'!$C$6:$C$173,I1395))</f>
        <v>0</v>
      </c>
      <c r="O1395" s="11">
        <f t="shared" si="42"/>
        <v>0</v>
      </c>
      <c r="P1395" s="11">
        <f t="shared" si="43"/>
        <v>0</v>
      </c>
      <c r="Q1395" s="6"/>
      <c r="R1395" s="6"/>
      <c r="S1395" s="6"/>
      <c r="T1395" s="6"/>
    </row>
    <row r="1396" spans="1:20">
      <c r="A1396" s="6" t="s">
        <v>1544</v>
      </c>
      <c r="B1396" s="6" t="s">
        <v>76</v>
      </c>
      <c r="C1396" s="6" t="s">
        <v>90</v>
      </c>
      <c r="D1396" s="6" t="s">
        <v>119</v>
      </c>
      <c r="E1396" s="6" t="s">
        <v>120</v>
      </c>
      <c r="F1396" s="7">
        <v>13</v>
      </c>
      <c r="G1396" s="7">
        <v>1625</v>
      </c>
      <c r="H1396" s="16">
        <v>45203</v>
      </c>
      <c r="I1396" s="6">
        <v>40</v>
      </c>
      <c r="J1396" s="6" t="s">
        <v>121</v>
      </c>
      <c r="K1396" s="6" t="s">
        <v>298</v>
      </c>
      <c r="L1396" s="11">
        <f>F1396*Controls!$B$6</f>
        <v>13</v>
      </c>
      <c r="M1396" s="11">
        <f>G1396*Controls!$B$6</f>
        <v>1625</v>
      </c>
      <c r="N1396" s="12">
        <f>IF(L1396=0,0,SUMIFS('PSI Plan'!$N$6:$N$173,'PSI Plan'!$B$6:$B$173,B1396,'PSI Plan'!$C$6:$C$173,I1396))</f>
        <v>0</v>
      </c>
      <c r="O1396" s="11">
        <f t="shared" si="42"/>
        <v>0</v>
      </c>
      <c r="P1396" s="11">
        <f t="shared" si="43"/>
        <v>0</v>
      </c>
      <c r="Q1396" s="6"/>
      <c r="R1396" s="6"/>
      <c r="S1396" s="6"/>
      <c r="T1396" s="6"/>
    </row>
    <row r="1397" spans="1:20">
      <c r="A1397" s="6" t="s">
        <v>1545</v>
      </c>
      <c r="B1397" s="6" t="s">
        <v>69</v>
      </c>
      <c r="C1397" s="6" t="s">
        <v>90</v>
      </c>
      <c r="D1397" s="6" t="s">
        <v>119</v>
      </c>
      <c r="E1397" s="6" t="s">
        <v>120</v>
      </c>
      <c r="F1397" s="7">
        <v>13</v>
      </c>
      <c r="G1397" s="7">
        <v>1625</v>
      </c>
      <c r="H1397" s="16">
        <v>45272</v>
      </c>
      <c r="I1397" s="6">
        <v>50</v>
      </c>
      <c r="J1397" s="6" t="s">
        <v>121</v>
      </c>
      <c r="K1397" s="6" t="s">
        <v>298</v>
      </c>
      <c r="L1397" s="11">
        <f>F1397*Controls!$B$6</f>
        <v>13</v>
      </c>
      <c r="M1397" s="11">
        <f>G1397*Controls!$B$6</f>
        <v>1625</v>
      </c>
      <c r="N1397" s="12">
        <f>IF(L1397=0,0,SUMIFS('PSI Plan'!$N$6:$N$173,'PSI Plan'!$B$6:$B$173,B1397,'PSI Plan'!$C$6:$C$173,I1397))</f>
        <v>0</v>
      </c>
      <c r="O1397" s="11">
        <f t="shared" si="42"/>
        <v>0</v>
      </c>
      <c r="P1397" s="11">
        <f t="shared" si="43"/>
        <v>0</v>
      </c>
      <c r="Q1397" s="6"/>
      <c r="R1397" s="6"/>
      <c r="S1397" s="6"/>
      <c r="T1397" s="6"/>
    </row>
    <row r="1398" spans="1:20">
      <c r="A1398" s="6" t="s">
        <v>1546</v>
      </c>
      <c r="B1398" s="6" t="s">
        <v>77</v>
      </c>
      <c r="C1398" s="6" t="s">
        <v>90</v>
      </c>
      <c r="D1398" s="6" t="s">
        <v>119</v>
      </c>
      <c r="E1398" s="6" t="s">
        <v>120</v>
      </c>
      <c r="F1398" s="7">
        <v>13</v>
      </c>
      <c r="G1398" s="7">
        <v>1625</v>
      </c>
      <c r="H1398" s="16">
        <v>45284</v>
      </c>
      <c r="I1398" s="6">
        <v>52</v>
      </c>
      <c r="J1398" s="6" t="s">
        <v>121</v>
      </c>
      <c r="K1398" s="6" t="s">
        <v>1547</v>
      </c>
      <c r="L1398" s="11">
        <f>F1398*Controls!$B$6</f>
        <v>13</v>
      </c>
      <c r="M1398" s="11">
        <f>G1398*Controls!$B$6</f>
        <v>1625</v>
      </c>
      <c r="N1398" s="12">
        <f>IF(L1398=0,0,SUMIFS('PSI Plan'!$N$6:$N$173,'PSI Plan'!$B$6:$B$173,B1398,'PSI Plan'!$C$6:$C$173,I1398))</f>
        <v>0</v>
      </c>
      <c r="O1398" s="11">
        <f t="shared" si="42"/>
        <v>0</v>
      </c>
      <c r="P1398" s="11">
        <f t="shared" si="43"/>
        <v>0</v>
      </c>
      <c r="Q1398" s="6"/>
      <c r="R1398" s="6"/>
      <c r="S1398" s="6"/>
      <c r="T1398" s="6"/>
    </row>
    <row r="1399" spans="1:20">
      <c r="A1399" s="6" t="s">
        <v>1548</v>
      </c>
      <c r="B1399" s="6" t="s">
        <v>69</v>
      </c>
      <c r="C1399" s="6" t="s">
        <v>90</v>
      </c>
      <c r="D1399" s="6" t="s">
        <v>119</v>
      </c>
      <c r="E1399" s="6" t="s">
        <v>120</v>
      </c>
      <c r="F1399" s="7">
        <v>13</v>
      </c>
      <c r="G1399" s="7">
        <v>1625</v>
      </c>
      <c r="H1399" s="16">
        <v>45252</v>
      </c>
      <c r="I1399" s="6">
        <v>47</v>
      </c>
      <c r="J1399" s="6" t="s">
        <v>121</v>
      </c>
      <c r="K1399" s="6" t="s">
        <v>1547</v>
      </c>
      <c r="L1399" s="11">
        <f>F1399*Controls!$B$6</f>
        <v>13</v>
      </c>
      <c r="M1399" s="11">
        <f>G1399*Controls!$B$6</f>
        <v>1625</v>
      </c>
      <c r="N1399" s="12">
        <f>IF(L1399=0,0,SUMIFS('PSI Plan'!$N$6:$N$173,'PSI Plan'!$B$6:$B$173,B1399,'PSI Plan'!$C$6:$C$173,I1399))</f>
        <v>0</v>
      </c>
      <c r="O1399" s="11">
        <f t="shared" si="42"/>
        <v>0</v>
      </c>
      <c r="P1399" s="11">
        <f t="shared" si="43"/>
        <v>0</v>
      </c>
      <c r="Q1399" s="6"/>
      <c r="R1399" s="6"/>
      <c r="S1399" s="6"/>
      <c r="T1399" s="6"/>
    </row>
    <row r="1400" spans="1:20">
      <c r="A1400" s="6" t="s">
        <v>1549</v>
      </c>
      <c r="B1400" s="6" t="s">
        <v>77</v>
      </c>
      <c r="C1400" s="6" t="s">
        <v>90</v>
      </c>
      <c r="D1400" s="6" t="s">
        <v>119</v>
      </c>
      <c r="E1400" s="6" t="s">
        <v>120</v>
      </c>
      <c r="F1400" s="7">
        <v>52</v>
      </c>
      <c r="G1400" s="7">
        <v>6500</v>
      </c>
      <c r="H1400" s="16">
        <v>45221</v>
      </c>
      <c r="I1400" s="6">
        <v>43</v>
      </c>
      <c r="J1400" s="6" t="s">
        <v>121</v>
      </c>
      <c r="K1400" s="6" t="s">
        <v>122</v>
      </c>
      <c r="L1400" s="11">
        <f>F1400*Controls!$B$6</f>
        <v>52</v>
      </c>
      <c r="M1400" s="11">
        <f>G1400*Controls!$B$6</f>
        <v>6500</v>
      </c>
      <c r="N1400" s="12">
        <f>IF(L1400=0,0,SUMIFS('PSI Plan'!$N$6:$N$173,'PSI Plan'!$B$6:$B$173,B1400,'PSI Plan'!$C$6:$C$173,I1400))</f>
        <v>0</v>
      </c>
      <c r="O1400" s="11">
        <f t="shared" si="42"/>
        <v>0</v>
      </c>
      <c r="P1400" s="11">
        <f t="shared" si="43"/>
        <v>0</v>
      </c>
      <c r="Q1400" s="6"/>
      <c r="R1400" s="6"/>
      <c r="S1400" s="6"/>
      <c r="T1400" s="6"/>
    </row>
    <row r="1401" spans="1:20">
      <c r="A1401" s="6" t="s">
        <v>1550</v>
      </c>
      <c r="B1401" s="6" t="s">
        <v>77</v>
      </c>
      <c r="C1401" s="6" t="s">
        <v>90</v>
      </c>
      <c r="D1401" s="6" t="s">
        <v>119</v>
      </c>
      <c r="E1401" s="6" t="s">
        <v>120</v>
      </c>
      <c r="F1401" s="7">
        <v>39</v>
      </c>
      <c r="G1401" s="7">
        <v>4875</v>
      </c>
      <c r="H1401" s="16">
        <v>45283</v>
      </c>
      <c r="I1401" s="6">
        <v>51</v>
      </c>
      <c r="J1401" s="6" t="s">
        <v>121</v>
      </c>
      <c r="K1401" s="6" t="s">
        <v>171</v>
      </c>
      <c r="L1401" s="11">
        <f>F1401*Controls!$B$6</f>
        <v>39</v>
      </c>
      <c r="M1401" s="11">
        <f>G1401*Controls!$B$6</f>
        <v>4875</v>
      </c>
      <c r="N1401" s="12">
        <f>IF(L1401=0,0,SUMIFS('PSI Plan'!$N$6:$N$173,'PSI Plan'!$B$6:$B$173,B1401,'PSI Plan'!$C$6:$C$173,I1401))</f>
        <v>0</v>
      </c>
      <c r="O1401" s="11">
        <f t="shared" si="42"/>
        <v>0</v>
      </c>
      <c r="P1401" s="11">
        <f t="shared" si="43"/>
        <v>0</v>
      </c>
      <c r="Q1401" s="6"/>
      <c r="R1401" s="6"/>
      <c r="S1401" s="6"/>
      <c r="T1401" s="6"/>
    </row>
    <row r="1402" spans="1:20">
      <c r="A1402" s="6" t="s">
        <v>1551</v>
      </c>
      <c r="B1402" s="6" t="s">
        <v>67</v>
      </c>
      <c r="C1402" s="6" t="s">
        <v>90</v>
      </c>
      <c r="D1402" s="6" t="s">
        <v>119</v>
      </c>
      <c r="E1402" s="6" t="s">
        <v>120</v>
      </c>
      <c r="F1402" s="7">
        <v>13</v>
      </c>
      <c r="G1402" s="7">
        <v>1625</v>
      </c>
      <c r="H1402" s="16">
        <v>45288</v>
      </c>
      <c r="I1402" s="6">
        <v>52</v>
      </c>
      <c r="J1402" s="6" t="s">
        <v>121</v>
      </c>
      <c r="K1402" s="6" t="s">
        <v>171</v>
      </c>
      <c r="L1402" s="11">
        <f>F1402*Controls!$B$6</f>
        <v>13</v>
      </c>
      <c r="M1402" s="11">
        <f>G1402*Controls!$B$6</f>
        <v>1625</v>
      </c>
      <c r="N1402" s="12">
        <f>IF(L1402=0,0,SUMIFS('PSI Plan'!$N$6:$N$173,'PSI Plan'!$B$6:$B$173,B1402,'PSI Plan'!$C$6:$C$173,I1402))</f>
        <v>0</v>
      </c>
      <c r="O1402" s="11">
        <f t="shared" si="42"/>
        <v>0</v>
      </c>
      <c r="P1402" s="11">
        <f t="shared" si="43"/>
        <v>0</v>
      </c>
      <c r="Q1402" s="6"/>
      <c r="R1402" s="6"/>
      <c r="S1402" s="6"/>
      <c r="T1402" s="6"/>
    </row>
    <row r="1403" spans="1:20">
      <c r="A1403" s="6" t="s">
        <v>1552</v>
      </c>
      <c r="B1403" s="6" t="s">
        <v>66</v>
      </c>
      <c r="C1403" s="6" t="s">
        <v>90</v>
      </c>
      <c r="D1403" s="6" t="s">
        <v>119</v>
      </c>
      <c r="E1403" s="6" t="s">
        <v>120</v>
      </c>
      <c r="F1403" s="7">
        <v>6</v>
      </c>
      <c r="G1403" s="7">
        <v>750</v>
      </c>
      <c r="H1403" s="16">
        <v>45232</v>
      </c>
      <c r="I1403" s="6">
        <v>44</v>
      </c>
      <c r="J1403" s="6" t="s">
        <v>121</v>
      </c>
      <c r="K1403" s="6" t="s">
        <v>855</v>
      </c>
      <c r="L1403" s="11">
        <f>F1403*Controls!$B$6</f>
        <v>6</v>
      </c>
      <c r="M1403" s="11">
        <f>G1403*Controls!$B$6</f>
        <v>750</v>
      </c>
      <c r="N1403" s="12">
        <f>IF(L1403=0,0,SUMIFS('PSI Plan'!$N$6:$N$173,'PSI Plan'!$B$6:$B$173,B1403,'PSI Plan'!$C$6:$C$173,I1403))</f>
        <v>0</v>
      </c>
      <c r="O1403" s="11">
        <f t="shared" si="42"/>
        <v>0</v>
      </c>
      <c r="P1403" s="11">
        <f t="shared" si="43"/>
        <v>0</v>
      </c>
      <c r="Q1403" s="6"/>
      <c r="R1403" s="6"/>
      <c r="S1403" s="6"/>
      <c r="T1403" s="6"/>
    </row>
    <row r="1404" spans="1:20">
      <c r="A1404" s="6" t="s">
        <v>1553</v>
      </c>
      <c r="B1404" s="6" t="s">
        <v>77</v>
      </c>
      <c r="C1404" s="6" t="s">
        <v>90</v>
      </c>
      <c r="D1404" s="6" t="s">
        <v>119</v>
      </c>
      <c r="E1404" s="6" t="s">
        <v>120</v>
      </c>
      <c r="F1404" s="7">
        <v>26</v>
      </c>
      <c r="G1404" s="7">
        <v>3250</v>
      </c>
      <c r="H1404" s="16">
        <v>45287</v>
      </c>
      <c r="I1404" s="6">
        <v>52</v>
      </c>
      <c r="J1404" s="6" t="s">
        <v>121</v>
      </c>
      <c r="K1404" s="6" t="s">
        <v>855</v>
      </c>
      <c r="L1404" s="11">
        <f>F1404*Controls!$B$6</f>
        <v>26</v>
      </c>
      <c r="M1404" s="11">
        <f>G1404*Controls!$B$6</f>
        <v>3250</v>
      </c>
      <c r="N1404" s="12">
        <f>IF(L1404=0,0,SUMIFS('PSI Plan'!$N$6:$N$173,'PSI Plan'!$B$6:$B$173,B1404,'PSI Plan'!$C$6:$C$173,I1404))</f>
        <v>0</v>
      </c>
      <c r="O1404" s="11">
        <f t="shared" si="42"/>
        <v>0</v>
      </c>
      <c r="P1404" s="11">
        <f t="shared" si="43"/>
        <v>0</v>
      </c>
      <c r="Q1404" s="6"/>
      <c r="R1404" s="6"/>
      <c r="S1404" s="6"/>
      <c r="T1404" s="6"/>
    </row>
    <row r="1405" spans="1:20">
      <c r="A1405" s="6" t="s">
        <v>1554</v>
      </c>
      <c r="B1405" s="6" t="s">
        <v>66</v>
      </c>
      <c r="C1405" s="6" t="s">
        <v>102</v>
      </c>
      <c r="D1405" s="6" t="s">
        <v>571</v>
      </c>
      <c r="E1405" s="6" t="s">
        <v>120</v>
      </c>
      <c r="F1405" s="7">
        <v>472</v>
      </c>
      <c r="G1405" s="7">
        <v>59000</v>
      </c>
      <c r="H1405" s="16">
        <v>45209</v>
      </c>
      <c r="I1405" s="6">
        <v>41</v>
      </c>
      <c r="J1405" s="6" t="s">
        <v>121</v>
      </c>
      <c r="K1405" s="6" t="s">
        <v>1555</v>
      </c>
      <c r="L1405" s="11">
        <f>F1405*Controls!$B$6</f>
        <v>472</v>
      </c>
      <c r="M1405" s="11">
        <f>G1405*Controls!$B$6</f>
        <v>59000</v>
      </c>
      <c r="N1405" s="12">
        <f>IF(L1405=0,0,SUMIFS('PSI Plan'!$N$6:$N$173,'PSI Plan'!$B$6:$B$173,B1405,'PSI Plan'!$C$6:$C$173,I1405))</f>
        <v>0.22897465437788017</v>
      </c>
      <c r="O1405" s="11">
        <f t="shared" si="42"/>
        <v>108.07603686635944</v>
      </c>
      <c r="P1405" s="11">
        <f t="shared" si="43"/>
        <v>13509.50460829493</v>
      </c>
      <c r="Q1405" s="6"/>
      <c r="R1405" s="6"/>
      <c r="S1405" s="6"/>
      <c r="T1405" s="6"/>
    </row>
    <row r="1406" spans="1:20">
      <c r="A1406" s="6" t="s">
        <v>1556</v>
      </c>
      <c r="B1406" s="6" t="s">
        <v>77</v>
      </c>
      <c r="C1406" s="6" t="s">
        <v>102</v>
      </c>
      <c r="D1406" s="6" t="s">
        <v>571</v>
      </c>
      <c r="E1406" s="6" t="s">
        <v>120</v>
      </c>
      <c r="F1406" s="7">
        <v>476</v>
      </c>
      <c r="G1406" s="7">
        <v>59500</v>
      </c>
      <c r="H1406" s="16">
        <v>45263</v>
      </c>
      <c r="I1406" s="6">
        <v>49</v>
      </c>
      <c r="J1406" s="6" t="s">
        <v>121</v>
      </c>
      <c r="K1406" s="6" t="s">
        <v>1555</v>
      </c>
      <c r="L1406" s="11">
        <f>F1406*Controls!$B$6</f>
        <v>476</v>
      </c>
      <c r="M1406" s="11">
        <f>G1406*Controls!$B$6</f>
        <v>59500</v>
      </c>
      <c r="N1406" s="12">
        <f>IF(L1406=0,0,SUMIFS('PSI Plan'!$N$6:$N$173,'PSI Plan'!$B$6:$B$173,B1406,'PSI Plan'!$C$6:$C$173,I1406))</f>
        <v>0</v>
      </c>
      <c r="O1406" s="11">
        <f t="shared" si="42"/>
        <v>0</v>
      </c>
      <c r="P1406" s="11">
        <f t="shared" si="43"/>
        <v>0</v>
      </c>
      <c r="Q1406" s="6"/>
      <c r="R1406" s="6"/>
      <c r="S1406" s="6"/>
      <c r="T1406" s="6"/>
    </row>
    <row r="1407" spans="1:20">
      <c r="A1407" s="6" t="s">
        <v>1557</v>
      </c>
      <c r="B1407" s="6" t="s">
        <v>76</v>
      </c>
      <c r="C1407" s="6" t="s">
        <v>102</v>
      </c>
      <c r="D1407" s="6" t="s">
        <v>571</v>
      </c>
      <c r="E1407" s="6" t="s">
        <v>120</v>
      </c>
      <c r="F1407" s="7">
        <v>832</v>
      </c>
      <c r="G1407" s="7">
        <v>104000</v>
      </c>
      <c r="H1407" s="16">
        <v>45213</v>
      </c>
      <c r="I1407" s="6">
        <v>41</v>
      </c>
      <c r="J1407" s="6" t="s">
        <v>121</v>
      </c>
      <c r="K1407" s="6" t="s">
        <v>1555</v>
      </c>
      <c r="L1407" s="11">
        <f>F1407*Controls!$B$6</f>
        <v>832</v>
      </c>
      <c r="M1407" s="11">
        <f>G1407*Controls!$B$6</f>
        <v>104000</v>
      </c>
      <c r="N1407" s="12">
        <f>IF(L1407=0,0,SUMIFS('PSI Plan'!$N$6:$N$173,'PSI Plan'!$B$6:$B$173,B1407,'PSI Plan'!$C$6:$C$173,I1407))</f>
        <v>0</v>
      </c>
      <c r="O1407" s="11">
        <f t="shared" si="42"/>
        <v>0</v>
      </c>
      <c r="P1407" s="11">
        <f t="shared" si="43"/>
        <v>0</v>
      </c>
      <c r="Q1407" s="6"/>
      <c r="R1407" s="6"/>
      <c r="S1407" s="6"/>
      <c r="T1407" s="6"/>
    </row>
    <row r="1408" spans="1:20">
      <c r="A1408" s="6" t="s">
        <v>1558</v>
      </c>
      <c r="B1408" s="6" t="s">
        <v>67</v>
      </c>
      <c r="C1408" s="6" t="s">
        <v>102</v>
      </c>
      <c r="D1408" s="6" t="s">
        <v>571</v>
      </c>
      <c r="E1408" s="6" t="s">
        <v>120</v>
      </c>
      <c r="F1408" s="7">
        <v>617</v>
      </c>
      <c r="G1408" s="7">
        <v>77125</v>
      </c>
      <c r="H1408" s="16">
        <v>45279</v>
      </c>
      <c r="I1408" s="6">
        <v>51</v>
      </c>
      <c r="J1408" s="6" t="s">
        <v>121</v>
      </c>
      <c r="K1408" s="6" t="s">
        <v>1555</v>
      </c>
      <c r="L1408" s="11">
        <f>F1408*Controls!$B$6</f>
        <v>617</v>
      </c>
      <c r="M1408" s="11">
        <f>G1408*Controls!$B$6</f>
        <v>77125</v>
      </c>
      <c r="N1408" s="12">
        <f>IF(L1408=0,0,SUMIFS('PSI Plan'!$N$6:$N$173,'PSI Plan'!$B$6:$B$173,B1408,'PSI Plan'!$C$6:$C$173,I1408))</f>
        <v>0</v>
      </c>
      <c r="O1408" s="11">
        <f t="shared" si="42"/>
        <v>0</v>
      </c>
      <c r="P1408" s="11">
        <f t="shared" si="43"/>
        <v>0</v>
      </c>
      <c r="Q1408" s="6"/>
      <c r="R1408" s="6"/>
      <c r="S1408" s="6"/>
      <c r="T1408" s="6"/>
    </row>
    <row r="1409" spans="1:20">
      <c r="A1409" s="6" t="s">
        <v>1559</v>
      </c>
      <c r="B1409" s="6" t="s">
        <v>66</v>
      </c>
      <c r="C1409" s="6" t="s">
        <v>102</v>
      </c>
      <c r="D1409" s="6" t="s">
        <v>571</v>
      </c>
      <c r="E1409" s="6" t="s">
        <v>120</v>
      </c>
      <c r="F1409" s="7">
        <v>832</v>
      </c>
      <c r="G1409" s="7">
        <v>104000</v>
      </c>
      <c r="H1409" s="16">
        <v>45220</v>
      </c>
      <c r="I1409" s="6">
        <v>42</v>
      </c>
      <c r="J1409" s="6" t="s">
        <v>121</v>
      </c>
      <c r="K1409" s="6" t="s">
        <v>1555</v>
      </c>
      <c r="L1409" s="11">
        <f>F1409*Controls!$B$6</f>
        <v>832</v>
      </c>
      <c r="M1409" s="11">
        <f>G1409*Controls!$B$6</f>
        <v>104000</v>
      </c>
      <c r="N1409" s="12">
        <f>IF(L1409=0,0,SUMIFS('PSI Plan'!$N$6:$N$173,'PSI Plan'!$B$6:$B$173,B1409,'PSI Plan'!$C$6:$C$173,I1409))</f>
        <v>0.59807073954983925</v>
      </c>
      <c r="O1409" s="11">
        <f t="shared" si="42"/>
        <v>497.59485530546624</v>
      </c>
      <c r="P1409" s="11">
        <f t="shared" si="43"/>
        <v>62199.356913183285</v>
      </c>
      <c r="Q1409" s="6"/>
      <c r="R1409" s="6"/>
      <c r="S1409" s="6"/>
      <c r="T1409" s="6"/>
    </row>
    <row r="1410" spans="1:20">
      <c r="A1410" s="6" t="s">
        <v>1560</v>
      </c>
      <c r="B1410" s="6" t="s">
        <v>77</v>
      </c>
      <c r="C1410" s="6" t="s">
        <v>102</v>
      </c>
      <c r="D1410" s="6" t="s">
        <v>571</v>
      </c>
      <c r="E1410" s="6" t="s">
        <v>120</v>
      </c>
      <c r="F1410" s="7">
        <v>832</v>
      </c>
      <c r="G1410" s="7">
        <v>104000</v>
      </c>
      <c r="H1410" s="16">
        <v>45262</v>
      </c>
      <c r="I1410" s="6">
        <v>48</v>
      </c>
      <c r="J1410" s="6" t="s">
        <v>121</v>
      </c>
      <c r="K1410" s="6" t="s">
        <v>1555</v>
      </c>
      <c r="L1410" s="11">
        <f>F1410*Controls!$B$6</f>
        <v>832</v>
      </c>
      <c r="M1410" s="11">
        <f>G1410*Controls!$B$6</f>
        <v>104000</v>
      </c>
      <c r="N1410" s="12">
        <f>IF(L1410=0,0,SUMIFS('PSI Plan'!$N$6:$N$173,'PSI Plan'!$B$6:$B$173,B1410,'PSI Plan'!$C$6:$C$173,I1410))</f>
        <v>0</v>
      </c>
      <c r="O1410" s="11">
        <f t="shared" ref="O1410:O1473" si="44">L1410*N1410</f>
        <v>0</v>
      </c>
      <c r="P1410" s="11">
        <f t="shared" ref="P1410:P1473" si="45">M1410*N1410</f>
        <v>0</v>
      </c>
      <c r="Q1410" s="6"/>
      <c r="R1410" s="6"/>
      <c r="S1410" s="6"/>
      <c r="T1410" s="6"/>
    </row>
    <row r="1411" spans="1:20">
      <c r="A1411" s="6" t="s">
        <v>1561</v>
      </c>
      <c r="B1411" s="6" t="s">
        <v>76</v>
      </c>
      <c r="C1411" s="6" t="s">
        <v>102</v>
      </c>
      <c r="D1411" s="6" t="s">
        <v>571</v>
      </c>
      <c r="E1411" s="6" t="s">
        <v>120</v>
      </c>
      <c r="F1411" s="7">
        <v>1248</v>
      </c>
      <c r="G1411" s="7">
        <v>156000</v>
      </c>
      <c r="H1411" s="16">
        <v>45258</v>
      </c>
      <c r="I1411" s="6">
        <v>48</v>
      </c>
      <c r="J1411" s="6" t="s">
        <v>121</v>
      </c>
      <c r="K1411" s="6" t="s">
        <v>1555</v>
      </c>
      <c r="L1411" s="11">
        <f>F1411*Controls!$B$6</f>
        <v>1248</v>
      </c>
      <c r="M1411" s="11">
        <f>G1411*Controls!$B$6</f>
        <v>156000</v>
      </c>
      <c r="N1411" s="12">
        <f>IF(L1411=0,0,SUMIFS('PSI Plan'!$N$6:$N$173,'PSI Plan'!$B$6:$B$173,B1411,'PSI Plan'!$C$6:$C$173,I1411))</f>
        <v>0</v>
      </c>
      <c r="O1411" s="11">
        <f t="shared" si="44"/>
        <v>0</v>
      </c>
      <c r="P1411" s="11">
        <f t="shared" si="45"/>
        <v>0</v>
      </c>
      <c r="Q1411" s="6"/>
      <c r="R1411" s="6"/>
      <c r="S1411" s="6"/>
      <c r="T1411" s="6"/>
    </row>
    <row r="1412" spans="1:20">
      <c r="A1412" s="6" t="s">
        <v>1562</v>
      </c>
      <c r="B1412" s="6" t="s">
        <v>67</v>
      </c>
      <c r="C1412" s="6" t="s">
        <v>102</v>
      </c>
      <c r="D1412" s="6" t="s">
        <v>571</v>
      </c>
      <c r="E1412" s="6" t="s">
        <v>120</v>
      </c>
      <c r="F1412" s="7">
        <v>416</v>
      </c>
      <c r="G1412" s="7">
        <v>52000</v>
      </c>
      <c r="H1412" s="16">
        <v>45246</v>
      </c>
      <c r="I1412" s="6">
        <v>46</v>
      </c>
      <c r="J1412" s="6" t="s">
        <v>121</v>
      </c>
      <c r="K1412" s="6" t="s">
        <v>1555</v>
      </c>
      <c r="L1412" s="11">
        <f>F1412*Controls!$B$6</f>
        <v>416</v>
      </c>
      <c r="M1412" s="11">
        <f>G1412*Controls!$B$6</f>
        <v>52000</v>
      </c>
      <c r="N1412" s="12">
        <f>IF(L1412=0,0,SUMIFS('PSI Plan'!$N$6:$N$173,'PSI Plan'!$B$6:$B$173,B1412,'PSI Plan'!$C$6:$C$173,I1412))</f>
        <v>0</v>
      </c>
      <c r="O1412" s="11">
        <f t="shared" si="44"/>
        <v>0</v>
      </c>
      <c r="P1412" s="11">
        <f t="shared" si="45"/>
        <v>0</v>
      </c>
      <c r="Q1412" s="6"/>
      <c r="R1412" s="6"/>
      <c r="S1412" s="6"/>
      <c r="T1412" s="6"/>
    </row>
    <row r="1413" spans="1:20">
      <c r="A1413" s="6" t="s">
        <v>1563</v>
      </c>
      <c r="B1413" s="6" t="s">
        <v>76</v>
      </c>
      <c r="C1413" s="6" t="s">
        <v>102</v>
      </c>
      <c r="D1413" s="6" t="s">
        <v>571</v>
      </c>
      <c r="E1413" s="6" t="s">
        <v>120</v>
      </c>
      <c r="F1413" s="7">
        <v>459</v>
      </c>
      <c r="G1413" s="7">
        <v>57375</v>
      </c>
      <c r="H1413" s="16">
        <v>45285</v>
      </c>
      <c r="I1413" s="6">
        <v>52</v>
      </c>
      <c r="J1413" s="6" t="s">
        <v>121</v>
      </c>
      <c r="K1413" s="6" t="s">
        <v>1555</v>
      </c>
      <c r="L1413" s="11">
        <f>F1413*Controls!$B$6</f>
        <v>459</v>
      </c>
      <c r="M1413" s="11">
        <f>G1413*Controls!$B$6</f>
        <v>57375</v>
      </c>
      <c r="N1413" s="12">
        <f>IF(L1413=0,0,SUMIFS('PSI Plan'!$N$6:$N$173,'PSI Plan'!$B$6:$B$173,B1413,'PSI Plan'!$C$6:$C$173,I1413))</f>
        <v>0</v>
      </c>
      <c r="O1413" s="11">
        <f t="shared" si="44"/>
        <v>0</v>
      </c>
      <c r="P1413" s="11">
        <f t="shared" si="45"/>
        <v>0</v>
      </c>
      <c r="Q1413" s="6"/>
      <c r="R1413" s="6"/>
      <c r="S1413" s="6"/>
      <c r="T1413" s="6"/>
    </row>
    <row r="1414" spans="1:20">
      <c r="A1414" s="6" t="s">
        <v>1564</v>
      </c>
      <c r="B1414" s="6" t="s">
        <v>67</v>
      </c>
      <c r="C1414" s="6" t="s">
        <v>102</v>
      </c>
      <c r="D1414" s="6" t="s">
        <v>571</v>
      </c>
      <c r="E1414" s="6" t="s">
        <v>120</v>
      </c>
      <c r="F1414" s="7">
        <v>416</v>
      </c>
      <c r="G1414" s="7">
        <v>52000</v>
      </c>
      <c r="H1414" s="16">
        <v>45236</v>
      </c>
      <c r="I1414" s="6">
        <v>45</v>
      </c>
      <c r="J1414" s="6" t="s">
        <v>121</v>
      </c>
      <c r="K1414" s="6" t="s">
        <v>1555</v>
      </c>
      <c r="L1414" s="11">
        <f>F1414*Controls!$B$6</f>
        <v>416</v>
      </c>
      <c r="M1414" s="11">
        <f>G1414*Controls!$B$6</f>
        <v>52000</v>
      </c>
      <c r="N1414" s="12">
        <f>IF(L1414=0,0,SUMIFS('PSI Plan'!$N$6:$N$173,'PSI Plan'!$B$6:$B$173,B1414,'PSI Plan'!$C$6:$C$173,I1414))</f>
        <v>0</v>
      </c>
      <c r="O1414" s="11">
        <f t="shared" si="44"/>
        <v>0</v>
      </c>
      <c r="P1414" s="11">
        <f t="shared" si="45"/>
        <v>0</v>
      </c>
      <c r="Q1414" s="6"/>
      <c r="R1414" s="6"/>
      <c r="S1414" s="6"/>
      <c r="T1414" s="6"/>
    </row>
    <row r="1415" spans="1:20">
      <c r="A1415" s="6" t="s">
        <v>1565</v>
      </c>
      <c r="B1415" s="6" t="s">
        <v>69</v>
      </c>
      <c r="C1415" s="6" t="s">
        <v>102</v>
      </c>
      <c r="D1415" s="6" t="s">
        <v>571</v>
      </c>
      <c r="E1415" s="6" t="s">
        <v>120</v>
      </c>
      <c r="F1415" s="7">
        <v>195</v>
      </c>
      <c r="G1415" s="7">
        <v>24375</v>
      </c>
      <c r="H1415" s="16">
        <v>45231</v>
      </c>
      <c r="I1415" s="6">
        <v>44</v>
      </c>
      <c r="J1415" s="6" t="s">
        <v>121</v>
      </c>
      <c r="K1415" s="6" t="s">
        <v>1555</v>
      </c>
      <c r="L1415" s="11">
        <f>F1415*Controls!$B$6</f>
        <v>195</v>
      </c>
      <c r="M1415" s="11">
        <f>G1415*Controls!$B$6</f>
        <v>24375</v>
      </c>
      <c r="N1415" s="12">
        <f>IF(L1415=0,0,SUMIFS('PSI Plan'!$N$6:$N$173,'PSI Plan'!$B$6:$B$173,B1415,'PSI Plan'!$C$6:$C$173,I1415))</f>
        <v>0</v>
      </c>
      <c r="O1415" s="11">
        <f t="shared" si="44"/>
        <v>0</v>
      </c>
      <c r="P1415" s="11">
        <f t="shared" si="45"/>
        <v>0</v>
      </c>
      <c r="Q1415" s="6"/>
      <c r="R1415" s="6"/>
      <c r="S1415" s="6"/>
      <c r="T1415" s="6"/>
    </row>
    <row r="1416" spans="1:20">
      <c r="A1416" s="6" t="s">
        <v>1566</v>
      </c>
      <c r="B1416" s="6" t="s">
        <v>77</v>
      </c>
      <c r="C1416" s="6" t="s">
        <v>90</v>
      </c>
      <c r="D1416" s="6" t="s">
        <v>119</v>
      </c>
      <c r="E1416" s="6" t="s">
        <v>120</v>
      </c>
      <c r="F1416" s="7">
        <v>26</v>
      </c>
      <c r="G1416" s="7">
        <v>3250</v>
      </c>
      <c r="H1416" s="16">
        <v>45230</v>
      </c>
      <c r="I1416" s="6">
        <v>44</v>
      </c>
      <c r="J1416" s="6" t="s">
        <v>121</v>
      </c>
      <c r="K1416" s="6" t="s">
        <v>298</v>
      </c>
      <c r="L1416" s="11">
        <f>F1416*Controls!$B$6</f>
        <v>26</v>
      </c>
      <c r="M1416" s="11">
        <f>G1416*Controls!$B$6</f>
        <v>3250</v>
      </c>
      <c r="N1416" s="12">
        <f>IF(L1416=0,0,SUMIFS('PSI Plan'!$N$6:$N$173,'PSI Plan'!$B$6:$B$173,B1416,'PSI Plan'!$C$6:$C$173,I1416))</f>
        <v>0</v>
      </c>
      <c r="O1416" s="11">
        <f t="shared" si="44"/>
        <v>0</v>
      </c>
      <c r="P1416" s="11">
        <f t="shared" si="45"/>
        <v>0</v>
      </c>
      <c r="Q1416" s="6"/>
      <c r="R1416" s="6"/>
      <c r="S1416" s="6"/>
      <c r="T1416" s="6"/>
    </row>
    <row r="1417" spans="1:20">
      <c r="A1417" s="6" t="s">
        <v>1567</v>
      </c>
      <c r="B1417" s="6" t="s">
        <v>69</v>
      </c>
      <c r="C1417" s="6" t="s">
        <v>90</v>
      </c>
      <c r="D1417" s="6" t="s">
        <v>119</v>
      </c>
      <c r="E1417" s="6" t="s">
        <v>120</v>
      </c>
      <c r="F1417" s="7">
        <v>6</v>
      </c>
      <c r="G1417" s="7">
        <v>750</v>
      </c>
      <c r="H1417" s="16">
        <v>45287</v>
      </c>
      <c r="I1417" s="6">
        <v>52</v>
      </c>
      <c r="J1417" s="6" t="s">
        <v>121</v>
      </c>
      <c r="K1417" s="6" t="s">
        <v>298</v>
      </c>
      <c r="L1417" s="11">
        <f>F1417*Controls!$B$6</f>
        <v>6</v>
      </c>
      <c r="M1417" s="11">
        <f>G1417*Controls!$B$6</f>
        <v>750</v>
      </c>
      <c r="N1417" s="12">
        <f>IF(L1417=0,0,SUMIFS('PSI Plan'!$N$6:$N$173,'PSI Plan'!$B$6:$B$173,B1417,'PSI Plan'!$C$6:$C$173,I1417))</f>
        <v>0</v>
      </c>
      <c r="O1417" s="11">
        <f t="shared" si="44"/>
        <v>0</v>
      </c>
      <c r="P1417" s="11">
        <f t="shared" si="45"/>
        <v>0</v>
      </c>
      <c r="Q1417" s="6"/>
      <c r="R1417" s="6"/>
      <c r="S1417" s="6"/>
      <c r="T1417" s="6"/>
    </row>
    <row r="1418" spans="1:20">
      <c r="A1418" s="6" t="s">
        <v>1568</v>
      </c>
      <c r="B1418" s="6" t="s">
        <v>66</v>
      </c>
      <c r="C1418" s="6" t="s">
        <v>90</v>
      </c>
      <c r="D1418" s="6" t="s">
        <v>119</v>
      </c>
      <c r="E1418" s="6" t="s">
        <v>120</v>
      </c>
      <c r="F1418" s="7">
        <v>6</v>
      </c>
      <c r="G1418" s="7">
        <v>750</v>
      </c>
      <c r="H1418" s="16">
        <v>45289</v>
      </c>
      <c r="I1418" s="6">
        <v>52</v>
      </c>
      <c r="J1418" s="6" t="s">
        <v>121</v>
      </c>
      <c r="K1418" s="6" t="s">
        <v>139</v>
      </c>
      <c r="L1418" s="11">
        <f>F1418*Controls!$B$6</f>
        <v>6</v>
      </c>
      <c r="M1418" s="11">
        <f>G1418*Controls!$B$6</f>
        <v>750</v>
      </c>
      <c r="N1418" s="12">
        <f>IF(L1418=0,0,SUMIFS('PSI Plan'!$N$6:$N$173,'PSI Plan'!$B$6:$B$173,B1418,'PSI Plan'!$C$6:$C$173,I1418))</f>
        <v>0</v>
      </c>
      <c r="O1418" s="11">
        <f t="shared" si="44"/>
        <v>0</v>
      </c>
      <c r="P1418" s="11">
        <f t="shared" si="45"/>
        <v>0</v>
      </c>
      <c r="Q1418" s="6"/>
      <c r="R1418" s="6"/>
      <c r="S1418" s="6"/>
      <c r="T1418" s="6"/>
    </row>
    <row r="1419" spans="1:20">
      <c r="A1419" s="6" t="s">
        <v>1569</v>
      </c>
      <c r="B1419" s="6" t="s">
        <v>76</v>
      </c>
      <c r="C1419" s="6" t="s">
        <v>90</v>
      </c>
      <c r="D1419" s="6" t="s">
        <v>119</v>
      </c>
      <c r="E1419" s="6" t="s">
        <v>120</v>
      </c>
      <c r="F1419" s="7">
        <v>13</v>
      </c>
      <c r="G1419" s="7">
        <v>1625</v>
      </c>
      <c r="H1419" s="16">
        <v>45216</v>
      </c>
      <c r="I1419" s="6">
        <v>42</v>
      </c>
      <c r="J1419" s="6" t="s">
        <v>121</v>
      </c>
      <c r="K1419" s="6" t="s">
        <v>139</v>
      </c>
      <c r="L1419" s="11">
        <f>F1419*Controls!$B$6</f>
        <v>13</v>
      </c>
      <c r="M1419" s="11">
        <f>G1419*Controls!$B$6</f>
        <v>1625</v>
      </c>
      <c r="N1419" s="12">
        <f>IF(L1419=0,0,SUMIFS('PSI Plan'!$N$6:$N$173,'PSI Plan'!$B$6:$B$173,B1419,'PSI Plan'!$C$6:$C$173,I1419))</f>
        <v>0</v>
      </c>
      <c r="O1419" s="11">
        <f t="shared" si="44"/>
        <v>0</v>
      </c>
      <c r="P1419" s="11">
        <f t="shared" si="45"/>
        <v>0</v>
      </c>
      <c r="Q1419" s="6"/>
      <c r="R1419" s="6"/>
      <c r="S1419" s="6"/>
      <c r="T1419" s="6"/>
    </row>
    <row r="1420" spans="1:20">
      <c r="A1420" s="6" t="s">
        <v>1570</v>
      </c>
      <c r="B1420" s="6" t="s">
        <v>69</v>
      </c>
      <c r="C1420" s="6" t="s">
        <v>90</v>
      </c>
      <c r="D1420" s="6" t="s">
        <v>119</v>
      </c>
      <c r="E1420" s="6" t="s">
        <v>120</v>
      </c>
      <c r="F1420" s="7">
        <v>6</v>
      </c>
      <c r="G1420" s="7">
        <v>750</v>
      </c>
      <c r="H1420" s="16">
        <v>45270</v>
      </c>
      <c r="I1420" s="6">
        <v>50</v>
      </c>
      <c r="J1420" s="6" t="s">
        <v>121</v>
      </c>
      <c r="K1420" s="6" t="s">
        <v>139</v>
      </c>
      <c r="L1420" s="11">
        <f>F1420*Controls!$B$6</f>
        <v>6</v>
      </c>
      <c r="M1420" s="11">
        <f>G1420*Controls!$B$6</f>
        <v>750</v>
      </c>
      <c r="N1420" s="12">
        <f>IF(L1420=0,0,SUMIFS('PSI Plan'!$N$6:$N$173,'PSI Plan'!$B$6:$B$173,B1420,'PSI Plan'!$C$6:$C$173,I1420))</f>
        <v>0</v>
      </c>
      <c r="O1420" s="11">
        <f t="shared" si="44"/>
        <v>0</v>
      </c>
      <c r="P1420" s="11">
        <f t="shared" si="45"/>
        <v>0</v>
      </c>
      <c r="Q1420" s="6"/>
      <c r="R1420" s="6"/>
      <c r="S1420" s="6"/>
      <c r="T1420" s="6"/>
    </row>
    <row r="1421" spans="1:20">
      <c r="A1421" s="6" t="s">
        <v>1571</v>
      </c>
      <c r="B1421" s="6" t="s">
        <v>66</v>
      </c>
      <c r="C1421" s="6" t="s">
        <v>90</v>
      </c>
      <c r="D1421" s="6" t="s">
        <v>119</v>
      </c>
      <c r="E1421" s="6" t="s">
        <v>120</v>
      </c>
      <c r="F1421" s="7">
        <v>6</v>
      </c>
      <c r="G1421" s="7">
        <v>750</v>
      </c>
      <c r="H1421" s="16">
        <v>45221</v>
      </c>
      <c r="I1421" s="6">
        <v>43</v>
      </c>
      <c r="J1421" s="6" t="s">
        <v>121</v>
      </c>
      <c r="K1421" s="6" t="s">
        <v>171</v>
      </c>
      <c r="L1421" s="11">
        <f>F1421*Controls!$B$6</f>
        <v>6</v>
      </c>
      <c r="M1421" s="11">
        <f>G1421*Controls!$B$6</f>
        <v>750</v>
      </c>
      <c r="N1421" s="12">
        <f>IF(L1421=0,0,SUMIFS('PSI Plan'!$N$6:$N$173,'PSI Plan'!$B$6:$B$173,B1421,'PSI Plan'!$C$6:$C$173,I1421))</f>
        <v>0</v>
      </c>
      <c r="O1421" s="11">
        <f t="shared" si="44"/>
        <v>0</v>
      </c>
      <c r="P1421" s="11">
        <f t="shared" si="45"/>
        <v>0</v>
      </c>
      <c r="Q1421" s="6"/>
      <c r="R1421" s="6"/>
      <c r="S1421" s="6"/>
      <c r="T1421" s="6"/>
    </row>
    <row r="1422" spans="1:20">
      <c r="A1422" s="6" t="s">
        <v>1572</v>
      </c>
      <c r="B1422" s="6" t="s">
        <v>77</v>
      </c>
      <c r="C1422" s="6" t="s">
        <v>90</v>
      </c>
      <c r="D1422" s="6" t="s">
        <v>119</v>
      </c>
      <c r="E1422" s="6" t="s">
        <v>120</v>
      </c>
      <c r="F1422" s="7">
        <v>13</v>
      </c>
      <c r="G1422" s="7">
        <v>1625</v>
      </c>
      <c r="H1422" s="16">
        <v>45275</v>
      </c>
      <c r="I1422" s="6">
        <v>50</v>
      </c>
      <c r="J1422" s="6" t="s">
        <v>121</v>
      </c>
      <c r="K1422" s="6" t="s">
        <v>171</v>
      </c>
      <c r="L1422" s="11">
        <f>F1422*Controls!$B$6</f>
        <v>13</v>
      </c>
      <c r="M1422" s="11">
        <f>G1422*Controls!$B$6</f>
        <v>1625</v>
      </c>
      <c r="N1422" s="12">
        <f>IF(L1422=0,0,SUMIFS('PSI Plan'!$N$6:$N$173,'PSI Plan'!$B$6:$B$173,B1422,'PSI Plan'!$C$6:$C$173,I1422))</f>
        <v>0</v>
      </c>
      <c r="O1422" s="11">
        <f t="shared" si="44"/>
        <v>0</v>
      </c>
      <c r="P1422" s="11">
        <f t="shared" si="45"/>
        <v>0</v>
      </c>
      <c r="Q1422" s="6"/>
      <c r="R1422" s="6"/>
      <c r="S1422" s="6"/>
      <c r="T1422" s="6"/>
    </row>
    <row r="1423" spans="1:20">
      <c r="A1423" s="6" t="s">
        <v>1573</v>
      </c>
      <c r="B1423" s="6" t="s">
        <v>76</v>
      </c>
      <c r="C1423" s="6" t="s">
        <v>90</v>
      </c>
      <c r="D1423" s="6" t="s">
        <v>119</v>
      </c>
      <c r="E1423" s="6" t="s">
        <v>120</v>
      </c>
      <c r="F1423" s="7">
        <v>6</v>
      </c>
      <c r="G1423" s="7">
        <v>750</v>
      </c>
      <c r="H1423" s="16">
        <v>45247</v>
      </c>
      <c r="I1423" s="6">
        <v>46</v>
      </c>
      <c r="J1423" s="6" t="s">
        <v>121</v>
      </c>
      <c r="K1423" s="6" t="s">
        <v>171</v>
      </c>
      <c r="L1423" s="11">
        <f>F1423*Controls!$B$6</f>
        <v>6</v>
      </c>
      <c r="M1423" s="11">
        <f>G1423*Controls!$B$6</f>
        <v>750</v>
      </c>
      <c r="N1423" s="12">
        <f>IF(L1423=0,0,SUMIFS('PSI Plan'!$N$6:$N$173,'PSI Plan'!$B$6:$B$173,B1423,'PSI Plan'!$C$6:$C$173,I1423))</f>
        <v>0</v>
      </c>
      <c r="O1423" s="11">
        <f t="shared" si="44"/>
        <v>0</v>
      </c>
      <c r="P1423" s="11">
        <f t="shared" si="45"/>
        <v>0</v>
      </c>
      <c r="Q1423" s="6"/>
      <c r="R1423" s="6"/>
      <c r="S1423" s="6"/>
      <c r="T1423" s="6"/>
    </row>
    <row r="1424" spans="1:20">
      <c r="A1424" s="6" t="s">
        <v>1574</v>
      </c>
      <c r="B1424" s="6" t="s">
        <v>69</v>
      </c>
      <c r="C1424" s="6" t="s">
        <v>90</v>
      </c>
      <c r="D1424" s="6" t="s">
        <v>119</v>
      </c>
      <c r="E1424" s="6" t="s">
        <v>120</v>
      </c>
      <c r="F1424" s="7">
        <v>65</v>
      </c>
      <c r="G1424" s="7">
        <v>8125</v>
      </c>
      <c r="H1424" s="16">
        <v>45217</v>
      </c>
      <c r="I1424" s="6">
        <v>42</v>
      </c>
      <c r="J1424" s="6" t="s">
        <v>121</v>
      </c>
      <c r="K1424" s="6" t="s">
        <v>171</v>
      </c>
      <c r="L1424" s="11">
        <f>F1424*Controls!$B$6</f>
        <v>65</v>
      </c>
      <c r="M1424" s="11">
        <f>G1424*Controls!$B$6</f>
        <v>8125</v>
      </c>
      <c r="N1424" s="12">
        <f>IF(L1424=0,0,SUMIFS('PSI Plan'!$N$6:$N$173,'PSI Plan'!$B$6:$B$173,B1424,'PSI Plan'!$C$6:$C$173,I1424))</f>
        <v>0</v>
      </c>
      <c r="O1424" s="11">
        <f t="shared" si="44"/>
        <v>0</v>
      </c>
      <c r="P1424" s="11">
        <f t="shared" si="45"/>
        <v>0</v>
      </c>
      <c r="Q1424" s="6"/>
      <c r="R1424" s="6"/>
      <c r="S1424" s="6"/>
      <c r="T1424" s="6"/>
    </row>
    <row r="1425" spans="1:20">
      <c r="A1425" s="6" t="s">
        <v>1575</v>
      </c>
      <c r="B1425" s="6" t="s">
        <v>66</v>
      </c>
      <c r="C1425" s="6" t="s">
        <v>99</v>
      </c>
      <c r="D1425" s="6" t="s">
        <v>319</v>
      </c>
      <c r="E1425" s="6" t="s">
        <v>120</v>
      </c>
      <c r="F1425" s="7">
        <v>14</v>
      </c>
      <c r="G1425" s="7">
        <v>1750</v>
      </c>
      <c r="H1425" s="16">
        <v>45272</v>
      </c>
      <c r="I1425" s="6">
        <v>50</v>
      </c>
      <c r="J1425" s="6" t="s">
        <v>121</v>
      </c>
      <c r="K1425" s="6" t="s">
        <v>1576</v>
      </c>
      <c r="L1425" s="11">
        <f>F1425*Controls!$B$6</f>
        <v>14</v>
      </c>
      <c r="M1425" s="11">
        <f>G1425*Controls!$B$6</f>
        <v>1750</v>
      </c>
      <c r="N1425" s="12">
        <f>IF(L1425=0,0,SUMIFS('PSI Plan'!$N$6:$N$173,'PSI Plan'!$B$6:$B$173,B1425,'PSI Plan'!$C$6:$C$173,I1425))</f>
        <v>0</v>
      </c>
      <c r="O1425" s="11">
        <f t="shared" si="44"/>
        <v>0</v>
      </c>
      <c r="P1425" s="11">
        <f t="shared" si="45"/>
        <v>0</v>
      </c>
      <c r="Q1425" s="6"/>
      <c r="R1425" s="6"/>
      <c r="S1425" s="6"/>
      <c r="T1425" s="6"/>
    </row>
    <row r="1426" spans="1:20">
      <c r="A1426" s="6" t="s">
        <v>1577</v>
      </c>
      <c r="B1426" s="6" t="s">
        <v>77</v>
      </c>
      <c r="C1426" s="6" t="s">
        <v>99</v>
      </c>
      <c r="D1426" s="6" t="s">
        <v>319</v>
      </c>
      <c r="E1426" s="6" t="s">
        <v>120</v>
      </c>
      <c r="F1426" s="7">
        <v>22</v>
      </c>
      <c r="G1426" s="7">
        <v>2750</v>
      </c>
      <c r="H1426" s="16">
        <v>45237</v>
      </c>
      <c r="I1426" s="6">
        <v>45</v>
      </c>
      <c r="J1426" s="6" t="s">
        <v>121</v>
      </c>
      <c r="K1426" s="6" t="s">
        <v>1576</v>
      </c>
      <c r="L1426" s="11">
        <f>F1426*Controls!$B$6</f>
        <v>22</v>
      </c>
      <c r="M1426" s="11">
        <f>G1426*Controls!$B$6</f>
        <v>2750</v>
      </c>
      <c r="N1426" s="12">
        <f>IF(L1426=0,0,SUMIFS('PSI Plan'!$N$6:$N$173,'PSI Plan'!$B$6:$B$173,B1426,'PSI Plan'!$C$6:$C$173,I1426))</f>
        <v>0</v>
      </c>
      <c r="O1426" s="11">
        <f t="shared" si="44"/>
        <v>0</v>
      </c>
      <c r="P1426" s="11">
        <f t="shared" si="45"/>
        <v>0</v>
      </c>
      <c r="Q1426" s="6"/>
      <c r="R1426" s="6"/>
      <c r="S1426" s="6"/>
      <c r="T1426" s="6"/>
    </row>
    <row r="1427" spans="1:20">
      <c r="A1427" s="6" t="s">
        <v>1578</v>
      </c>
      <c r="B1427" s="6" t="s">
        <v>69</v>
      </c>
      <c r="C1427" s="6" t="s">
        <v>99</v>
      </c>
      <c r="D1427" s="6" t="s">
        <v>319</v>
      </c>
      <c r="E1427" s="6" t="s">
        <v>120</v>
      </c>
      <c r="F1427" s="7">
        <v>22</v>
      </c>
      <c r="G1427" s="7">
        <v>2750</v>
      </c>
      <c r="H1427" s="16">
        <v>45276</v>
      </c>
      <c r="I1427" s="6">
        <v>50</v>
      </c>
      <c r="J1427" s="6" t="s">
        <v>121</v>
      </c>
      <c r="K1427" s="6" t="s">
        <v>1576</v>
      </c>
      <c r="L1427" s="11">
        <f>F1427*Controls!$B$6</f>
        <v>22</v>
      </c>
      <c r="M1427" s="11">
        <f>G1427*Controls!$B$6</f>
        <v>2750</v>
      </c>
      <c r="N1427" s="12">
        <f>IF(L1427=0,0,SUMIFS('PSI Plan'!$N$6:$N$173,'PSI Plan'!$B$6:$B$173,B1427,'PSI Plan'!$C$6:$C$173,I1427))</f>
        <v>0</v>
      </c>
      <c r="O1427" s="11">
        <f t="shared" si="44"/>
        <v>0</v>
      </c>
      <c r="P1427" s="11">
        <f t="shared" si="45"/>
        <v>0</v>
      </c>
      <c r="Q1427" s="6"/>
      <c r="R1427" s="6"/>
      <c r="S1427" s="6"/>
      <c r="T1427" s="6"/>
    </row>
    <row r="1428" spans="1:20">
      <c r="A1428" s="6" t="s">
        <v>1579</v>
      </c>
      <c r="B1428" s="6" t="s">
        <v>66</v>
      </c>
      <c r="C1428" s="6" t="s">
        <v>99</v>
      </c>
      <c r="D1428" s="6" t="s">
        <v>319</v>
      </c>
      <c r="E1428" s="6" t="s">
        <v>120</v>
      </c>
      <c r="F1428" s="7">
        <v>20</v>
      </c>
      <c r="G1428" s="7">
        <v>2500</v>
      </c>
      <c r="H1428" s="16">
        <v>45262</v>
      </c>
      <c r="I1428" s="6">
        <v>48</v>
      </c>
      <c r="J1428" s="6" t="s">
        <v>121</v>
      </c>
      <c r="K1428" s="6" t="s">
        <v>361</v>
      </c>
      <c r="L1428" s="11">
        <f>F1428*Controls!$B$6</f>
        <v>20</v>
      </c>
      <c r="M1428" s="11">
        <f>G1428*Controls!$B$6</f>
        <v>2500</v>
      </c>
      <c r="N1428" s="12">
        <f>IF(L1428=0,0,SUMIFS('PSI Plan'!$N$6:$N$173,'PSI Plan'!$B$6:$B$173,B1428,'PSI Plan'!$C$6:$C$173,I1428))</f>
        <v>0</v>
      </c>
      <c r="O1428" s="11">
        <f t="shared" si="44"/>
        <v>0</v>
      </c>
      <c r="P1428" s="11">
        <f t="shared" si="45"/>
        <v>0</v>
      </c>
      <c r="Q1428" s="6"/>
      <c r="R1428" s="6"/>
      <c r="S1428" s="6"/>
      <c r="T1428" s="6"/>
    </row>
    <row r="1429" spans="1:20">
      <c r="A1429" s="6" t="s">
        <v>1580</v>
      </c>
      <c r="B1429" s="6" t="s">
        <v>77</v>
      </c>
      <c r="C1429" s="6" t="s">
        <v>99</v>
      </c>
      <c r="D1429" s="6" t="s">
        <v>319</v>
      </c>
      <c r="E1429" s="6" t="s">
        <v>120</v>
      </c>
      <c r="F1429" s="7">
        <v>31</v>
      </c>
      <c r="G1429" s="7">
        <v>3875</v>
      </c>
      <c r="H1429" s="16">
        <v>45287</v>
      </c>
      <c r="I1429" s="6">
        <v>52</v>
      </c>
      <c r="J1429" s="6" t="s">
        <v>121</v>
      </c>
      <c r="K1429" s="6" t="s">
        <v>361</v>
      </c>
      <c r="L1429" s="11">
        <f>F1429*Controls!$B$6</f>
        <v>31</v>
      </c>
      <c r="M1429" s="11">
        <f>G1429*Controls!$B$6</f>
        <v>3875</v>
      </c>
      <c r="N1429" s="12">
        <f>IF(L1429=0,0,SUMIFS('PSI Plan'!$N$6:$N$173,'PSI Plan'!$B$6:$B$173,B1429,'PSI Plan'!$C$6:$C$173,I1429))</f>
        <v>0</v>
      </c>
      <c r="O1429" s="11">
        <f t="shared" si="44"/>
        <v>0</v>
      </c>
      <c r="P1429" s="11">
        <f t="shared" si="45"/>
        <v>0</v>
      </c>
      <c r="Q1429" s="6"/>
      <c r="R1429" s="6"/>
      <c r="S1429" s="6"/>
      <c r="T1429" s="6"/>
    </row>
    <row r="1430" spans="1:20">
      <c r="A1430" s="6" t="s">
        <v>1581</v>
      </c>
      <c r="B1430" s="6" t="s">
        <v>67</v>
      </c>
      <c r="C1430" s="6" t="s">
        <v>99</v>
      </c>
      <c r="D1430" s="6" t="s">
        <v>319</v>
      </c>
      <c r="E1430" s="6" t="s">
        <v>120</v>
      </c>
      <c r="F1430" s="7">
        <v>52</v>
      </c>
      <c r="G1430" s="7">
        <v>6500</v>
      </c>
      <c r="H1430" s="16">
        <v>45258</v>
      </c>
      <c r="I1430" s="6">
        <v>48</v>
      </c>
      <c r="J1430" s="6" t="s">
        <v>121</v>
      </c>
      <c r="K1430" s="6" t="s">
        <v>361</v>
      </c>
      <c r="L1430" s="11">
        <f>F1430*Controls!$B$6</f>
        <v>52</v>
      </c>
      <c r="M1430" s="11">
        <f>G1430*Controls!$B$6</f>
        <v>6500</v>
      </c>
      <c r="N1430" s="12">
        <f>IF(L1430=0,0,SUMIFS('PSI Plan'!$N$6:$N$173,'PSI Plan'!$B$6:$B$173,B1430,'PSI Plan'!$C$6:$C$173,I1430))</f>
        <v>0</v>
      </c>
      <c r="O1430" s="11">
        <f t="shared" si="44"/>
        <v>0</v>
      </c>
      <c r="P1430" s="11">
        <f t="shared" si="45"/>
        <v>0</v>
      </c>
      <c r="Q1430" s="6"/>
      <c r="R1430" s="6"/>
      <c r="S1430" s="6"/>
      <c r="T1430" s="6"/>
    </row>
    <row r="1431" spans="1:20">
      <c r="A1431" s="6" t="s">
        <v>1582</v>
      </c>
      <c r="B1431" s="6" t="s">
        <v>69</v>
      </c>
      <c r="C1431" s="6" t="s">
        <v>99</v>
      </c>
      <c r="D1431" s="6" t="s">
        <v>319</v>
      </c>
      <c r="E1431" s="6" t="s">
        <v>120</v>
      </c>
      <c r="F1431" s="7">
        <v>30</v>
      </c>
      <c r="G1431" s="7">
        <v>3750</v>
      </c>
      <c r="H1431" s="16">
        <v>45288</v>
      </c>
      <c r="I1431" s="6">
        <v>52</v>
      </c>
      <c r="J1431" s="6" t="s">
        <v>121</v>
      </c>
      <c r="K1431" s="6" t="s">
        <v>361</v>
      </c>
      <c r="L1431" s="11">
        <f>F1431*Controls!$B$6</f>
        <v>30</v>
      </c>
      <c r="M1431" s="11">
        <f>G1431*Controls!$B$6</f>
        <v>3750</v>
      </c>
      <c r="N1431" s="12">
        <f>IF(L1431=0,0,SUMIFS('PSI Plan'!$N$6:$N$173,'PSI Plan'!$B$6:$B$173,B1431,'PSI Plan'!$C$6:$C$173,I1431))</f>
        <v>0</v>
      </c>
      <c r="O1431" s="11">
        <f t="shared" si="44"/>
        <v>0</v>
      </c>
      <c r="P1431" s="11">
        <f t="shared" si="45"/>
        <v>0</v>
      </c>
      <c r="Q1431" s="6"/>
      <c r="R1431" s="6"/>
      <c r="S1431" s="6"/>
      <c r="T1431" s="6"/>
    </row>
    <row r="1432" spans="1:20">
      <c r="A1432" s="6" t="s">
        <v>1583</v>
      </c>
      <c r="B1432" s="6" t="s">
        <v>66</v>
      </c>
      <c r="C1432" s="6" t="s">
        <v>99</v>
      </c>
      <c r="D1432" s="6" t="s">
        <v>319</v>
      </c>
      <c r="E1432" s="6" t="s">
        <v>120</v>
      </c>
      <c r="F1432" s="7">
        <v>11</v>
      </c>
      <c r="G1432" s="7">
        <v>1375</v>
      </c>
      <c r="H1432" s="16">
        <v>45262</v>
      </c>
      <c r="I1432" s="6">
        <v>48</v>
      </c>
      <c r="J1432" s="6" t="s">
        <v>121</v>
      </c>
      <c r="K1432" s="6" t="s">
        <v>324</v>
      </c>
      <c r="L1432" s="11">
        <f>F1432*Controls!$B$6</f>
        <v>11</v>
      </c>
      <c r="M1432" s="11">
        <f>G1432*Controls!$B$6</f>
        <v>1375</v>
      </c>
      <c r="N1432" s="12">
        <f>IF(L1432=0,0,SUMIFS('PSI Plan'!$N$6:$N$173,'PSI Plan'!$B$6:$B$173,B1432,'PSI Plan'!$C$6:$C$173,I1432))</f>
        <v>0</v>
      </c>
      <c r="O1432" s="11">
        <f t="shared" si="44"/>
        <v>0</v>
      </c>
      <c r="P1432" s="11">
        <f t="shared" si="45"/>
        <v>0</v>
      </c>
      <c r="Q1432" s="6"/>
      <c r="R1432" s="6"/>
      <c r="S1432" s="6"/>
      <c r="T1432" s="6"/>
    </row>
    <row r="1433" spans="1:20">
      <c r="A1433" s="6" t="s">
        <v>1584</v>
      </c>
      <c r="B1433" s="6" t="s">
        <v>77</v>
      </c>
      <c r="C1433" s="6" t="s">
        <v>99</v>
      </c>
      <c r="D1433" s="6" t="s">
        <v>319</v>
      </c>
      <c r="E1433" s="6" t="s">
        <v>120</v>
      </c>
      <c r="F1433" s="7">
        <v>38</v>
      </c>
      <c r="G1433" s="7">
        <v>4750</v>
      </c>
      <c r="H1433" s="16">
        <v>45270</v>
      </c>
      <c r="I1433" s="6">
        <v>50</v>
      </c>
      <c r="J1433" s="6" t="s">
        <v>121</v>
      </c>
      <c r="K1433" s="6" t="s">
        <v>324</v>
      </c>
      <c r="L1433" s="11">
        <f>F1433*Controls!$B$6</f>
        <v>38</v>
      </c>
      <c r="M1433" s="11">
        <f>G1433*Controls!$B$6</f>
        <v>4750</v>
      </c>
      <c r="N1433" s="12">
        <f>IF(L1433=0,0,SUMIFS('PSI Plan'!$N$6:$N$173,'PSI Plan'!$B$6:$B$173,B1433,'PSI Plan'!$C$6:$C$173,I1433))</f>
        <v>0</v>
      </c>
      <c r="O1433" s="11">
        <f t="shared" si="44"/>
        <v>0</v>
      </c>
      <c r="P1433" s="11">
        <f t="shared" si="45"/>
        <v>0</v>
      </c>
      <c r="Q1433" s="6"/>
      <c r="R1433" s="6"/>
      <c r="S1433" s="6"/>
      <c r="T1433" s="6"/>
    </row>
    <row r="1434" spans="1:20">
      <c r="A1434" s="6" t="s">
        <v>1585</v>
      </c>
      <c r="B1434" s="6" t="s">
        <v>67</v>
      </c>
      <c r="C1434" s="6" t="s">
        <v>99</v>
      </c>
      <c r="D1434" s="6" t="s">
        <v>319</v>
      </c>
      <c r="E1434" s="6" t="s">
        <v>120</v>
      </c>
      <c r="F1434" s="7">
        <v>22</v>
      </c>
      <c r="G1434" s="7">
        <v>2750</v>
      </c>
      <c r="H1434" s="16">
        <v>45255</v>
      </c>
      <c r="I1434" s="6">
        <v>47</v>
      </c>
      <c r="J1434" s="6" t="s">
        <v>121</v>
      </c>
      <c r="K1434" s="6" t="s">
        <v>324</v>
      </c>
      <c r="L1434" s="11">
        <f>F1434*Controls!$B$6</f>
        <v>22</v>
      </c>
      <c r="M1434" s="11">
        <f>G1434*Controls!$B$6</f>
        <v>2750</v>
      </c>
      <c r="N1434" s="12">
        <f>IF(L1434=0,0,SUMIFS('PSI Plan'!$N$6:$N$173,'PSI Plan'!$B$6:$B$173,B1434,'PSI Plan'!$C$6:$C$173,I1434))</f>
        <v>0</v>
      </c>
      <c r="O1434" s="11">
        <f t="shared" si="44"/>
        <v>0</v>
      </c>
      <c r="P1434" s="11">
        <f t="shared" si="45"/>
        <v>0</v>
      </c>
      <c r="Q1434" s="6"/>
      <c r="R1434" s="6"/>
      <c r="S1434" s="6"/>
      <c r="T1434" s="6"/>
    </row>
    <row r="1435" spans="1:20">
      <c r="A1435" s="6" t="s">
        <v>1586</v>
      </c>
      <c r="B1435" s="6" t="s">
        <v>69</v>
      </c>
      <c r="C1435" s="6" t="s">
        <v>99</v>
      </c>
      <c r="D1435" s="6" t="s">
        <v>319</v>
      </c>
      <c r="E1435" s="6" t="s">
        <v>120</v>
      </c>
      <c r="F1435" s="7">
        <v>52</v>
      </c>
      <c r="G1435" s="7">
        <v>6500</v>
      </c>
      <c r="H1435" s="16">
        <v>45222</v>
      </c>
      <c r="I1435" s="6">
        <v>43</v>
      </c>
      <c r="J1435" s="6" t="s">
        <v>121</v>
      </c>
      <c r="K1435" s="6" t="s">
        <v>324</v>
      </c>
      <c r="L1435" s="11">
        <f>F1435*Controls!$B$6</f>
        <v>52</v>
      </c>
      <c r="M1435" s="11">
        <f>G1435*Controls!$B$6</f>
        <v>6500</v>
      </c>
      <c r="N1435" s="12">
        <f>IF(L1435=0,0,SUMIFS('PSI Plan'!$N$6:$N$173,'PSI Plan'!$B$6:$B$173,B1435,'PSI Plan'!$C$6:$C$173,I1435))</f>
        <v>0</v>
      </c>
      <c r="O1435" s="11">
        <f t="shared" si="44"/>
        <v>0</v>
      </c>
      <c r="P1435" s="11">
        <f t="shared" si="45"/>
        <v>0</v>
      </c>
      <c r="Q1435" s="6"/>
      <c r="R1435" s="6"/>
      <c r="S1435" s="6"/>
      <c r="T1435" s="6"/>
    </row>
    <row r="1436" spans="1:20">
      <c r="A1436" s="6" t="s">
        <v>1587</v>
      </c>
      <c r="B1436" s="6" t="s">
        <v>66</v>
      </c>
      <c r="C1436" s="6" t="s">
        <v>99</v>
      </c>
      <c r="D1436" s="6" t="s">
        <v>319</v>
      </c>
      <c r="E1436" s="6" t="s">
        <v>120</v>
      </c>
      <c r="F1436" s="7">
        <v>52</v>
      </c>
      <c r="G1436" s="7">
        <v>6500</v>
      </c>
      <c r="H1436" s="16">
        <v>45264</v>
      </c>
      <c r="I1436" s="6">
        <v>49</v>
      </c>
      <c r="J1436" s="6" t="s">
        <v>121</v>
      </c>
      <c r="K1436" s="6" t="s">
        <v>344</v>
      </c>
      <c r="L1436" s="11">
        <f>F1436*Controls!$B$6</f>
        <v>52</v>
      </c>
      <c r="M1436" s="11">
        <f>G1436*Controls!$B$6</f>
        <v>6500</v>
      </c>
      <c r="N1436" s="12">
        <f>IF(L1436=0,0,SUMIFS('PSI Plan'!$N$6:$N$173,'PSI Plan'!$B$6:$B$173,B1436,'PSI Plan'!$C$6:$C$173,I1436))</f>
        <v>0</v>
      </c>
      <c r="O1436" s="11">
        <f t="shared" si="44"/>
        <v>0</v>
      </c>
      <c r="P1436" s="11">
        <f t="shared" si="45"/>
        <v>0</v>
      </c>
      <c r="Q1436" s="6"/>
      <c r="R1436" s="6"/>
      <c r="S1436" s="6"/>
      <c r="T1436" s="6"/>
    </row>
    <row r="1437" spans="1:20">
      <c r="A1437" s="6" t="s">
        <v>1588</v>
      </c>
      <c r="B1437" s="6" t="s">
        <v>77</v>
      </c>
      <c r="C1437" s="6" t="s">
        <v>99</v>
      </c>
      <c r="D1437" s="6" t="s">
        <v>319</v>
      </c>
      <c r="E1437" s="6" t="s">
        <v>120</v>
      </c>
      <c r="F1437" s="7">
        <v>104</v>
      </c>
      <c r="G1437" s="7">
        <v>13000</v>
      </c>
      <c r="H1437" s="16">
        <v>45274</v>
      </c>
      <c r="I1437" s="6">
        <v>50</v>
      </c>
      <c r="J1437" s="6" t="s">
        <v>121</v>
      </c>
      <c r="K1437" s="6" t="s">
        <v>344</v>
      </c>
      <c r="L1437" s="11">
        <f>F1437*Controls!$B$6</f>
        <v>104</v>
      </c>
      <c r="M1437" s="11">
        <f>G1437*Controls!$B$6</f>
        <v>13000</v>
      </c>
      <c r="N1437" s="12">
        <f>IF(L1437=0,0,SUMIFS('PSI Plan'!$N$6:$N$173,'PSI Plan'!$B$6:$B$173,B1437,'PSI Plan'!$C$6:$C$173,I1437))</f>
        <v>0</v>
      </c>
      <c r="O1437" s="11">
        <f t="shared" si="44"/>
        <v>0</v>
      </c>
      <c r="P1437" s="11">
        <f t="shared" si="45"/>
        <v>0</v>
      </c>
      <c r="Q1437" s="6"/>
      <c r="R1437" s="6"/>
      <c r="S1437" s="6"/>
      <c r="T1437" s="6"/>
    </row>
    <row r="1438" spans="1:20">
      <c r="A1438" s="6" t="s">
        <v>1589</v>
      </c>
      <c r="B1438" s="6" t="s">
        <v>67</v>
      </c>
      <c r="C1438" s="6" t="s">
        <v>99</v>
      </c>
      <c r="D1438" s="6" t="s">
        <v>319</v>
      </c>
      <c r="E1438" s="6" t="s">
        <v>120</v>
      </c>
      <c r="F1438" s="7">
        <v>52</v>
      </c>
      <c r="G1438" s="7">
        <v>6500</v>
      </c>
      <c r="H1438" s="16">
        <v>45225</v>
      </c>
      <c r="I1438" s="6">
        <v>43</v>
      </c>
      <c r="J1438" s="6" t="s">
        <v>121</v>
      </c>
      <c r="K1438" s="6" t="s">
        <v>344</v>
      </c>
      <c r="L1438" s="11">
        <f>F1438*Controls!$B$6</f>
        <v>52</v>
      </c>
      <c r="M1438" s="11">
        <f>G1438*Controls!$B$6</f>
        <v>6500</v>
      </c>
      <c r="N1438" s="12">
        <f>IF(L1438=0,0,SUMIFS('PSI Plan'!$N$6:$N$173,'PSI Plan'!$B$6:$B$173,B1438,'PSI Plan'!$C$6:$C$173,I1438))</f>
        <v>0</v>
      </c>
      <c r="O1438" s="11">
        <f t="shared" si="44"/>
        <v>0</v>
      </c>
      <c r="P1438" s="11">
        <f t="shared" si="45"/>
        <v>0</v>
      </c>
      <c r="Q1438" s="6"/>
      <c r="R1438" s="6"/>
      <c r="S1438" s="6"/>
      <c r="T1438" s="6"/>
    </row>
    <row r="1439" spans="1:20">
      <c r="A1439" s="6" t="s">
        <v>1590</v>
      </c>
      <c r="B1439" s="6" t="s">
        <v>69</v>
      </c>
      <c r="C1439" s="6" t="s">
        <v>99</v>
      </c>
      <c r="D1439" s="6" t="s">
        <v>319</v>
      </c>
      <c r="E1439" s="6" t="s">
        <v>120</v>
      </c>
      <c r="F1439" s="7">
        <v>104</v>
      </c>
      <c r="G1439" s="7">
        <v>13000</v>
      </c>
      <c r="H1439" s="16">
        <v>45286</v>
      </c>
      <c r="I1439" s="6">
        <v>52</v>
      </c>
      <c r="J1439" s="6" t="s">
        <v>121</v>
      </c>
      <c r="K1439" s="6" t="s">
        <v>344</v>
      </c>
      <c r="L1439" s="11">
        <f>F1439*Controls!$B$6</f>
        <v>104</v>
      </c>
      <c r="M1439" s="11">
        <f>G1439*Controls!$B$6</f>
        <v>13000</v>
      </c>
      <c r="N1439" s="12">
        <f>IF(L1439=0,0,SUMIFS('PSI Plan'!$N$6:$N$173,'PSI Plan'!$B$6:$B$173,B1439,'PSI Plan'!$C$6:$C$173,I1439))</f>
        <v>0</v>
      </c>
      <c r="O1439" s="11">
        <f t="shared" si="44"/>
        <v>0</v>
      </c>
      <c r="P1439" s="11">
        <f t="shared" si="45"/>
        <v>0</v>
      </c>
      <c r="Q1439" s="6"/>
      <c r="R1439" s="6"/>
      <c r="S1439" s="6"/>
      <c r="T1439" s="6"/>
    </row>
    <row r="1440" spans="1:20">
      <c r="A1440" s="6" t="s">
        <v>1591</v>
      </c>
      <c r="B1440" s="6" t="s">
        <v>66</v>
      </c>
      <c r="C1440" s="6" t="s">
        <v>99</v>
      </c>
      <c r="D1440" s="6" t="s">
        <v>319</v>
      </c>
      <c r="E1440" s="6" t="s">
        <v>120</v>
      </c>
      <c r="F1440" s="7">
        <v>52</v>
      </c>
      <c r="G1440" s="7">
        <v>6500</v>
      </c>
      <c r="H1440" s="16">
        <v>45246</v>
      </c>
      <c r="I1440" s="6">
        <v>46</v>
      </c>
      <c r="J1440" s="6" t="s">
        <v>121</v>
      </c>
      <c r="K1440" s="6" t="s">
        <v>459</v>
      </c>
      <c r="L1440" s="11">
        <f>F1440*Controls!$B$6</f>
        <v>52</v>
      </c>
      <c r="M1440" s="11">
        <f>G1440*Controls!$B$6</f>
        <v>6500</v>
      </c>
      <c r="N1440" s="12">
        <f>IF(L1440=0,0,SUMIFS('PSI Plan'!$N$6:$N$173,'PSI Plan'!$B$6:$B$173,B1440,'PSI Plan'!$C$6:$C$173,I1440))</f>
        <v>0</v>
      </c>
      <c r="O1440" s="11">
        <f t="shared" si="44"/>
        <v>0</v>
      </c>
      <c r="P1440" s="11">
        <f t="shared" si="45"/>
        <v>0</v>
      </c>
      <c r="Q1440" s="6"/>
      <c r="R1440" s="6"/>
      <c r="S1440" s="6"/>
      <c r="T1440" s="6"/>
    </row>
    <row r="1441" spans="1:20">
      <c r="A1441" s="6" t="s">
        <v>1592</v>
      </c>
      <c r="B1441" s="6" t="s">
        <v>77</v>
      </c>
      <c r="C1441" s="6" t="s">
        <v>99</v>
      </c>
      <c r="D1441" s="6" t="s">
        <v>319</v>
      </c>
      <c r="E1441" s="6" t="s">
        <v>120</v>
      </c>
      <c r="F1441" s="7">
        <v>52</v>
      </c>
      <c r="G1441" s="7">
        <v>6500</v>
      </c>
      <c r="H1441" s="16">
        <v>45212</v>
      </c>
      <c r="I1441" s="6">
        <v>41</v>
      </c>
      <c r="J1441" s="6" t="s">
        <v>121</v>
      </c>
      <c r="K1441" s="6" t="s">
        <v>459</v>
      </c>
      <c r="L1441" s="11">
        <f>F1441*Controls!$B$6</f>
        <v>52</v>
      </c>
      <c r="M1441" s="11">
        <f>G1441*Controls!$B$6</f>
        <v>6500</v>
      </c>
      <c r="N1441" s="12">
        <f>IF(L1441=0,0,SUMIFS('PSI Plan'!$N$6:$N$173,'PSI Plan'!$B$6:$B$173,B1441,'PSI Plan'!$C$6:$C$173,I1441))</f>
        <v>0</v>
      </c>
      <c r="O1441" s="11">
        <f t="shared" si="44"/>
        <v>0</v>
      </c>
      <c r="P1441" s="11">
        <f t="shared" si="45"/>
        <v>0</v>
      </c>
      <c r="Q1441" s="6"/>
      <c r="R1441" s="6"/>
      <c r="S1441" s="6"/>
      <c r="T1441" s="6"/>
    </row>
    <row r="1442" spans="1:20">
      <c r="A1442" s="6" t="s">
        <v>1593</v>
      </c>
      <c r="B1442" s="6" t="s">
        <v>67</v>
      </c>
      <c r="C1442" s="6" t="s">
        <v>99</v>
      </c>
      <c r="D1442" s="6" t="s">
        <v>319</v>
      </c>
      <c r="E1442" s="6" t="s">
        <v>120</v>
      </c>
      <c r="F1442" s="7">
        <v>52</v>
      </c>
      <c r="G1442" s="7">
        <v>6500</v>
      </c>
      <c r="H1442" s="16">
        <v>45283</v>
      </c>
      <c r="I1442" s="6">
        <v>51</v>
      </c>
      <c r="J1442" s="6" t="s">
        <v>121</v>
      </c>
      <c r="K1442" s="6" t="s">
        <v>459</v>
      </c>
      <c r="L1442" s="11">
        <f>F1442*Controls!$B$6</f>
        <v>52</v>
      </c>
      <c r="M1442" s="11">
        <f>G1442*Controls!$B$6</f>
        <v>6500</v>
      </c>
      <c r="N1442" s="12">
        <f>IF(L1442=0,0,SUMIFS('PSI Plan'!$N$6:$N$173,'PSI Plan'!$B$6:$B$173,B1442,'PSI Plan'!$C$6:$C$173,I1442))</f>
        <v>0</v>
      </c>
      <c r="O1442" s="11">
        <f t="shared" si="44"/>
        <v>0</v>
      </c>
      <c r="P1442" s="11">
        <f t="shared" si="45"/>
        <v>0</v>
      </c>
      <c r="Q1442" s="6"/>
      <c r="R1442" s="6"/>
      <c r="S1442" s="6"/>
      <c r="T1442" s="6"/>
    </row>
    <row r="1443" spans="1:20">
      <c r="A1443" s="6" t="s">
        <v>1594</v>
      </c>
      <c r="B1443" s="6" t="s">
        <v>69</v>
      </c>
      <c r="C1443" s="6" t="s">
        <v>99</v>
      </c>
      <c r="D1443" s="6" t="s">
        <v>319</v>
      </c>
      <c r="E1443" s="6" t="s">
        <v>120</v>
      </c>
      <c r="F1443" s="7">
        <v>25</v>
      </c>
      <c r="G1443" s="7">
        <v>3125</v>
      </c>
      <c r="H1443" s="16">
        <v>45220</v>
      </c>
      <c r="I1443" s="6">
        <v>42</v>
      </c>
      <c r="J1443" s="6" t="s">
        <v>121</v>
      </c>
      <c r="K1443" s="6" t="s">
        <v>459</v>
      </c>
      <c r="L1443" s="11">
        <f>F1443*Controls!$B$6</f>
        <v>25</v>
      </c>
      <c r="M1443" s="11">
        <f>G1443*Controls!$B$6</f>
        <v>3125</v>
      </c>
      <c r="N1443" s="12">
        <f>IF(L1443=0,0,SUMIFS('PSI Plan'!$N$6:$N$173,'PSI Plan'!$B$6:$B$173,B1443,'PSI Plan'!$C$6:$C$173,I1443))</f>
        <v>0</v>
      </c>
      <c r="O1443" s="11">
        <f t="shared" si="44"/>
        <v>0</v>
      </c>
      <c r="P1443" s="11">
        <f t="shared" si="45"/>
        <v>0</v>
      </c>
      <c r="Q1443" s="6"/>
      <c r="R1443" s="6"/>
      <c r="S1443" s="6"/>
      <c r="T1443" s="6"/>
    </row>
    <row r="1444" spans="1:20">
      <c r="A1444" s="6" t="s">
        <v>1595</v>
      </c>
      <c r="B1444" s="6" t="s">
        <v>66</v>
      </c>
      <c r="C1444" s="6" t="s">
        <v>90</v>
      </c>
      <c r="D1444" s="6" t="s">
        <v>119</v>
      </c>
      <c r="E1444" s="6" t="s">
        <v>120</v>
      </c>
      <c r="F1444" s="7">
        <v>13</v>
      </c>
      <c r="G1444" s="7">
        <v>1625</v>
      </c>
      <c r="H1444" s="16">
        <v>45258</v>
      </c>
      <c r="I1444" s="6">
        <v>48</v>
      </c>
      <c r="J1444" s="6" t="s">
        <v>121</v>
      </c>
      <c r="K1444" s="6" t="s">
        <v>855</v>
      </c>
      <c r="L1444" s="11">
        <f>F1444*Controls!$B$6</f>
        <v>13</v>
      </c>
      <c r="M1444" s="11">
        <f>G1444*Controls!$B$6</f>
        <v>1625</v>
      </c>
      <c r="N1444" s="12">
        <f>IF(L1444=0,0,SUMIFS('PSI Plan'!$N$6:$N$173,'PSI Plan'!$B$6:$B$173,B1444,'PSI Plan'!$C$6:$C$173,I1444))</f>
        <v>0</v>
      </c>
      <c r="O1444" s="11">
        <f t="shared" si="44"/>
        <v>0</v>
      </c>
      <c r="P1444" s="11">
        <f t="shared" si="45"/>
        <v>0</v>
      </c>
      <c r="Q1444" s="6"/>
      <c r="R1444" s="6"/>
      <c r="S1444" s="6"/>
      <c r="T1444" s="6"/>
    </row>
    <row r="1445" spans="1:20">
      <c r="A1445" s="6" t="s">
        <v>1596</v>
      </c>
      <c r="B1445" s="6" t="s">
        <v>76</v>
      </c>
      <c r="C1445" s="6" t="s">
        <v>90</v>
      </c>
      <c r="D1445" s="6" t="s">
        <v>119</v>
      </c>
      <c r="E1445" s="6" t="s">
        <v>120</v>
      </c>
      <c r="F1445" s="7">
        <v>26</v>
      </c>
      <c r="G1445" s="7">
        <v>3250</v>
      </c>
      <c r="H1445" s="16">
        <v>45284</v>
      </c>
      <c r="I1445" s="6">
        <v>52</v>
      </c>
      <c r="J1445" s="6" t="s">
        <v>121</v>
      </c>
      <c r="K1445" s="6" t="s">
        <v>855</v>
      </c>
      <c r="L1445" s="11">
        <f>F1445*Controls!$B$6</f>
        <v>26</v>
      </c>
      <c r="M1445" s="11">
        <f>G1445*Controls!$B$6</f>
        <v>3250</v>
      </c>
      <c r="N1445" s="12">
        <f>IF(L1445=0,0,SUMIFS('PSI Plan'!$N$6:$N$173,'PSI Plan'!$B$6:$B$173,B1445,'PSI Plan'!$C$6:$C$173,I1445))</f>
        <v>0</v>
      </c>
      <c r="O1445" s="11">
        <f t="shared" si="44"/>
        <v>0</v>
      </c>
      <c r="P1445" s="11">
        <f t="shared" si="45"/>
        <v>0</v>
      </c>
      <c r="Q1445" s="6"/>
      <c r="R1445" s="6"/>
      <c r="S1445" s="6"/>
      <c r="T1445" s="6"/>
    </row>
    <row r="1446" spans="1:20">
      <c r="A1446" s="6" t="s">
        <v>1597</v>
      </c>
      <c r="B1446" s="6" t="s">
        <v>69</v>
      </c>
      <c r="C1446" s="6" t="s">
        <v>90</v>
      </c>
      <c r="D1446" s="6" t="s">
        <v>119</v>
      </c>
      <c r="E1446" s="6" t="s">
        <v>120</v>
      </c>
      <c r="F1446" s="7">
        <v>26</v>
      </c>
      <c r="G1446" s="7">
        <v>3250</v>
      </c>
      <c r="H1446" s="16">
        <v>45251</v>
      </c>
      <c r="I1446" s="6">
        <v>47</v>
      </c>
      <c r="J1446" s="6" t="s">
        <v>121</v>
      </c>
      <c r="K1446" s="6" t="s">
        <v>855</v>
      </c>
      <c r="L1446" s="11">
        <f>F1446*Controls!$B$6</f>
        <v>26</v>
      </c>
      <c r="M1446" s="11">
        <f>G1446*Controls!$B$6</f>
        <v>3250</v>
      </c>
      <c r="N1446" s="12">
        <f>IF(L1446=0,0,SUMIFS('PSI Plan'!$N$6:$N$173,'PSI Plan'!$B$6:$B$173,B1446,'PSI Plan'!$C$6:$C$173,I1446))</f>
        <v>0</v>
      </c>
      <c r="O1446" s="11">
        <f t="shared" si="44"/>
        <v>0</v>
      </c>
      <c r="P1446" s="11">
        <f t="shared" si="45"/>
        <v>0</v>
      </c>
      <c r="Q1446" s="6"/>
      <c r="R1446" s="6"/>
      <c r="S1446" s="6"/>
      <c r="T1446" s="6"/>
    </row>
    <row r="1447" spans="1:20">
      <c r="A1447" s="6" t="s">
        <v>1598</v>
      </c>
      <c r="B1447" s="6" t="s">
        <v>66</v>
      </c>
      <c r="C1447" s="6" t="s">
        <v>90</v>
      </c>
      <c r="D1447" s="6" t="s">
        <v>119</v>
      </c>
      <c r="E1447" s="6" t="s">
        <v>120</v>
      </c>
      <c r="F1447" s="7">
        <v>13</v>
      </c>
      <c r="G1447" s="7">
        <v>1625</v>
      </c>
      <c r="H1447" s="16">
        <v>45239</v>
      </c>
      <c r="I1447" s="6">
        <v>45</v>
      </c>
      <c r="J1447" s="6" t="s">
        <v>121</v>
      </c>
      <c r="K1447" s="6" t="s">
        <v>139</v>
      </c>
      <c r="L1447" s="11">
        <f>F1447*Controls!$B$6</f>
        <v>13</v>
      </c>
      <c r="M1447" s="11">
        <f>G1447*Controls!$B$6</f>
        <v>1625</v>
      </c>
      <c r="N1447" s="12">
        <f>IF(L1447=0,0,SUMIFS('PSI Plan'!$N$6:$N$173,'PSI Plan'!$B$6:$B$173,B1447,'PSI Plan'!$C$6:$C$173,I1447))</f>
        <v>0</v>
      </c>
      <c r="O1447" s="11">
        <f t="shared" si="44"/>
        <v>0</v>
      </c>
      <c r="P1447" s="11">
        <f t="shared" si="45"/>
        <v>0</v>
      </c>
      <c r="Q1447" s="6"/>
      <c r="R1447" s="6"/>
      <c r="S1447" s="6"/>
      <c r="T1447" s="6"/>
    </row>
    <row r="1448" spans="1:20">
      <c r="A1448" s="6" t="s">
        <v>1599</v>
      </c>
      <c r="B1448" s="6" t="s">
        <v>77</v>
      </c>
      <c r="C1448" s="6" t="s">
        <v>90</v>
      </c>
      <c r="D1448" s="6" t="s">
        <v>119</v>
      </c>
      <c r="E1448" s="6" t="s">
        <v>120</v>
      </c>
      <c r="F1448" s="7">
        <v>3</v>
      </c>
      <c r="G1448" s="7">
        <v>375</v>
      </c>
      <c r="H1448" s="16">
        <v>45226</v>
      </c>
      <c r="I1448" s="6">
        <v>43</v>
      </c>
      <c r="J1448" s="6" t="s">
        <v>121</v>
      </c>
      <c r="K1448" s="6" t="s">
        <v>139</v>
      </c>
      <c r="L1448" s="11">
        <f>F1448*Controls!$B$6</f>
        <v>3</v>
      </c>
      <c r="M1448" s="11">
        <f>G1448*Controls!$B$6</f>
        <v>375</v>
      </c>
      <c r="N1448" s="12">
        <f>IF(L1448=0,0,SUMIFS('PSI Plan'!$N$6:$N$173,'PSI Plan'!$B$6:$B$173,B1448,'PSI Plan'!$C$6:$C$173,I1448))</f>
        <v>0</v>
      </c>
      <c r="O1448" s="11">
        <f t="shared" si="44"/>
        <v>0</v>
      </c>
      <c r="P1448" s="11">
        <f t="shared" si="45"/>
        <v>0</v>
      </c>
      <c r="Q1448" s="6"/>
      <c r="R1448" s="6"/>
      <c r="S1448" s="6"/>
      <c r="T1448" s="6"/>
    </row>
    <row r="1449" spans="1:20">
      <c r="A1449" s="6" t="s">
        <v>1600</v>
      </c>
      <c r="B1449" s="6" t="s">
        <v>76</v>
      </c>
      <c r="C1449" s="6" t="s">
        <v>90</v>
      </c>
      <c r="D1449" s="6" t="s">
        <v>119</v>
      </c>
      <c r="E1449" s="6" t="s">
        <v>120</v>
      </c>
      <c r="F1449" s="7">
        <v>13</v>
      </c>
      <c r="G1449" s="7">
        <v>1625</v>
      </c>
      <c r="H1449" s="16">
        <v>45217</v>
      </c>
      <c r="I1449" s="6">
        <v>42</v>
      </c>
      <c r="J1449" s="6" t="s">
        <v>121</v>
      </c>
      <c r="K1449" s="6" t="s">
        <v>139</v>
      </c>
      <c r="L1449" s="11">
        <f>F1449*Controls!$B$6</f>
        <v>13</v>
      </c>
      <c r="M1449" s="11">
        <f>G1449*Controls!$B$6</f>
        <v>1625</v>
      </c>
      <c r="N1449" s="12">
        <f>IF(L1449=0,0,SUMIFS('PSI Plan'!$N$6:$N$173,'PSI Plan'!$B$6:$B$173,B1449,'PSI Plan'!$C$6:$C$173,I1449))</f>
        <v>0</v>
      </c>
      <c r="O1449" s="11">
        <f t="shared" si="44"/>
        <v>0</v>
      </c>
      <c r="P1449" s="11">
        <f t="shared" si="45"/>
        <v>0</v>
      </c>
      <c r="Q1449" s="6"/>
      <c r="R1449" s="6"/>
      <c r="S1449" s="6"/>
      <c r="T1449" s="6"/>
    </row>
    <row r="1450" spans="1:20">
      <c r="A1450" s="6" t="s">
        <v>1601</v>
      </c>
      <c r="B1450" s="6" t="s">
        <v>69</v>
      </c>
      <c r="C1450" s="6" t="s">
        <v>90</v>
      </c>
      <c r="D1450" s="6" t="s">
        <v>119</v>
      </c>
      <c r="E1450" s="6" t="s">
        <v>120</v>
      </c>
      <c r="F1450" s="7">
        <v>4</v>
      </c>
      <c r="G1450" s="7">
        <v>500</v>
      </c>
      <c r="H1450" s="16">
        <v>45253</v>
      </c>
      <c r="I1450" s="6">
        <v>47</v>
      </c>
      <c r="J1450" s="6" t="s">
        <v>121</v>
      </c>
      <c r="K1450" s="6" t="s">
        <v>139</v>
      </c>
      <c r="L1450" s="11">
        <f>F1450*Controls!$B$6</f>
        <v>4</v>
      </c>
      <c r="M1450" s="11">
        <f>G1450*Controls!$B$6</f>
        <v>500</v>
      </c>
      <c r="N1450" s="12">
        <f>IF(L1450=0,0,SUMIFS('PSI Plan'!$N$6:$N$173,'PSI Plan'!$B$6:$B$173,B1450,'PSI Plan'!$C$6:$C$173,I1450))</f>
        <v>0</v>
      </c>
      <c r="O1450" s="11">
        <f t="shared" si="44"/>
        <v>0</v>
      </c>
      <c r="P1450" s="11">
        <f t="shared" si="45"/>
        <v>0</v>
      </c>
      <c r="Q1450" s="6"/>
      <c r="R1450" s="6"/>
      <c r="S1450" s="6"/>
      <c r="T1450" s="6"/>
    </row>
    <row r="1451" spans="1:20">
      <c r="A1451" s="6" t="s">
        <v>1602</v>
      </c>
      <c r="B1451" s="6" t="s">
        <v>66</v>
      </c>
      <c r="C1451" s="6" t="s">
        <v>100</v>
      </c>
      <c r="D1451" s="6" t="s">
        <v>567</v>
      </c>
      <c r="E1451" s="6" t="s">
        <v>120</v>
      </c>
      <c r="F1451" s="7">
        <v>24</v>
      </c>
      <c r="G1451" s="7">
        <v>3000</v>
      </c>
      <c r="H1451" s="16">
        <v>45243</v>
      </c>
      <c r="I1451" s="6">
        <v>46</v>
      </c>
      <c r="J1451" s="6" t="s">
        <v>121</v>
      </c>
      <c r="K1451" s="6" t="s">
        <v>781</v>
      </c>
      <c r="L1451" s="11">
        <f>F1451*Controls!$B$6</f>
        <v>24</v>
      </c>
      <c r="M1451" s="11">
        <f>G1451*Controls!$B$6</f>
        <v>3000</v>
      </c>
      <c r="N1451" s="12">
        <f>IF(L1451=0,0,SUMIFS('PSI Plan'!$N$6:$N$173,'PSI Plan'!$B$6:$B$173,B1451,'PSI Plan'!$C$6:$C$173,I1451))</f>
        <v>0</v>
      </c>
      <c r="O1451" s="11">
        <f t="shared" si="44"/>
        <v>0</v>
      </c>
      <c r="P1451" s="11">
        <f t="shared" si="45"/>
        <v>0</v>
      </c>
      <c r="Q1451" s="6"/>
      <c r="R1451" s="6"/>
      <c r="S1451" s="6"/>
      <c r="T1451" s="6"/>
    </row>
    <row r="1452" spans="1:20">
      <c r="A1452" s="6" t="s">
        <v>1603</v>
      </c>
      <c r="B1452" s="6" t="s">
        <v>69</v>
      </c>
      <c r="C1452" s="6" t="s">
        <v>100</v>
      </c>
      <c r="D1452" s="6" t="s">
        <v>567</v>
      </c>
      <c r="E1452" s="6" t="s">
        <v>120</v>
      </c>
      <c r="F1452" s="7">
        <v>12</v>
      </c>
      <c r="G1452" s="7">
        <v>1500</v>
      </c>
      <c r="H1452" s="16">
        <v>45238</v>
      </c>
      <c r="I1452" s="6">
        <v>45</v>
      </c>
      <c r="J1452" s="6" t="s">
        <v>121</v>
      </c>
      <c r="K1452" s="6" t="s">
        <v>781</v>
      </c>
      <c r="L1452" s="11">
        <f>F1452*Controls!$B$6</f>
        <v>12</v>
      </c>
      <c r="M1452" s="11">
        <f>G1452*Controls!$B$6</f>
        <v>1500</v>
      </c>
      <c r="N1452" s="12">
        <f>IF(L1452=0,0,SUMIFS('PSI Plan'!$N$6:$N$173,'PSI Plan'!$B$6:$B$173,B1452,'PSI Plan'!$C$6:$C$173,I1452))</f>
        <v>0</v>
      </c>
      <c r="O1452" s="11">
        <f t="shared" si="44"/>
        <v>0</v>
      </c>
      <c r="P1452" s="11">
        <f t="shared" si="45"/>
        <v>0</v>
      </c>
      <c r="Q1452" s="6"/>
      <c r="R1452" s="6"/>
      <c r="S1452" s="6"/>
      <c r="T1452" s="6"/>
    </row>
    <row r="1453" spans="1:20">
      <c r="A1453" s="6" t="s">
        <v>1604</v>
      </c>
      <c r="B1453" s="6" t="s">
        <v>66</v>
      </c>
      <c r="C1453" s="6" t="s">
        <v>90</v>
      </c>
      <c r="D1453" s="6" t="s">
        <v>119</v>
      </c>
      <c r="E1453" s="6" t="s">
        <v>120</v>
      </c>
      <c r="F1453" s="7">
        <v>6</v>
      </c>
      <c r="G1453" s="7">
        <v>750</v>
      </c>
      <c r="H1453" s="16">
        <v>45265</v>
      </c>
      <c r="I1453" s="6">
        <v>49</v>
      </c>
      <c r="J1453" s="6" t="s">
        <v>121</v>
      </c>
      <c r="K1453" s="6" t="s">
        <v>298</v>
      </c>
      <c r="L1453" s="11">
        <f>F1453*Controls!$B$6</f>
        <v>6</v>
      </c>
      <c r="M1453" s="11">
        <f>G1453*Controls!$B$6</f>
        <v>750</v>
      </c>
      <c r="N1453" s="12">
        <f>IF(L1453=0,0,SUMIFS('PSI Plan'!$N$6:$N$173,'PSI Plan'!$B$6:$B$173,B1453,'PSI Plan'!$C$6:$C$173,I1453))</f>
        <v>0</v>
      </c>
      <c r="O1453" s="11">
        <f t="shared" si="44"/>
        <v>0</v>
      </c>
      <c r="P1453" s="11">
        <f t="shared" si="45"/>
        <v>0</v>
      </c>
      <c r="Q1453" s="6"/>
      <c r="R1453" s="6"/>
      <c r="S1453" s="6"/>
      <c r="T1453" s="6"/>
    </row>
    <row r="1454" spans="1:20">
      <c r="A1454" s="6" t="s">
        <v>1605</v>
      </c>
      <c r="B1454" s="6" t="s">
        <v>77</v>
      </c>
      <c r="C1454" s="6" t="s">
        <v>90</v>
      </c>
      <c r="D1454" s="6" t="s">
        <v>119</v>
      </c>
      <c r="E1454" s="6" t="s">
        <v>120</v>
      </c>
      <c r="F1454" s="7">
        <v>13</v>
      </c>
      <c r="G1454" s="7">
        <v>1625</v>
      </c>
      <c r="H1454" s="16">
        <v>45266</v>
      </c>
      <c r="I1454" s="6">
        <v>49</v>
      </c>
      <c r="J1454" s="6" t="s">
        <v>121</v>
      </c>
      <c r="K1454" s="6" t="s">
        <v>298</v>
      </c>
      <c r="L1454" s="11">
        <f>F1454*Controls!$B$6</f>
        <v>13</v>
      </c>
      <c r="M1454" s="11">
        <f>G1454*Controls!$B$6</f>
        <v>1625</v>
      </c>
      <c r="N1454" s="12">
        <f>IF(L1454=0,0,SUMIFS('PSI Plan'!$N$6:$N$173,'PSI Plan'!$B$6:$B$173,B1454,'PSI Plan'!$C$6:$C$173,I1454))</f>
        <v>0</v>
      </c>
      <c r="O1454" s="11">
        <f t="shared" si="44"/>
        <v>0</v>
      </c>
      <c r="P1454" s="11">
        <f t="shared" si="45"/>
        <v>0</v>
      </c>
      <c r="Q1454" s="6"/>
      <c r="R1454" s="6"/>
      <c r="S1454" s="6"/>
      <c r="T1454" s="6"/>
    </row>
    <row r="1455" spans="1:20">
      <c r="A1455" s="6" t="s">
        <v>1606</v>
      </c>
      <c r="B1455" s="6" t="s">
        <v>76</v>
      </c>
      <c r="C1455" s="6" t="s">
        <v>90</v>
      </c>
      <c r="D1455" s="6" t="s">
        <v>119</v>
      </c>
      <c r="E1455" s="6" t="s">
        <v>120</v>
      </c>
      <c r="F1455" s="7">
        <v>7</v>
      </c>
      <c r="G1455" s="7">
        <v>875</v>
      </c>
      <c r="H1455" s="16">
        <v>45242</v>
      </c>
      <c r="I1455" s="6">
        <v>46</v>
      </c>
      <c r="J1455" s="6" t="s">
        <v>121</v>
      </c>
      <c r="K1455" s="6" t="s">
        <v>298</v>
      </c>
      <c r="L1455" s="11">
        <f>F1455*Controls!$B$6</f>
        <v>7</v>
      </c>
      <c r="M1455" s="11">
        <f>G1455*Controls!$B$6</f>
        <v>875</v>
      </c>
      <c r="N1455" s="12">
        <f>IF(L1455=0,0,SUMIFS('PSI Plan'!$N$6:$N$173,'PSI Plan'!$B$6:$B$173,B1455,'PSI Plan'!$C$6:$C$173,I1455))</f>
        <v>0</v>
      </c>
      <c r="O1455" s="11">
        <f t="shared" si="44"/>
        <v>0</v>
      </c>
      <c r="P1455" s="11">
        <f t="shared" si="45"/>
        <v>0</v>
      </c>
      <c r="Q1455" s="6"/>
      <c r="R1455" s="6"/>
      <c r="S1455" s="6"/>
      <c r="T1455" s="6"/>
    </row>
    <row r="1456" spans="1:20">
      <c r="A1456" s="6" t="s">
        <v>1607</v>
      </c>
      <c r="B1456" s="6" t="s">
        <v>69</v>
      </c>
      <c r="C1456" s="6" t="s">
        <v>90</v>
      </c>
      <c r="D1456" s="6" t="s">
        <v>119</v>
      </c>
      <c r="E1456" s="6" t="s">
        <v>120</v>
      </c>
      <c r="F1456" s="7">
        <v>13</v>
      </c>
      <c r="G1456" s="7">
        <v>1625</v>
      </c>
      <c r="H1456" s="16">
        <v>45205</v>
      </c>
      <c r="I1456" s="6">
        <v>40</v>
      </c>
      <c r="J1456" s="6" t="s">
        <v>121</v>
      </c>
      <c r="K1456" s="6" t="s">
        <v>298</v>
      </c>
      <c r="L1456" s="11">
        <f>F1456*Controls!$B$6</f>
        <v>13</v>
      </c>
      <c r="M1456" s="11">
        <f>G1456*Controls!$B$6</f>
        <v>1625</v>
      </c>
      <c r="N1456" s="12">
        <f>IF(L1456=0,0,SUMIFS('PSI Plan'!$N$6:$N$173,'PSI Plan'!$B$6:$B$173,B1456,'PSI Plan'!$C$6:$C$173,I1456))</f>
        <v>0</v>
      </c>
      <c r="O1456" s="11">
        <f t="shared" si="44"/>
        <v>0</v>
      </c>
      <c r="P1456" s="11">
        <f t="shared" si="45"/>
        <v>0</v>
      </c>
      <c r="Q1456" s="6"/>
      <c r="R1456" s="6"/>
      <c r="S1456" s="6"/>
      <c r="T1456" s="6"/>
    </row>
    <row r="1457" spans="1:20">
      <c r="A1457" s="6" t="s">
        <v>1608</v>
      </c>
      <c r="B1457" s="6" t="s">
        <v>66</v>
      </c>
      <c r="C1457" s="6" t="s">
        <v>90</v>
      </c>
      <c r="D1457" s="6" t="s">
        <v>119</v>
      </c>
      <c r="E1457" s="6" t="s">
        <v>120</v>
      </c>
      <c r="F1457" s="7">
        <v>33</v>
      </c>
      <c r="G1457" s="7">
        <v>4125</v>
      </c>
      <c r="H1457" s="16">
        <v>45240</v>
      </c>
      <c r="I1457" s="6">
        <v>45</v>
      </c>
      <c r="J1457" s="6" t="s">
        <v>121</v>
      </c>
      <c r="K1457" s="6" t="s">
        <v>122</v>
      </c>
      <c r="L1457" s="11">
        <f>F1457*Controls!$B$6</f>
        <v>33</v>
      </c>
      <c r="M1457" s="11">
        <f>G1457*Controls!$B$6</f>
        <v>4125</v>
      </c>
      <c r="N1457" s="12">
        <f>IF(L1457=0,0,SUMIFS('PSI Plan'!$N$6:$N$173,'PSI Plan'!$B$6:$B$173,B1457,'PSI Plan'!$C$6:$C$173,I1457))</f>
        <v>0</v>
      </c>
      <c r="O1457" s="11">
        <f t="shared" si="44"/>
        <v>0</v>
      </c>
      <c r="P1457" s="11">
        <f t="shared" si="45"/>
        <v>0</v>
      </c>
      <c r="Q1457" s="6"/>
      <c r="R1457" s="6"/>
      <c r="S1457" s="6"/>
      <c r="T1457" s="6"/>
    </row>
    <row r="1458" spans="1:20">
      <c r="A1458" s="6" t="s">
        <v>1609</v>
      </c>
      <c r="B1458" s="6" t="s">
        <v>77</v>
      </c>
      <c r="C1458" s="6" t="s">
        <v>90</v>
      </c>
      <c r="D1458" s="6" t="s">
        <v>119</v>
      </c>
      <c r="E1458" s="6" t="s">
        <v>120</v>
      </c>
      <c r="F1458" s="7">
        <v>62</v>
      </c>
      <c r="G1458" s="7">
        <v>7750</v>
      </c>
      <c r="H1458" s="16">
        <v>45268</v>
      </c>
      <c r="I1458" s="6">
        <v>49</v>
      </c>
      <c r="J1458" s="6" t="s">
        <v>121</v>
      </c>
      <c r="K1458" s="6" t="s">
        <v>122</v>
      </c>
      <c r="L1458" s="11">
        <f>F1458*Controls!$B$6</f>
        <v>62</v>
      </c>
      <c r="M1458" s="11">
        <f>G1458*Controls!$B$6</f>
        <v>7750</v>
      </c>
      <c r="N1458" s="12">
        <f>IF(L1458=0,0,SUMIFS('PSI Plan'!$N$6:$N$173,'PSI Plan'!$B$6:$B$173,B1458,'PSI Plan'!$C$6:$C$173,I1458))</f>
        <v>0</v>
      </c>
      <c r="O1458" s="11">
        <f t="shared" si="44"/>
        <v>0</v>
      </c>
      <c r="P1458" s="11">
        <f t="shared" si="45"/>
        <v>0</v>
      </c>
      <c r="Q1458" s="6"/>
      <c r="R1458" s="6"/>
      <c r="S1458" s="6"/>
      <c r="T1458" s="6"/>
    </row>
    <row r="1459" spans="1:20">
      <c r="A1459" s="6" t="s">
        <v>1610</v>
      </c>
      <c r="B1459" s="6" t="s">
        <v>76</v>
      </c>
      <c r="C1459" s="6" t="s">
        <v>90</v>
      </c>
      <c r="D1459" s="6" t="s">
        <v>119</v>
      </c>
      <c r="E1459" s="6" t="s">
        <v>120</v>
      </c>
      <c r="F1459" s="7">
        <v>41</v>
      </c>
      <c r="G1459" s="7">
        <v>5125</v>
      </c>
      <c r="H1459" s="16">
        <v>45289</v>
      </c>
      <c r="I1459" s="6">
        <v>52</v>
      </c>
      <c r="J1459" s="6" t="s">
        <v>121</v>
      </c>
      <c r="K1459" s="6" t="s">
        <v>122</v>
      </c>
      <c r="L1459" s="11">
        <f>F1459*Controls!$B$6</f>
        <v>41</v>
      </c>
      <c r="M1459" s="11">
        <f>G1459*Controls!$B$6</f>
        <v>5125</v>
      </c>
      <c r="N1459" s="12">
        <f>IF(L1459=0,0,SUMIFS('PSI Plan'!$N$6:$N$173,'PSI Plan'!$B$6:$B$173,B1459,'PSI Plan'!$C$6:$C$173,I1459))</f>
        <v>0</v>
      </c>
      <c r="O1459" s="11">
        <f t="shared" si="44"/>
        <v>0</v>
      </c>
      <c r="P1459" s="11">
        <f t="shared" si="45"/>
        <v>0</v>
      </c>
      <c r="Q1459" s="6"/>
      <c r="R1459" s="6"/>
      <c r="S1459" s="6"/>
      <c r="T1459" s="6"/>
    </row>
    <row r="1460" spans="1:20">
      <c r="A1460" s="6" t="s">
        <v>1611</v>
      </c>
      <c r="B1460" s="6" t="s">
        <v>67</v>
      </c>
      <c r="C1460" s="6" t="s">
        <v>90</v>
      </c>
      <c r="D1460" s="6" t="s">
        <v>119</v>
      </c>
      <c r="E1460" s="6" t="s">
        <v>120</v>
      </c>
      <c r="F1460" s="7">
        <v>59</v>
      </c>
      <c r="G1460" s="7">
        <v>7375</v>
      </c>
      <c r="H1460" s="16">
        <v>45265</v>
      </c>
      <c r="I1460" s="6">
        <v>49</v>
      </c>
      <c r="J1460" s="6" t="s">
        <v>121</v>
      </c>
      <c r="K1460" s="6" t="s">
        <v>122</v>
      </c>
      <c r="L1460" s="11">
        <f>F1460*Controls!$B$6</f>
        <v>59</v>
      </c>
      <c r="M1460" s="11">
        <f>G1460*Controls!$B$6</f>
        <v>7375</v>
      </c>
      <c r="N1460" s="12">
        <f>IF(L1460=0,0,SUMIFS('PSI Plan'!$N$6:$N$173,'PSI Plan'!$B$6:$B$173,B1460,'PSI Plan'!$C$6:$C$173,I1460))</f>
        <v>0</v>
      </c>
      <c r="O1460" s="11">
        <f t="shared" si="44"/>
        <v>0</v>
      </c>
      <c r="P1460" s="11">
        <f t="shared" si="45"/>
        <v>0</v>
      </c>
      <c r="Q1460" s="6"/>
      <c r="R1460" s="6"/>
      <c r="S1460" s="6"/>
      <c r="T1460" s="6"/>
    </row>
    <row r="1461" spans="1:20">
      <c r="A1461" s="6" t="s">
        <v>1612</v>
      </c>
      <c r="B1461" s="6" t="s">
        <v>69</v>
      </c>
      <c r="C1461" s="6" t="s">
        <v>90</v>
      </c>
      <c r="D1461" s="6" t="s">
        <v>119</v>
      </c>
      <c r="E1461" s="6" t="s">
        <v>120</v>
      </c>
      <c r="F1461" s="7">
        <v>130</v>
      </c>
      <c r="G1461" s="7">
        <v>16250</v>
      </c>
      <c r="H1461" s="16">
        <v>45286</v>
      </c>
      <c r="I1461" s="6">
        <v>52</v>
      </c>
      <c r="J1461" s="6" t="s">
        <v>121</v>
      </c>
      <c r="K1461" s="6" t="s">
        <v>122</v>
      </c>
      <c r="L1461" s="11">
        <f>F1461*Controls!$B$6</f>
        <v>130</v>
      </c>
      <c r="M1461" s="11">
        <f>G1461*Controls!$B$6</f>
        <v>16250</v>
      </c>
      <c r="N1461" s="12">
        <f>IF(L1461=0,0,SUMIFS('PSI Plan'!$N$6:$N$173,'PSI Plan'!$B$6:$B$173,B1461,'PSI Plan'!$C$6:$C$173,I1461))</f>
        <v>0</v>
      </c>
      <c r="O1461" s="11">
        <f t="shared" si="44"/>
        <v>0</v>
      </c>
      <c r="P1461" s="11">
        <f t="shared" si="45"/>
        <v>0</v>
      </c>
      <c r="Q1461" s="6"/>
      <c r="R1461" s="6"/>
      <c r="S1461" s="6"/>
      <c r="T1461" s="6"/>
    </row>
    <row r="1462" spans="1:20">
      <c r="A1462" s="6" t="s">
        <v>1613</v>
      </c>
      <c r="B1462" s="6" t="s">
        <v>66</v>
      </c>
      <c r="C1462" s="6" t="s">
        <v>90</v>
      </c>
      <c r="D1462" s="6" t="s">
        <v>119</v>
      </c>
      <c r="E1462" s="6" t="s">
        <v>120</v>
      </c>
      <c r="F1462" s="7">
        <v>39</v>
      </c>
      <c r="G1462" s="7">
        <v>4875</v>
      </c>
      <c r="H1462" s="16">
        <v>45265</v>
      </c>
      <c r="I1462" s="6">
        <v>49</v>
      </c>
      <c r="J1462" s="6" t="s">
        <v>121</v>
      </c>
      <c r="K1462" s="6" t="s">
        <v>855</v>
      </c>
      <c r="L1462" s="11">
        <f>F1462*Controls!$B$6</f>
        <v>39</v>
      </c>
      <c r="M1462" s="11">
        <f>G1462*Controls!$B$6</f>
        <v>4875</v>
      </c>
      <c r="N1462" s="12">
        <f>IF(L1462=0,0,SUMIFS('PSI Plan'!$N$6:$N$173,'PSI Plan'!$B$6:$B$173,B1462,'PSI Plan'!$C$6:$C$173,I1462))</f>
        <v>0</v>
      </c>
      <c r="O1462" s="11">
        <f t="shared" si="44"/>
        <v>0</v>
      </c>
      <c r="P1462" s="11">
        <f t="shared" si="45"/>
        <v>0</v>
      </c>
      <c r="Q1462" s="6"/>
      <c r="R1462" s="6"/>
      <c r="S1462" s="6"/>
      <c r="T1462" s="6"/>
    </row>
    <row r="1463" spans="1:20">
      <c r="A1463" s="6" t="s">
        <v>1614</v>
      </c>
      <c r="B1463" s="6" t="s">
        <v>77</v>
      </c>
      <c r="C1463" s="6" t="s">
        <v>90</v>
      </c>
      <c r="D1463" s="6" t="s">
        <v>119</v>
      </c>
      <c r="E1463" s="6" t="s">
        <v>120</v>
      </c>
      <c r="F1463" s="7">
        <v>13</v>
      </c>
      <c r="G1463" s="7">
        <v>1625</v>
      </c>
      <c r="H1463" s="16">
        <v>45223</v>
      </c>
      <c r="I1463" s="6">
        <v>43</v>
      </c>
      <c r="J1463" s="6" t="s">
        <v>121</v>
      </c>
      <c r="K1463" s="6" t="s">
        <v>855</v>
      </c>
      <c r="L1463" s="11">
        <f>F1463*Controls!$B$6</f>
        <v>13</v>
      </c>
      <c r="M1463" s="11">
        <f>G1463*Controls!$B$6</f>
        <v>1625</v>
      </c>
      <c r="N1463" s="12">
        <f>IF(L1463=0,0,SUMIFS('PSI Plan'!$N$6:$N$173,'PSI Plan'!$B$6:$B$173,B1463,'PSI Plan'!$C$6:$C$173,I1463))</f>
        <v>0</v>
      </c>
      <c r="O1463" s="11">
        <f t="shared" si="44"/>
        <v>0</v>
      </c>
      <c r="P1463" s="11">
        <f t="shared" si="45"/>
        <v>0</v>
      </c>
      <c r="Q1463" s="6"/>
      <c r="R1463" s="6"/>
      <c r="S1463" s="6"/>
      <c r="T1463" s="6"/>
    </row>
    <row r="1464" spans="1:20">
      <c r="A1464" s="6" t="s">
        <v>1615</v>
      </c>
      <c r="B1464" s="6" t="s">
        <v>76</v>
      </c>
      <c r="C1464" s="6" t="s">
        <v>90</v>
      </c>
      <c r="D1464" s="6" t="s">
        <v>119</v>
      </c>
      <c r="E1464" s="6" t="s">
        <v>120</v>
      </c>
      <c r="F1464" s="7">
        <v>26</v>
      </c>
      <c r="G1464" s="7">
        <v>3250</v>
      </c>
      <c r="H1464" s="16">
        <v>45207</v>
      </c>
      <c r="I1464" s="6">
        <v>41</v>
      </c>
      <c r="J1464" s="6" t="s">
        <v>121</v>
      </c>
      <c r="K1464" s="6" t="s">
        <v>855</v>
      </c>
      <c r="L1464" s="11">
        <f>F1464*Controls!$B$6</f>
        <v>26</v>
      </c>
      <c r="M1464" s="11">
        <f>G1464*Controls!$B$6</f>
        <v>3250</v>
      </c>
      <c r="N1464" s="12">
        <f>IF(L1464=0,0,SUMIFS('PSI Plan'!$N$6:$N$173,'PSI Plan'!$B$6:$B$173,B1464,'PSI Plan'!$C$6:$C$173,I1464))</f>
        <v>0</v>
      </c>
      <c r="O1464" s="11">
        <f t="shared" si="44"/>
        <v>0</v>
      </c>
      <c r="P1464" s="11">
        <f t="shared" si="45"/>
        <v>0</v>
      </c>
      <c r="Q1464" s="6"/>
      <c r="R1464" s="6"/>
      <c r="S1464" s="6"/>
      <c r="T1464" s="6"/>
    </row>
    <row r="1465" spans="1:20">
      <c r="A1465" s="6" t="s">
        <v>1616</v>
      </c>
      <c r="B1465" s="6" t="s">
        <v>69</v>
      </c>
      <c r="C1465" s="6" t="s">
        <v>90</v>
      </c>
      <c r="D1465" s="6" t="s">
        <v>119</v>
      </c>
      <c r="E1465" s="6" t="s">
        <v>120</v>
      </c>
      <c r="F1465" s="7">
        <v>39</v>
      </c>
      <c r="G1465" s="7">
        <v>4875</v>
      </c>
      <c r="H1465" s="16">
        <v>45285</v>
      </c>
      <c r="I1465" s="6">
        <v>52</v>
      </c>
      <c r="J1465" s="6" t="s">
        <v>121</v>
      </c>
      <c r="K1465" s="6" t="s">
        <v>855</v>
      </c>
      <c r="L1465" s="11">
        <f>F1465*Controls!$B$6</f>
        <v>39</v>
      </c>
      <c r="M1465" s="11">
        <f>G1465*Controls!$B$6</f>
        <v>4875</v>
      </c>
      <c r="N1465" s="12">
        <f>IF(L1465=0,0,SUMIFS('PSI Plan'!$N$6:$N$173,'PSI Plan'!$B$6:$B$173,B1465,'PSI Plan'!$C$6:$C$173,I1465))</f>
        <v>0</v>
      </c>
      <c r="O1465" s="11">
        <f t="shared" si="44"/>
        <v>0</v>
      </c>
      <c r="P1465" s="11">
        <f t="shared" si="45"/>
        <v>0</v>
      </c>
      <c r="Q1465" s="6"/>
      <c r="R1465" s="6"/>
      <c r="S1465" s="6"/>
      <c r="T1465" s="6"/>
    </row>
    <row r="1466" spans="1:20">
      <c r="A1466" s="6" t="s">
        <v>1617</v>
      </c>
      <c r="B1466" s="6" t="s">
        <v>77</v>
      </c>
      <c r="C1466" s="6" t="s">
        <v>90</v>
      </c>
      <c r="D1466" s="6" t="s">
        <v>119</v>
      </c>
      <c r="E1466" s="6" t="s">
        <v>120</v>
      </c>
      <c r="F1466" s="7">
        <v>13</v>
      </c>
      <c r="G1466" s="7">
        <v>1625</v>
      </c>
      <c r="H1466" s="16">
        <v>45203</v>
      </c>
      <c r="I1466" s="6">
        <v>40</v>
      </c>
      <c r="J1466" s="6" t="s">
        <v>121</v>
      </c>
      <c r="K1466" s="6" t="s">
        <v>132</v>
      </c>
      <c r="L1466" s="11">
        <f>F1466*Controls!$B$6</f>
        <v>13</v>
      </c>
      <c r="M1466" s="11">
        <f>G1466*Controls!$B$6</f>
        <v>1625</v>
      </c>
      <c r="N1466" s="12">
        <f>IF(L1466=0,0,SUMIFS('PSI Plan'!$N$6:$N$173,'PSI Plan'!$B$6:$B$173,B1466,'PSI Plan'!$C$6:$C$173,I1466))</f>
        <v>0</v>
      </c>
      <c r="O1466" s="11">
        <f t="shared" si="44"/>
        <v>0</v>
      </c>
      <c r="P1466" s="11">
        <f t="shared" si="45"/>
        <v>0</v>
      </c>
      <c r="Q1466" s="6"/>
      <c r="R1466" s="6"/>
      <c r="S1466" s="6"/>
      <c r="T1466" s="6"/>
    </row>
    <row r="1467" spans="1:20">
      <c r="A1467" s="6" t="s">
        <v>1618</v>
      </c>
      <c r="B1467" s="6" t="s">
        <v>69</v>
      </c>
      <c r="C1467" s="6" t="s">
        <v>90</v>
      </c>
      <c r="D1467" s="6" t="s">
        <v>119</v>
      </c>
      <c r="E1467" s="6" t="s">
        <v>120</v>
      </c>
      <c r="F1467" s="7">
        <v>13</v>
      </c>
      <c r="G1467" s="7">
        <v>1625</v>
      </c>
      <c r="H1467" s="16">
        <v>45233</v>
      </c>
      <c r="I1467" s="6">
        <v>44</v>
      </c>
      <c r="J1467" s="6" t="s">
        <v>121</v>
      </c>
      <c r="K1467" s="6" t="s">
        <v>132</v>
      </c>
      <c r="L1467" s="11">
        <f>F1467*Controls!$B$6</f>
        <v>13</v>
      </c>
      <c r="M1467" s="11">
        <f>G1467*Controls!$B$6</f>
        <v>1625</v>
      </c>
      <c r="N1467" s="12">
        <f>IF(L1467=0,0,SUMIFS('PSI Plan'!$N$6:$N$173,'PSI Plan'!$B$6:$B$173,B1467,'PSI Plan'!$C$6:$C$173,I1467))</f>
        <v>0</v>
      </c>
      <c r="O1467" s="11">
        <f t="shared" si="44"/>
        <v>0</v>
      </c>
      <c r="P1467" s="11">
        <f t="shared" si="45"/>
        <v>0</v>
      </c>
      <c r="Q1467" s="6"/>
      <c r="R1467" s="6"/>
      <c r="S1467" s="6"/>
      <c r="T1467" s="6"/>
    </row>
    <row r="1468" spans="1:20">
      <c r="A1468" s="6" t="s">
        <v>1619</v>
      </c>
      <c r="B1468" s="6" t="s">
        <v>67</v>
      </c>
      <c r="C1468" s="6" t="s">
        <v>90</v>
      </c>
      <c r="D1468" s="6" t="s">
        <v>119</v>
      </c>
      <c r="E1468" s="6" t="s">
        <v>120</v>
      </c>
      <c r="F1468" s="7">
        <v>52</v>
      </c>
      <c r="G1468" s="7">
        <v>6500</v>
      </c>
      <c r="H1468" s="16">
        <v>45234</v>
      </c>
      <c r="I1468" s="6">
        <v>44</v>
      </c>
      <c r="J1468" s="6" t="s">
        <v>121</v>
      </c>
      <c r="K1468" s="6" t="s">
        <v>171</v>
      </c>
      <c r="L1468" s="11">
        <f>F1468*Controls!$B$6</f>
        <v>52</v>
      </c>
      <c r="M1468" s="11">
        <f>G1468*Controls!$B$6</f>
        <v>6500</v>
      </c>
      <c r="N1468" s="12">
        <f>IF(L1468=0,0,SUMIFS('PSI Plan'!$N$6:$N$173,'PSI Plan'!$B$6:$B$173,B1468,'PSI Plan'!$C$6:$C$173,I1468))</f>
        <v>0</v>
      </c>
      <c r="O1468" s="11">
        <f t="shared" si="44"/>
        <v>0</v>
      </c>
      <c r="P1468" s="11">
        <f t="shared" si="45"/>
        <v>0</v>
      </c>
      <c r="Q1468" s="6"/>
      <c r="R1468" s="6"/>
      <c r="S1468" s="6"/>
      <c r="T1468" s="6"/>
    </row>
    <row r="1469" spans="1:20">
      <c r="A1469" s="6" t="s">
        <v>1620</v>
      </c>
      <c r="B1469" s="6" t="s">
        <v>69</v>
      </c>
      <c r="C1469" s="6" t="s">
        <v>90</v>
      </c>
      <c r="D1469" s="6" t="s">
        <v>119</v>
      </c>
      <c r="E1469" s="6" t="s">
        <v>120</v>
      </c>
      <c r="F1469" s="7">
        <v>78</v>
      </c>
      <c r="G1469" s="7">
        <v>9750</v>
      </c>
      <c r="H1469" s="16">
        <v>45245</v>
      </c>
      <c r="I1469" s="6">
        <v>46</v>
      </c>
      <c r="J1469" s="6" t="s">
        <v>121</v>
      </c>
      <c r="K1469" s="6" t="s">
        <v>171</v>
      </c>
      <c r="L1469" s="11">
        <f>F1469*Controls!$B$6</f>
        <v>78</v>
      </c>
      <c r="M1469" s="11">
        <f>G1469*Controls!$B$6</f>
        <v>9750</v>
      </c>
      <c r="N1469" s="12">
        <f>IF(L1469=0,0,SUMIFS('PSI Plan'!$N$6:$N$173,'PSI Plan'!$B$6:$B$173,B1469,'PSI Plan'!$C$6:$C$173,I1469))</f>
        <v>0</v>
      </c>
      <c r="O1469" s="11">
        <f t="shared" si="44"/>
        <v>0</v>
      </c>
      <c r="P1469" s="11">
        <f t="shared" si="45"/>
        <v>0</v>
      </c>
      <c r="Q1469" s="6"/>
      <c r="R1469" s="6"/>
      <c r="S1469" s="6"/>
      <c r="T1469" s="6"/>
    </row>
    <row r="1470" spans="1:20">
      <c r="A1470" s="6" t="s">
        <v>1621</v>
      </c>
      <c r="B1470" s="6" t="s">
        <v>66</v>
      </c>
      <c r="C1470" s="6" t="s">
        <v>99</v>
      </c>
      <c r="D1470" s="6" t="s">
        <v>319</v>
      </c>
      <c r="E1470" s="6" t="s">
        <v>120</v>
      </c>
      <c r="F1470" s="7">
        <v>252</v>
      </c>
      <c r="G1470" s="7">
        <v>31500</v>
      </c>
      <c r="H1470" s="16">
        <v>45219</v>
      </c>
      <c r="I1470" s="6">
        <v>42</v>
      </c>
      <c r="J1470" s="6" t="s">
        <v>121</v>
      </c>
      <c r="K1470" s="6" t="s">
        <v>347</v>
      </c>
      <c r="L1470" s="11">
        <f>F1470*Controls!$B$6</f>
        <v>252</v>
      </c>
      <c r="M1470" s="11">
        <f>G1470*Controls!$B$6</f>
        <v>31500</v>
      </c>
      <c r="N1470" s="12">
        <f>IF(L1470=0,0,SUMIFS('PSI Plan'!$N$6:$N$173,'PSI Plan'!$B$6:$B$173,B1470,'PSI Plan'!$C$6:$C$173,I1470))</f>
        <v>0.59807073954983925</v>
      </c>
      <c r="O1470" s="11">
        <f t="shared" si="44"/>
        <v>150.71382636655949</v>
      </c>
      <c r="P1470" s="11">
        <f t="shared" si="45"/>
        <v>18839.228295819936</v>
      </c>
      <c r="Q1470" s="6"/>
      <c r="R1470" s="6"/>
      <c r="S1470" s="6"/>
      <c r="T1470" s="6"/>
    </row>
    <row r="1471" spans="1:20">
      <c r="A1471" s="6" t="s">
        <v>1622</v>
      </c>
      <c r="B1471" s="6" t="s">
        <v>77</v>
      </c>
      <c r="C1471" s="6" t="s">
        <v>99</v>
      </c>
      <c r="D1471" s="6" t="s">
        <v>319</v>
      </c>
      <c r="E1471" s="6" t="s">
        <v>120</v>
      </c>
      <c r="F1471" s="7">
        <v>244</v>
      </c>
      <c r="G1471" s="7">
        <v>30500</v>
      </c>
      <c r="H1471" s="16">
        <v>45242</v>
      </c>
      <c r="I1471" s="6">
        <v>46</v>
      </c>
      <c r="J1471" s="6" t="s">
        <v>121</v>
      </c>
      <c r="K1471" s="6" t="s">
        <v>347</v>
      </c>
      <c r="L1471" s="11">
        <f>F1471*Controls!$B$6</f>
        <v>244</v>
      </c>
      <c r="M1471" s="11">
        <f>G1471*Controls!$B$6</f>
        <v>30500</v>
      </c>
      <c r="N1471" s="12">
        <f>IF(L1471=0,0,SUMIFS('PSI Plan'!$N$6:$N$173,'PSI Plan'!$B$6:$B$173,B1471,'PSI Plan'!$C$6:$C$173,I1471))</f>
        <v>0</v>
      </c>
      <c r="O1471" s="11">
        <f t="shared" si="44"/>
        <v>0</v>
      </c>
      <c r="P1471" s="11">
        <f t="shared" si="45"/>
        <v>0</v>
      </c>
      <c r="Q1471" s="6"/>
      <c r="R1471" s="6"/>
      <c r="S1471" s="6"/>
      <c r="T1471" s="6"/>
    </row>
    <row r="1472" spans="1:20">
      <c r="A1472" s="6" t="s">
        <v>1623</v>
      </c>
      <c r="B1472" s="6" t="s">
        <v>76</v>
      </c>
      <c r="C1472" s="6" t="s">
        <v>99</v>
      </c>
      <c r="D1472" s="6" t="s">
        <v>319</v>
      </c>
      <c r="E1472" s="6" t="s">
        <v>120</v>
      </c>
      <c r="F1472" s="7">
        <v>42</v>
      </c>
      <c r="G1472" s="7">
        <v>5250</v>
      </c>
      <c r="H1472" s="16">
        <v>45223</v>
      </c>
      <c r="I1472" s="6">
        <v>43</v>
      </c>
      <c r="J1472" s="6" t="s">
        <v>121</v>
      </c>
      <c r="K1472" s="6" t="s">
        <v>347</v>
      </c>
      <c r="L1472" s="11">
        <f>F1472*Controls!$B$6</f>
        <v>42</v>
      </c>
      <c r="M1472" s="11">
        <f>G1472*Controls!$B$6</f>
        <v>5250</v>
      </c>
      <c r="N1472" s="12">
        <f>IF(L1472=0,0,SUMIFS('PSI Plan'!$N$6:$N$173,'PSI Plan'!$B$6:$B$173,B1472,'PSI Plan'!$C$6:$C$173,I1472))</f>
        <v>0</v>
      </c>
      <c r="O1472" s="11">
        <f t="shared" si="44"/>
        <v>0</v>
      </c>
      <c r="P1472" s="11">
        <f t="shared" si="45"/>
        <v>0</v>
      </c>
      <c r="Q1472" s="6"/>
      <c r="R1472" s="6"/>
      <c r="S1472" s="6"/>
      <c r="T1472" s="6"/>
    </row>
    <row r="1473" spans="1:20">
      <c r="A1473" s="6" t="s">
        <v>1624</v>
      </c>
      <c r="B1473" s="6" t="s">
        <v>67</v>
      </c>
      <c r="C1473" s="6" t="s">
        <v>99</v>
      </c>
      <c r="D1473" s="6" t="s">
        <v>319</v>
      </c>
      <c r="E1473" s="6" t="s">
        <v>120</v>
      </c>
      <c r="F1473" s="7">
        <v>234</v>
      </c>
      <c r="G1473" s="7">
        <v>29250</v>
      </c>
      <c r="H1473" s="16">
        <v>45206</v>
      </c>
      <c r="I1473" s="6">
        <v>40</v>
      </c>
      <c r="J1473" s="6" t="s">
        <v>121</v>
      </c>
      <c r="K1473" s="6" t="s">
        <v>347</v>
      </c>
      <c r="L1473" s="11">
        <f>F1473*Controls!$B$6</f>
        <v>234</v>
      </c>
      <c r="M1473" s="11">
        <f>G1473*Controls!$B$6</f>
        <v>29250</v>
      </c>
      <c r="N1473" s="12">
        <f>IF(L1473=0,0,SUMIFS('PSI Plan'!$N$6:$N$173,'PSI Plan'!$B$6:$B$173,B1473,'PSI Plan'!$C$6:$C$173,I1473))</f>
        <v>0</v>
      </c>
      <c r="O1473" s="11">
        <f t="shared" si="44"/>
        <v>0</v>
      </c>
      <c r="P1473" s="11">
        <f t="shared" si="45"/>
        <v>0</v>
      </c>
      <c r="Q1473" s="6"/>
      <c r="R1473" s="6"/>
      <c r="S1473" s="6"/>
      <c r="T1473" s="6"/>
    </row>
    <row r="1474" spans="1:20">
      <c r="A1474" s="6" t="s">
        <v>1625</v>
      </c>
      <c r="B1474" s="6" t="s">
        <v>69</v>
      </c>
      <c r="C1474" s="6" t="s">
        <v>99</v>
      </c>
      <c r="D1474" s="6" t="s">
        <v>319</v>
      </c>
      <c r="E1474" s="6" t="s">
        <v>120</v>
      </c>
      <c r="F1474" s="7">
        <v>332</v>
      </c>
      <c r="G1474" s="7">
        <v>41500</v>
      </c>
      <c r="H1474" s="16">
        <v>45273</v>
      </c>
      <c r="I1474" s="6">
        <v>50</v>
      </c>
      <c r="J1474" s="6" t="s">
        <v>121</v>
      </c>
      <c r="K1474" s="6" t="s">
        <v>347</v>
      </c>
      <c r="L1474" s="11">
        <f>F1474*Controls!$B$6</f>
        <v>332</v>
      </c>
      <c r="M1474" s="11">
        <f>G1474*Controls!$B$6</f>
        <v>41500</v>
      </c>
      <c r="N1474" s="12">
        <f>IF(L1474=0,0,SUMIFS('PSI Plan'!$N$6:$N$173,'PSI Plan'!$B$6:$B$173,B1474,'PSI Plan'!$C$6:$C$173,I1474))</f>
        <v>0</v>
      </c>
      <c r="O1474" s="11">
        <f t="shared" ref="O1474:O1537" si="46">L1474*N1474</f>
        <v>0</v>
      </c>
      <c r="P1474" s="11">
        <f t="shared" ref="P1474:P1537" si="47">M1474*N1474</f>
        <v>0</v>
      </c>
      <c r="Q1474" s="6"/>
      <c r="R1474" s="6"/>
      <c r="S1474" s="6"/>
      <c r="T1474" s="6"/>
    </row>
    <row r="1475" spans="1:20">
      <c r="A1475" s="6" t="s">
        <v>1626</v>
      </c>
      <c r="B1475" s="6" t="s">
        <v>76</v>
      </c>
      <c r="C1475" s="6" t="s">
        <v>99</v>
      </c>
      <c r="D1475" s="6" t="s">
        <v>319</v>
      </c>
      <c r="E1475" s="6" t="s">
        <v>120</v>
      </c>
      <c r="F1475" s="7">
        <v>42</v>
      </c>
      <c r="G1475" s="7">
        <v>5250</v>
      </c>
      <c r="H1475" s="16">
        <v>45244</v>
      </c>
      <c r="I1475" s="6">
        <v>46</v>
      </c>
      <c r="J1475" s="6" t="s">
        <v>121</v>
      </c>
      <c r="K1475" s="6" t="s">
        <v>374</v>
      </c>
      <c r="L1475" s="11">
        <f>F1475*Controls!$B$6</f>
        <v>42</v>
      </c>
      <c r="M1475" s="11">
        <f>G1475*Controls!$B$6</f>
        <v>5250</v>
      </c>
      <c r="N1475" s="12">
        <f>IF(L1475=0,0,SUMIFS('PSI Plan'!$N$6:$N$173,'PSI Plan'!$B$6:$B$173,B1475,'PSI Plan'!$C$6:$C$173,I1475))</f>
        <v>0</v>
      </c>
      <c r="O1475" s="11">
        <f t="shared" si="46"/>
        <v>0</v>
      </c>
      <c r="P1475" s="11">
        <f t="shared" si="47"/>
        <v>0</v>
      </c>
      <c r="Q1475" s="6"/>
      <c r="R1475" s="6"/>
      <c r="S1475" s="6"/>
      <c r="T1475" s="6"/>
    </row>
    <row r="1476" spans="1:20">
      <c r="A1476" s="6" t="s">
        <v>1627</v>
      </c>
      <c r="B1476" s="6" t="s">
        <v>67</v>
      </c>
      <c r="C1476" s="6" t="s">
        <v>99</v>
      </c>
      <c r="D1476" s="6" t="s">
        <v>319</v>
      </c>
      <c r="E1476" s="6" t="s">
        <v>120</v>
      </c>
      <c r="F1476" s="7">
        <v>16</v>
      </c>
      <c r="G1476" s="7">
        <v>2000</v>
      </c>
      <c r="H1476" s="16">
        <v>45274</v>
      </c>
      <c r="I1476" s="6">
        <v>50</v>
      </c>
      <c r="J1476" s="6" t="s">
        <v>121</v>
      </c>
      <c r="K1476" s="6" t="s">
        <v>374</v>
      </c>
      <c r="L1476" s="11">
        <f>F1476*Controls!$B$6</f>
        <v>16</v>
      </c>
      <c r="M1476" s="11">
        <f>G1476*Controls!$B$6</f>
        <v>2000</v>
      </c>
      <c r="N1476" s="12">
        <f>IF(L1476=0,0,SUMIFS('PSI Plan'!$N$6:$N$173,'PSI Plan'!$B$6:$B$173,B1476,'PSI Plan'!$C$6:$C$173,I1476))</f>
        <v>0</v>
      </c>
      <c r="O1476" s="11">
        <f t="shared" si="46"/>
        <v>0</v>
      </c>
      <c r="P1476" s="11">
        <f t="shared" si="47"/>
        <v>0</v>
      </c>
      <c r="Q1476" s="6"/>
      <c r="R1476" s="6"/>
      <c r="S1476" s="6"/>
      <c r="T1476" s="6"/>
    </row>
    <row r="1477" spans="1:20">
      <c r="A1477" s="6" t="s">
        <v>1628</v>
      </c>
      <c r="B1477" s="6" t="s">
        <v>66</v>
      </c>
      <c r="C1477" s="6" t="s">
        <v>90</v>
      </c>
      <c r="D1477" s="6" t="s">
        <v>119</v>
      </c>
      <c r="E1477" s="6" t="s">
        <v>120</v>
      </c>
      <c r="F1477" s="7">
        <v>30</v>
      </c>
      <c r="G1477" s="7">
        <v>3750</v>
      </c>
      <c r="H1477" s="16">
        <v>45223</v>
      </c>
      <c r="I1477" s="6">
        <v>43</v>
      </c>
      <c r="J1477" s="6" t="s">
        <v>121</v>
      </c>
      <c r="K1477" s="6" t="s">
        <v>122</v>
      </c>
      <c r="L1477" s="11">
        <f>F1477*Controls!$B$6</f>
        <v>30</v>
      </c>
      <c r="M1477" s="11">
        <f>G1477*Controls!$B$6</f>
        <v>3750</v>
      </c>
      <c r="N1477" s="12">
        <f>IF(L1477=0,0,SUMIFS('PSI Plan'!$N$6:$N$173,'PSI Plan'!$B$6:$B$173,B1477,'PSI Plan'!$C$6:$C$173,I1477))</f>
        <v>0</v>
      </c>
      <c r="O1477" s="11">
        <f t="shared" si="46"/>
        <v>0</v>
      </c>
      <c r="P1477" s="11">
        <f t="shared" si="47"/>
        <v>0</v>
      </c>
      <c r="Q1477" s="6"/>
      <c r="R1477" s="6"/>
      <c r="S1477" s="6"/>
      <c r="T1477" s="6"/>
    </row>
    <row r="1478" spans="1:20">
      <c r="A1478" s="6" t="s">
        <v>1629</v>
      </c>
      <c r="B1478" s="6" t="s">
        <v>77</v>
      </c>
      <c r="C1478" s="6" t="s">
        <v>90</v>
      </c>
      <c r="D1478" s="6" t="s">
        <v>119</v>
      </c>
      <c r="E1478" s="6" t="s">
        <v>120</v>
      </c>
      <c r="F1478" s="7">
        <v>58</v>
      </c>
      <c r="G1478" s="7">
        <v>7250</v>
      </c>
      <c r="H1478" s="16">
        <v>45259</v>
      </c>
      <c r="I1478" s="6">
        <v>48</v>
      </c>
      <c r="J1478" s="6" t="s">
        <v>121</v>
      </c>
      <c r="K1478" s="6" t="s">
        <v>122</v>
      </c>
      <c r="L1478" s="11">
        <f>F1478*Controls!$B$6</f>
        <v>58</v>
      </c>
      <c r="M1478" s="11">
        <f>G1478*Controls!$B$6</f>
        <v>7250</v>
      </c>
      <c r="N1478" s="12">
        <f>IF(L1478=0,0,SUMIFS('PSI Plan'!$N$6:$N$173,'PSI Plan'!$B$6:$B$173,B1478,'PSI Plan'!$C$6:$C$173,I1478))</f>
        <v>0</v>
      </c>
      <c r="O1478" s="11">
        <f t="shared" si="46"/>
        <v>0</v>
      </c>
      <c r="P1478" s="11">
        <f t="shared" si="47"/>
        <v>0</v>
      </c>
      <c r="Q1478" s="6"/>
      <c r="R1478" s="6"/>
      <c r="S1478" s="6"/>
      <c r="T1478" s="6"/>
    </row>
    <row r="1479" spans="1:20">
      <c r="A1479" s="6" t="s">
        <v>1630</v>
      </c>
      <c r="B1479" s="6" t="s">
        <v>76</v>
      </c>
      <c r="C1479" s="6" t="s">
        <v>90</v>
      </c>
      <c r="D1479" s="6" t="s">
        <v>119</v>
      </c>
      <c r="E1479" s="6" t="s">
        <v>120</v>
      </c>
      <c r="F1479" s="7">
        <v>54</v>
      </c>
      <c r="G1479" s="7">
        <v>6750</v>
      </c>
      <c r="H1479" s="16">
        <v>45283</v>
      </c>
      <c r="I1479" s="6">
        <v>51</v>
      </c>
      <c r="J1479" s="6" t="s">
        <v>121</v>
      </c>
      <c r="K1479" s="6" t="s">
        <v>122</v>
      </c>
      <c r="L1479" s="11">
        <f>F1479*Controls!$B$6</f>
        <v>54</v>
      </c>
      <c r="M1479" s="11">
        <f>G1479*Controls!$B$6</f>
        <v>6750</v>
      </c>
      <c r="N1479" s="12">
        <f>IF(L1479=0,0,SUMIFS('PSI Plan'!$N$6:$N$173,'PSI Plan'!$B$6:$B$173,B1479,'PSI Plan'!$C$6:$C$173,I1479))</f>
        <v>0</v>
      </c>
      <c r="O1479" s="11">
        <f t="shared" si="46"/>
        <v>0</v>
      </c>
      <c r="P1479" s="11">
        <f t="shared" si="47"/>
        <v>0</v>
      </c>
      <c r="Q1479" s="6"/>
      <c r="R1479" s="6"/>
      <c r="S1479" s="6"/>
      <c r="T1479" s="6"/>
    </row>
    <row r="1480" spans="1:20">
      <c r="A1480" s="6" t="s">
        <v>1631</v>
      </c>
      <c r="B1480" s="6" t="s">
        <v>67</v>
      </c>
      <c r="C1480" s="6" t="s">
        <v>90</v>
      </c>
      <c r="D1480" s="6" t="s">
        <v>119</v>
      </c>
      <c r="E1480" s="6" t="s">
        <v>120</v>
      </c>
      <c r="F1480" s="7">
        <v>41</v>
      </c>
      <c r="G1480" s="7">
        <v>5125</v>
      </c>
      <c r="H1480" s="16">
        <v>45273</v>
      </c>
      <c r="I1480" s="6">
        <v>50</v>
      </c>
      <c r="J1480" s="6" t="s">
        <v>121</v>
      </c>
      <c r="K1480" s="6" t="s">
        <v>122</v>
      </c>
      <c r="L1480" s="11">
        <f>F1480*Controls!$B$6</f>
        <v>41</v>
      </c>
      <c r="M1480" s="11">
        <f>G1480*Controls!$B$6</f>
        <v>5125</v>
      </c>
      <c r="N1480" s="12">
        <f>IF(L1480=0,0,SUMIFS('PSI Plan'!$N$6:$N$173,'PSI Plan'!$B$6:$B$173,B1480,'PSI Plan'!$C$6:$C$173,I1480))</f>
        <v>0</v>
      </c>
      <c r="O1480" s="11">
        <f t="shared" si="46"/>
        <v>0</v>
      </c>
      <c r="P1480" s="11">
        <f t="shared" si="47"/>
        <v>0</v>
      </c>
      <c r="Q1480" s="6"/>
      <c r="R1480" s="6"/>
      <c r="S1480" s="6"/>
      <c r="T1480" s="6"/>
    </row>
    <row r="1481" spans="1:20">
      <c r="A1481" s="6" t="s">
        <v>1632</v>
      </c>
      <c r="B1481" s="6" t="s">
        <v>69</v>
      </c>
      <c r="C1481" s="6" t="s">
        <v>90</v>
      </c>
      <c r="D1481" s="6" t="s">
        <v>119</v>
      </c>
      <c r="E1481" s="6" t="s">
        <v>120</v>
      </c>
      <c r="F1481" s="7">
        <v>182</v>
      </c>
      <c r="G1481" s="7">
        <v>22750</v>
      </c>
      <c r="H1481" s="16">
        <v>45262</v>
      </c>
      <c r="I1481" s="6">
        <v>48</v>
      </c>
      <c r="J1481" s="6" t="s">
        <v>121</v>
      </c>
      <c r="K1481" s="6" t="s">
        <v>122</v>
      </c>
      <c r="L1481" s="11">
        <f>F1481*Controls!$B$6</f>
        <v>182</v>
      </c>
      <c r="M1481" s="11">
        <f>G1481*Controls!$B$6</f>
        <v>22750</v>
      </c>
      <c r="N1481" s="12">
        <f>IF(L1481=0,0,SUMIFS('PSI Plan'!$N$6:$N$173,'PSI Plan'!$B$6:$B$173,B1481,'PSI Plan'!$C$6:$C$173,I1481))</f>
        <v>0</v>
      </c>
      <c r="O1481" s="11">
        <f t="shared" si="46"/>
        <v>0</v>
      </c>
      <c r="P1481" s="11">
        <f t="shared" si="47"/>
        <v>0</v>
      </c>
      <c r="Q1481" s="6"/>
      <c r="R1481" s="6"/>
      <c r="S1481" s="6"/>
      <c r="T1481" s="6"/>
    </row>
    <row r="1482" spans="1:20">
      <c r="A1482" s="6" t="s">
        <v>1633</v>
      </c>
      <c r="B1482" s="6" t="s">
        <v>77</v>
      </c>
      <c r="C1482" s="6" t="s">
        <v>90</v>
      </c>
      <c r="D1482" s="6" t="s">
        <v>119</v>
      </c>
      <c r="E1482" s="6" t="s">
        <v>120</v>
      </c>
      <c r="F1482" s="7">
        <v>13</v>
      </c>
      <c r="G1482" s="7">
        <v>1625</v>
      </c>
      <c r="H1482" s="16">
        <v>45283</v>
      </c>
      <c r="I1482" s="6">
        <v>51</v>
      </c>
      <c r="J1482" s="6" t="s">
        <v>121</v>
      </c>
      <c r="K1482" s="6" t="s">
        <v>132</v>
      </c>
      <c r="L1482" s="11">
        <f>F1482*Controls!$B$6</f>
        <v>13</v>
      </c>
      <c r="M1482" s="11">
        <f>G1482*Controls!$B$6</f>
        <v>1625</v>
      </c>
      <c r="N1482" s="12">
        <f>IF(L1482=0,0,SUMIFS('PSI Plan'!$N$6:$N$173,'PSI Plan'!$B$6:$B$173,B1482,'PSI Plan'!$C$6:$C$173,I1482))</f>
        <v>0</v>
      </c>
      <c r="O1482" s="11">
        <f t="shared" si="46"/>
        <v>0</v>
      </c>
      <c r="P1482" s="11">
        <f t="shared" si="47"/>
        <v>0</v>
      </c>
      <c r="Q1482" s="6"/>
      <c r="R1482" s="6"/>
      <c r="S1482" s="6"/>
      <c r="T1482" s="6"/>
    </row>
    <row r="1483" spans="1:20">
      <c r="A1483" s="6" t="s">
        <v>1634</v>
      </c>
      <c r="B1483" s="6" t="s">
        <v>66</v>
      </c>
      <c r="C1483" s="6" t="s">
        <v>90</v>
      </c>
      <c r="D1483" s="6" t="s">
        <v>119</v>
      </c>
      <c r="E1483" s="6" t="s">
        <v>120</v>
      </c>
      <c r="F1483" s="7">
        <v>13</v>
      </c>
      <c r="G1483" s="7">
        <v>1625</v>
      </c>
      <c r="H1483" s="16">
        <v>45287</v>
      </c>
      <c r="I1483" s="6">
        <v>52</v>
      </c>
      <c r="J1483" s="6" t="s">
        <v>121</v>
      </c>
      <c r="K1483" s="6" t="s">
        <v>171</v>
      </c>
      <c r="L1483" s="11">
        <f>F1483*Controls!$B$6</f>
        <v>13</v>
      </c>
      <c r="M1483" s="11">
        <f>G1483*Controls!$B$6</f>
        <v>1625</v>
      </c>
      <c r="N1483" s="12">
        <f>IF(L1483=0,0,SUMIFS('PSI Plan'!$N$6:$N$173,'PSI Plan'!$B$6:$B$173,B1483,'PSI Plan'!$C$6:$C$173,I1483))</f>
        <v>0</v>
      </c>
      <c r="O1483" s="11">
        <f t="shared" si="46"/>
        <v>0</v>
      </c>
      <c r="P1483" s="11">
        <f t="shared" si="47"/>
        <v>0</v>
      </c>
      <c r="Q1483" s="6"/>
      <c r="R1483" s="6"/>
      <c r="S1483" s="6"/>
      <c r="T1483" s="6"/>
    </row>
    <row r="1484" spans="1:20">
      <c r="A1484" s="6" t="s">
        <v>1635</v>
      </c>
      <c r="B1484" s="6" t="s">
        <v>77</v>
      </c>
      <c r="C1484" s="6" t="s">
        <v>90</v>
      </c>
      <c r="D1484" s="6" t="s">
        <v>119</v>
      </c>
      <c r="E1484" s="6" t="s">
        <v>120</v>
      </c>
      <c r="F1484" s="7">
        <v>52</v>
      </c>
      <c r="G1484" s="7">
        <v>6500</v>
      </c>
      <c r="H1484" s="16">
        <v>45249</v>
      </c>
      <c r="I1484" s="6">
        <v>47</v>
      </c>
      <c r="J1484" s="6" t="s">
        <v>121</v>
      </c>
      <c r="K1484" s="6" t="s">
        <v>171</v>
      </c>
      <c r="L1484" s="11">
        <f>F1484*Controls!$B$6</f>
        <v>52</v>
      </c>
      <c r="M1484" s="11">
        <f>G1484*Controls!$B$6</f>
        <v>6500</v>
      </c>
      <c r="N1484" s="12">
        <f>IF(L1484=0,0,SUMIFS('PSI Plan'!$N$6:$N$173,'PSI Plan'!$B$6:$B$173,B1484,'PSI Plan'!$C$6:$C$173,I1484))</f>
        <v>0</v>
      </c>
      <c r="O1484" s="11">
        <f t="shared" si="46"/>
        <v>0</v>
      </c>
      <c r="P1484" s="11">
        <f t="shared" si="47"/>
        <v>0</v>
      </c>
      <c r="Q1484" s="6"/>
      <c r="R1484" s="6"/>
      <c r="S1484" s="6"/>
      <c r="T1484" s="6"/>
    </row>
    <row r="1485" spans="1:20">
      <c r="A1485" s="6" t="s">
        <v>1636</v>
      </c>
      <c r="B1485" s="6" t="s">
        <v>67</v>
      </c>
      <c r="C1485" s="6" t="s">
        <v>90</v>
      </c>
      <c r="D1485" s="6" t="s">
        <v>119</v>
      </c>
      <c r="E1485" s="6" t="s">
        <v>120</v>
      </c>
      <c r="F1485" s="7">
        <v>117</v>
      </c>
      <c r="G1485" s="7">
        <v>14625</v>
      </c>
      <c r="H1485" s="16">
        <v>45279</v>
      </c>
      <c r="I1485" s="6">
        <v>51</v>
      </c>
      <c r="J1485" s="6" t="s">
        <v>121</v>
      </c>
      <c r="K1485" s="6" t="s">
        <v>171</v>
      </c>
      <c r="L1485" s="11">
        <f>F1485*Controls!$B$6</f>
        <v>117</v>
      </c>
      <c r="M1485" s="11">
        <f>G1485*Controls!$B$6</f>
        <v>14625</v>
      </c>
      <c r="N1485" s="12">
        <f>IF(L1485=0,0,SUMIFS('PSI Plan'!$N$6:$N$173,'PSI Plan'!$B$6:$B$173,B1485,'PSI Plan'!$C$6:$C$173,I1485))</f>
        <v>0</v>
      </c>
      <c r="O1485" s="11">
        <f t="shared" si="46"/>
        <v>0</v>
      </c>
      <c r="P1485" s="11">
        <f t="shared" si="47"/>
        <v>0</v>
      </c>
      <c r="Q1485" s="6"/>
      <c r="R1485" s="6"/>
      <c r="S1485" s="6"/>
      <c r="T1485" s="6"/>
    </row>
    <row r="1486" spans="1:20">
      <c r="A1486" s="6" t="s">
        <v>1637</v>
      </c>
      <c r="B1486" s="6" t="s">
        <v>69</v>
      </c>
      <c r="C1486" s="6" t="s">
        <v>90</v>
      </c>
      <c r="D1486" s="6" t="s">
        <v>119</v>
      </c>
      <c r="E1486" s="6" t="s">
        <v>120</v>
      </c>
      <c r="F1486" s="7">
        <v>39</v>
      </c>
      <c r="G1486" s="7">
        <v>4875</v>
      </c>
      <c r="H1486" s="16">
        <v>45276</v>
      </c>
      <c r="I1486" s="6">
        <v>50</v>
      </c>
      <c r="J1486" s="6" t="s">
        <v>121</v>
      </c>
      <c r="K1486" s="6" t="s">
        <v>171</v>
      </c>
      <c r="L1486" s="11">
        <f>F1486*Controls!$B$6</f>
        <v>39</v>
      </c>
      <c r="M1486" s="11">
        <f>G1486*Controls!$B$6</f>
        <v>4875</v>
      </c>
      <c r="N1486" s="12">
        <f>IF(L1486=0,0,SUMIFS('PSI Plan'!$N$6:$N$173,'PSI Plan'!$B$6:$B$173,B1486,'PSI Plan'!$C$6:$C$173,I1486))</f>
        <v>0</v>
      </c>
      <c r="O1486" s="11">
        <f t="shared" si="46"/>
        <v>0</v>
      </c>
      <c r="P1486" s="11">
        <f t="shared" si="47"/>
        <v>0</v>
      </c>
      <c r="Q1486" s="6"/>
      <c r="R1486" s="6"/>
      <c r="S1486" s="6"/>
      <c r="T1486" s="6"/>
    </row>
    <row r="1487" spans="1:20">
      <c r="A1487" s="6" t="s">
        <v>1638</v>
      </c>
      <c r="B1487" s="6" t="s">
        <v>66</v>
      </c>
      <c r="C1487" s="6" t="s">
        <v>90</v>
      </c>
      <c r="D1487" s="6" t="s">
        <v>119</v>
      </c>
      <c r="E1487" s="6" t="s">
        <v>120</v>
      </c>
      <c r="F1487" s="7">
        <v>13</v>
      </c>
      <c r="G1487" s="7">
        <v>1625</v>
      </c>
      <c r="H1487" s="16">
        <v>45220</v>
      </c>
      <c r="I1487" s="6">
        <v>42</v>
      </c>
      <c r="J1487" s="6" t="s">
        <v>121</v>
      </c>
      <c r="K1487" s="6" t="s">
        <v>1639</v>
      </c>
      <c r="L1487" s="11">
        <f>F1487*Controls!$B$6</f>
        <v>13</v>
      </c>
      <c r="M1487" s="11">
        <f>G1487*Controls!$B$6</f>
        <v>1625</v>
      </c>
      <c r="N1487" s="12">
        <f>IF(L1487=0,0,SUMIFS('PSI Plan'!$N$6:$N$173,'PSI Plan'!$B$6:$B$173,B1487,'PSI Plan'!$C$6:$C$173,I1487))</f>
        <v>0.59807073954983925</v>
      </c>
      <c r="O1487" s="11">
        <f t="shared" si="46"/>
        <v>7.77491961414791</v>
      </c>
      <c r="P1487" s="11">
        <f t="shared" si="47"/>
        <v>971.86495176848882</v>
      </c>
      <c r="Q1487" s="6"/>
      <c r="R1487" s="6"/>
      <c r="S1487" s="6"/>
      <c r="T1487" s="6"/>
    </row>
    <row r="1488" spans="1:20">
      <c r="A1488" s="6" t="s">
        <v>1640</v>
      </c>
      <c r="B1488" s="6" t="s">
        <v>77</v>
      </c>
      <c r="C1488" s="6" t="s">
        <v>90</v>
      </c>
      <c r="D1488" s="6" t="s">
        <v>119</v>
      </c>
      <c r="E1488" s="6" t="s">
        <v>120</v>
      </c>
      <c r="F1488" s="7">
        <v>13</v>
      </c>
      <c r="G1488" s="7">
        <v>1625</v>
      </c>
      <c r="H1488" s="16">
        <v>45215</v>
      </c>
      <c r="I1488" s="6">
        <v>42</v>
      </c>
      <c r="J1488" s="6" t="s">
        <v>121</v>
      </c>
      <c r="K1488" s="6" t="s">
        <v>1639</v>
      </c>
      <c r="L1488" s="11">
        <f>F1488*Controls!$B$6</f>
        <v>13</v>
      </c>
      <c r="M1488" s="11">
        <f>G1488*Controls!$B$6</f>
        <v>1625</v>
      </c>
      <c r="N1488" s="12">
        <f>IF(L1488=0,0,SUMIFS('PSI Plan'!$N$6:$N$173,'PSI Plan'!$B$6:$B$173,B1488,'PSI Plan'!$C$6:$C$173,I1488))</f>
        <v>0</v>
      </c>
      <c r="O1488" s="11">
        <f t="shared" si="46"/>
        <v>0</v>
      </c>
      <c r="P1488" s="11">
        <f t="shared" si="47"/>
        <v>0</v>
      </c>
      <c r="Q1488" s="6"/>
      <c r="R1488" s="6"/>
      <c r="S1488" s="6"/>
      <c r="T1488" s="6"/>
    </row>
    <row r="1489" spans="1:20">
      <c r="A1489" s="6" t="s">
        <v>1641</v>
      </c>
      <c r="B1489" s="6" t="s">
        <v>76</v>
      </c>
      <c r="C1489" s="6" t="s">
        <v>90</v>
      </c>
      <c r="D1489" s="6" t="s">
        <v>119</v>
      </c>
      <c r="E1489" s="6" t="s">
        <v>120</v>
      </c>
      <c r="F1489" s="7">
        <v>13</v>
      </c>
      <c r="G1489" s="7">
        <v>1625</v>
      </c>
      <c r="H1489" s="16">
        <v>45227</v>
      </c>
      <c r="I1489" s="6">
        <v>43</v>
      </c>
      <c r="J1489" s="6" t="s">
        <v>121</v>
      </c>
      <c r="K1489" s="6" t="s">
        <v>1639</v>
      </c>
      <c r="L1489" s="11">
        <f>F1489*Controls!$B$6</f>
        <v>13</v>
      </c>
      <c r="M1489" s="11">
        <f>G1489*Controls!$B$6</f>
        <v>1625</v>
      </c>
      <c r="N1489" s="12">
        <f>IF(L1489=0,0,SUMIFS('PSI Plan'!$N$6:$N$173,'PSI Plan'!$B$6:$B$173,B1489,'PSI Plan'!$C$6:$C$173,I1489))</f>
        <v>0</v>
      </c>
      <c r="O1489" s="11">
        <f t="shared" si="46"/>
        <v>0</v>
      </c>
      <c r="P1489" s="11">
        <f t="shared" si="47"/>
        <v>0</v>
      </c>
      <c r="Q1489" s="6"/>
      <c r="R1489" s="6"/>
      <c r="S1489" s="6"/>
      <c r="T1489" s="6"/>
    </row>
    <row r="1490" spans="1:20">
      <c r="A1490" s="6" t="s">
        <v>1642</v>
      </c>
      <c r="B1490" s="6" t="s">
        <v>69</v>
      </c>
      <c r="C1490" s="6" t="s">
        <v>90</v>
      </c>
      <c r="D1490" s="6" t="s">
        <v>119</v>
      </c>
      <c r="E1490" s="6" t="s">
        <v>120</v>
      </c>
      <c r="F1490" s="7">
        <v>13</v>
      </c>
      <c r="G1490" s="7">
        <v>1625</v>
      </c>
      <c r="H1490" s="16">
        <v>45208</v>
      </c>
      <c r="I1490" s="6">
        <v>41</v>
      </c>
      <c r="J1490" s="6" t="s">
        <v>121</v>
      </c>
      <c r="K1490" s="6" t="s">
        <v>1639</v>
      </c>
      <c r="L1490" s="11">
        <f>F1490*Controls!$B$6</f>
        <v>13</v>
      </c>
      <c r="M1490" s="11">
        <f>G1490*Controls!$B$6</f>
        <v>1625</v>
      </c>
      <c r="N1490" s="12">
        <f>IF(L1490=0,0,SUMIFS('PSI Plan'!$N$6:$N$173,'PSI Plan'!$B$6:$B$173,B1490,'PSI Plan'!$C$6:$C$173,I1490))</f>
        <v>0</v>
      </c>
      <c r="O1490" s="11">
        <f t="shared" si="46"/>
        <v>0</v>
      </c>
      <c r="P1490" s="11">
        <f t="shared" si="47"/>
        <v>0</v>
      </c>
      <c r="Q1490" s="6"/>
      <c r="R1490" s="6"/>
      <c r="S1490" s="6"/>
      <c r="T1490" s="6"/>
    </row>
    <row r="1491" spans="1:20">
      <c r="A1491" s="6" t="s">
        <v>1643</v>
      </c>
      <c r="B1491" s="6" t="s">
        <v>66</v>
      </c>
      <c r="C1491" s="6" t="s">
        <v>100</v>
      </c>
      <c r="D1491" s="6" t="s">
        <v>567</v>
      </c>
      <c r="E1491" s="6" t="s">
        <v>120</v>
      </c>
      <c r="F1491" s="7">
        <v>4</v>
      </c>
      <c r="G1491" s="7">
        <v>500</v>
      </c>
      <c r="H1491" s="16">
        <v>45238</v>
      </c>
      <c r="I1491" s="6">
        <v>45</v>
      </c>
      <c r="J1491" s="6" t="s">
        <v>121</v>
      </c>
      <c r="K1491" s="6" t="s">
        <v>781</v>
      </c>
      <c r="L1491" s="11">
        <f>F1491*Controls!$B$6</f>
        <v>4</v>
      </c>
      <c r="M1491" s="11">
        <f>G1491*Controls!$B$6</f>
        <v>500</v>
      </c>
      <c r="N1491" s="12">
        <f>IF(L1491=0,0,SUMIFS('PSI Plan'!$N$6:$N$173,'PSI Plan'!$B$6:$B$173,B1491,'PSI Plan'!$C$6:$C$173,I1491))</f>
        <v>0</v>
      </c>
      <c r="O1491" s="11">
        <f t="shared" si="46"/>
        <v>0</v>
      </c>
      <c r="P1491" s="11">
        <f t="shared" si="47"/>
        <v>0</v>
      </c>
      <c r="Q1491" s="6"/>
      <c r="R1491" s="6"/>
      <c r="S1491" s="6"/>
      <c r="T1491" s="6"/>
    </row>
    <row r="1492" spans="1:20">
      <c r="A1492" s="6" t="s">
        <v>1644</v>
      </c>
      <c r="B1492" s="6" t="s">
        <v>76</v>
      </c>
      <c r="C1492" s="6" t="s">
        <v>100</v>
      </c>
      <c r="D1492" s="6" t="s">
        <v>567</v>
      </c>
      <c r="E1492" s="6" t="s">
        <v>120</v>
      </c>
      <c r="F1492" s="7">
        <v>2</v>
      </c>
      <c r="G1492" s="7">
        <v>250</v>
      </c>
      <c r="H1492" s="16">
        <v>45202</v>
      </c>
      <c r="I1492" s="6">
        <v>40</v>
      </c>
      <c r="J1492" s="6" t="s">
        <v>121</v>
      </c>
      <c r="K1492" s="6" t="s">
        <v>781</v>
      </c>
      <c r="L1492" s="11">
        <f>F1492*Controls!$B$6</f>
        <v>2</v>
      </c>
      <c r="M1492" s="11">
        <f>G1492*Controls!$B$6</f>
        <v>250</v>
      </c>
      <c r="N1492" s="12">
        <f>IF(L1492=0,0,SUMIFS('PSI Plan'!$N$6:$N$173,'PSI Plan'!$B$6:$B$173,B1492,'PSI Plan'!$C$6:$C$173,I1492))</f>
        <v>0</v>
      </c>
      <c r="O1492" s="11">
        <f t="shared" si="46"/>
        <v>0</v>
      </c>
      <c r="P1492" s="11">
        <f t="shared" si="47"/>
        <v>0</v>
      </c>
      <c r="Q1492" s="6"/>
      <c r="R1492" s="6"/>
      <c r="S1492" s="6"/>
      <c r="T1492" s="6"/>
    </row>
    <row r="1493" spans="1:20">
      <c r="A1493" s="6" t="s">
        <v>1645</v>
      </c>
      <c r="B1493" s="6" t="s">
        <v>67</v>
      </c>
      <c r="C1493" s="6" t="s">
        <v>100</v>
      </c>
      <c r="D1493" s="6" t="s">
        <v>567</v>
      </c>
      <c r="E1493" s="6" t="s">
        <v>120</v>
      </c>
      <c r="F1493" s="7">
        <v>26</v>
      </c>
      <c r="G1493" s="7">
        <v>3250</v>
      </c>
      <c r="H1493" s="16">
        <v>45232</v>
      </c>
      <c r="I1493" s="6">
        <v>44</v>
      </c>
      <c r="J1493" s="6" t="s">
        <v>121</v>
      </c>
      <c r="K1493" s="6" t="s">
        <v>781</v>
      </c>
      <c r="L1493" s="11">
        <f>F1493*Controls!$B$6</f>
        <v>26</v>
      </c>
      <c r="M1493" s="11">
        <f>G1493*Controls!$B$6</f>
        <v>3250</v>
      </c>
      <c r="N1493" s="12">
        <f>IF(L1493=0,0,SUMIFS('PSI Plan'!$N$6:$N$173,'PSI Plan'!$B$6:$B$173,B1493,'PSI Plan'!$C$6:$C$173,I1493))</f>
        <v>0</v>
      </c>
      <c r="O1493" s="11">
        <f t="shared" si="46"/>
        <v>0</v>
      </c>
      <c r="P1493" s="11">
        <f t="shared" si="47"/>
        <v>0</v>
      </c>
      <c r="Q1493" s="6"/>
      <c r="R1493" s="6"/>
      <c r="S1493" s="6"/>
      <c r="T1493" s="6"/>
    </row>
    <row r="1494" spans="1:20">
      <c r="A1494" s="6" t="s">
        <v>1646</v>
      </c>
      <c r="B1494" s="6" t="s">
        <v>69</v>
      </c>
      <c r="C1494" s="6" t="s">
        <v>100</v>
      </c>
      <c r="D1494" s="6" t="s">
        <v>567</v>
      </c>
      <c r="E1494" s="6" t="s">
        <v>120</v>
      </c>
      <c r="F1494" s="7">
        <v>4</v>
      </c>
      <c r="G1494" s="7">
        <v>500</v>
      </c>
      <c r="H1494" s="16">
        <v>45269</v>
      </c>
      <c r="I1494" s="6">
        <v>49</v>
      </c>
      <c r="J1494" s="6" t="s">
        <v>121</v>
      </c>
      <c r="K1494" s="6" t="s">
        <v>781</v>
      </c>
      <c r="L1494" s="11">
        <f>F1494*Controls!$B$6</f>
        <v>4</v>
      </c>
      <c r="M1494" s="11">
        <f>G1494*Controls!$B$6</f>
        <v>500</v>
      </c>
      <c r="N1494" s="12">
        <f>IF(L1494=0,0,SUMIFS('PSI Plan'!$N$6:$N$173,'PSI Plan'!$B$6:$B$173,B1494,'PSI Plan'!$C$6:$C$173,I1494))</f>
        <v>0</v>
      </c>
      <c r="O1494" s="11">
        <f t="shared" si="46"/>
        <v>0</v>
      </c>
      <c r="P1494" s="11">
        <f t="shared" si="47"/>
        <v>0</v>
      </c>
      <c r="Q1494" s="6"/>
      <c r="R1494" s="6"/>
      <c r="S1494" s="6"/>
      <c r="T1494" s="6"/>
    </row>
    <row r="1495" spans="1:20">
      <c r="A1495" s="6" t="s">
        <v>1647</v>
      </c>
      <c r="B1495" s="6" t="s">
        <v>69</v>
      </c>
      <c r="C1495" s="6" t="s">
        <v>90</v>
      </c>
      <c r="D1495" s="6" t="s">
        <v>119</v>
      </c>
      <c r="E1495" s="6" t="s">
        <v>120</v>
      </c>
      <c r="F1495" s="7">
        <v>26</v>
      </c>
      <c r="G1495" s="7">
        <v>3250</v>
      </c>
      <c r="H1495" s="16">
        <v>45239</v>
      </c>
      <c r="I1495" s="6">
        <v>45</v>
      </c>
      <c r="J1495" s="6" t="s">
        <v>121</v>
      </c>
      <c r="K1495" s="6" t="s">
        <v>725</v>
      </c>
      <c r="L1495" s="11">
        <f>F1495*Controls!$B$6</f>
        <v>26</v>
      </c>
      <c r="M1495" s="11">
        <f>G1495*Controls!$B$6</f>
        <v>3250</v>
      </c>
      <c r="N1495" s="12">
        <f>IF(L1495=0,0,SUMIFS('PSI Plan'!$N$6:$N$173,'PSI Plan'!$B$6:$B$173,B1495,'PSI Plan'!$C$6:$C$173,I1495))</f>
        <v>0</v>
      </c>
      <c r="O1495" s="11">
        <f t="shared" si="46"/>
        <v>0</v>
      </c>
      <c r="P1495" s="11">
        <f t="shared" si="47"/>
        <v>0</v>
      </c>
      <c r="Q1495" s="6"/>
      <c r="R1495" s="6"/>
      <c r="S1495" s="6"/>
      <c r="T1495" s="6"/>
    </row>
    <row r="1496" spans="1:20">
      <c r="A1496" s="6" t="s">
        <v>1648</v>
      </c>
      <c r="B1496" s="6" t="s">
        <v>66</v>
      </c>
      <c r="C1496" s="6" t="s">
        <v>90</v>
      </c>
      <c r="D1496" s="6" t="s">
        <v>119</v>
      </c>
      <c r="E1496" s="6" t="s">
        <v>120</v>
      </c>
      <c r="F1496" s="7">
        <v>26</v>
      </c>
      <c r="G1496" s="7">
        <v>3250</v>
      </c>
      <c r="H1496" s="16">
        <v>45274</v>
      </c>
      <c r="I1496" s="6">
        <v>50</v>
      </c>
      <c r="J1496" s="6" t="s">
        <v>121</v>
      </c>
      <c r="K1496" s="6" t="s">
        <v>122</v>
      </c>
      <c r="L1496" s="11">
        <f>F1496*Controls!$B$6</f>
        <v>26</v>
      </c>
      <c r="M1496" s="11">
        <f>G1496*Controls!$B$6</f>
        <v>3250</v>
      </c>
      <c r="N1496" s="12">
        <f>IF(L1496=0,0,SUMIFS('PSI Plan'!$N$6:$N$173,'PSI Plan'!$B$6:$B$173,B1496,'PSI Plan'!$C$6:$C$173,I1496))</f>
        <v>0</v>
      </c>
      <c r="O1496" s="11">
        <f t="shared" si="46"/>
        <v>0</v>
      </c>
      <c r="P1496" s="11">
        <f t="shared" si="47"/>
        <v>0</v>
      </c>
      <c r="Q1496" s="6"/>
      <c r="R1496" s="6"/>
      <c r="S1496" s="6"/>
      <c r="T1496" s="6"/>
    </row>
    <row r="1497" spans="1:20">
      <c r="A1497" s="6" t="s">
        <v>1649</v>
      </c>
      <c r="B1497" s="6" t="s">
        <v>77</v>
      </c>
      <c r="C1497" s="6" t="s">
        <v>90</v>
      </c>
      <c r="D1497" s="6" t="s">
        <v>119</v>
      </c>
      <c r="E1497" s="6" t="s">
        <v>120</v>
      </c>
      <c r="F1497" s="7">
        <v>28</v>
      </c>
      <c r="G1497" s="7">
        <v>3500</v>
      </c>
      <c r="H1497" s="16">
        <v>45244</v>
      </c>
      <c r="I1497" s="6">
        <v>46</v>
      </c>
      <c r="J1497" s="6" t="s">
        <v>121</v>
      </c>
      <c r="K1497" s="6" t="s">
        <v>122</v>
      </c>
      <c r="L1497" s="11">
        <f>F1497*Controls!$B$6</f>
        <v>28</v>
      </c>
      <c r="M1497" s="11">
        <f>G1497*Controls!$B$6</f>
        <v>3500</v>
      </c>
      <c r="N1497" s="12">
        <f>IF(L1497=0,0,SUMIFS('PSI Plan'!$N$6:$N$173,'PSI Plan'!$B$6:$B$173,B1497,'PSI Plan'!$C$6:$C$173,I1497))</f>
        <v>0</v>
      </c>
      <c r="O1497" s="11">
        <f t="shared" si="46"/>
        <v>0</v>
      </c>
      <c r="P1497" s="11">
        <f t="shared" si="47"/>
        <v>0</v>
      </c>
      <c r="Q1497" s="6"/>
      <c r="R1497" s="6"/>
      <c r="S1497" s="6"/>
      <c r="T1497" s="6"/>
    </row>
    <row r="1498" spans="1:20">
      <c r="A1498" s="6" t="s">
        <v>1650</v>
      </c>
      <c r="B1498" s="6" t="s">
        <v>67</v>
      </c>
      <c r="C1498" s="6" t="s">
        <v>90</v>
      </c>
      <c r="D1498" s="6" t="s">
        <v>119</v>
      </c>
      <c r="E1498" s="6" t="s">
        <v>120</v>
      </c>
      <c r="F1498" s="7">
        <v>52</v>
      </c>
      <c r="G1498" s="7">
        <v>6500</v>
      </c>
      <c r="H1498" s="16">
        <v>45288</v>
      </c>
      <c r="I1498" s="6">
        <v>52</v>
      </c>
      <c r="J1498" s="6" t="s">
        <v>121</v>
      </c>
      <c r="K1498" s="6" t="s">
        <v>122</v>
      </c>
      <c r="L1498" s="11">
        <f>F1498*Controls!$B$6</f>
        <v>52</v>
      </c>
      <c r="M1498" s="11">
        <f>G1498*Controls!$B$6</f>
        <v>6500</v>
      </c>
      <c r="N1498" s="12">
        <f>IF(L1498=0,0,SUMIFS('PSI Plan'!$N$6:$N$173,'PSI Plan'!$B$6:$B$173,B1498,'PSI Plan'!$C$6:$C$173,I1498))</f>
        <v>0</v>
      </c>
      <c r="O1498" s="11">
        <f t="shared" si="46"/>
        <v>0</v>
      </c>
      <c r="P1498" s="11">
        <f t="shared" si="47"/>
        <v>0</v>
      </c>
      <c r="Q1498" s="6"/>
      <c r="R1498" s="6"/>
      <c r="S1498" s="6"/>
      <c r="T1498" s="6"/>
    </row>
    <row r="1499" spans="1:20">
      <c r="A1499" s="6" t="s">
        <v>1651</v>
      </c>
      <c r="B1499" s="6" t="s">
        <v>69</v>
      </c>
      <c r="C1499" s="6" t="s">
        <v>90</v>
      </c>
      <c r="D1499" s="6" t="s">
        <v>119</v>
      </c>
      <c r="E1499" s="6" t="s">
        <v>120</v>
      </c>
      <c r="F1499" s="7">
        <v>52</v>
      </c>
      <c r="G1499" s="7">
        <v>6500</v>
      </c>
      <c r="H1499" s="16">
        <v>45247</v>
      </c>
      <c r="I1499" s="6">
        <v>46</v>
      </c>
      <c r="J1499" s="6" t="s">
        <v>121</v>
      </c>
      <c r="K1499" s="6" t="s">
        <v>122</v>
      </c>
      <c r="L1499" s="11">
        <f>F1499*Controls!$B$6</f>
        <v>52</v>
      </c>
      <c r="M1499" s="11">
        <f>G1499*Controls!$B$6</f>
        <v>6500</v>
      </c>
      <c r="N1499" s="12">
        <f>IF(L1499=0,0,SUMIFS('PSI Plan'!$N$6:$N$173,'PSI Plan'!$B$6:$B$173,B1499,'PSI Plan'!$C$6:$C$173,I1499))</f>
        <v>0</v>
      </c>
      <c r="O1499" s="11">
        <f t="shared" si="46"/>
        <v>0</v>
      </c>
      <c r="P1499" s="11">
        <f t="shared" si="47"/>
        <v>0</v>
      </c>
      <c r="Q1499" s="6"/>
      <c r="R1499" s="6"/>
      <c r="S1499" s="6"/>
      <c r="T1499" s="6"/>
    </row>
    <row r="1500" spans="1:20">
      <c r="A1500" s="6" t="s">
        <v>1652</v>
      </c>
      <c r="B1500" s="6" t="s">
        <v>66</v>
      </c>
      <c r="C1500" s="6" t="s">
        <v>90</v>
      </c>
      <c r="D1500" s="6" t="s">
        <v>119</v>
      </c>
      <c r="E1500" s="6" t="s">
        <v>120</v>
      </c>
      <c r="F1500" s="7">
        <v>13</v>
      </c>
      <c r="G1500" s="7">
        <v>1625</v>
      </c>
      <c r="H1500" s="16">
        <v>45220</v>
      </c>
      <c r="I1500" s="6">
        <v>42</v>
      </c>
      <c r="J1500" s="6" t="s">
        <v>121</v>
      </c>
      <c r="K1500" s="6" t="s">
        <v>855</v>
      </c>
      <c r="L1500" s="11">
        <f>F1500*Controls!$B$6</f>
        <v>13</v>
      </c>
      <c r="M1500" s="11">
        <f>G1500*Controls!$B$6</f>
        <v>1625</v>
      </c>
      <c r="N1500" s="12">
        <f>IF(L1500=0,0,SUMIFS('PSI Plan'!$N$6:$N$173,'PSI Plan'!$B$6:$B$173,B1500,'PSI Plan'!$C$6:$C$173,I1500))</f>
        <v>0.59807073954983925</v>
      </c>
      <c r="O1500" s="11">
        <f t="shared" si="46"/>
        <v>7.77491961414791</v>
      </c>
      <c r="P1500" s="11">
        <f t="shared" si="47"/>
        <v>971.86495176848882</v>
      </c>
      <c r="Q1500" s="6"/>
      <c r="R1500" s="6"/>
      <c r="S1500" s="6"/>
      <c r="T1500" s="6"/>
    </row>
    <row r="1501" spans="1:20">
      <c r="A1501" s="6" t="s">
        <v>1653</v>
      </c>
      <c r="B1501" s="6" t="s">
        <v>77</v>
      </c>
      <c r="C1501" s="6" t="s">
        <v>90</v>
      </c>
      <c r="D1501" s="6" t="s">
        <v>119</v>
      </c>
      <c r="E1501" s="6" t="s">
        <v>120</v>
      </c>
      <c r="F1501" s="7">
        <v>13</v>
      </c>
      <c r="G1501" s="7">
        <v>1625</v>
      </c>
      <c r="H1501" s="16">
        <v>45269</v>
      </c>
      <c r="I1501" s="6">
        <v>49</v>
      </c>
      <c r="J1501" s="6" t="s">
        <v>121</v>
      </c>
      <c r="K1501" s="6" t="s">
        <v>855</v>
      </c>
      <c r="L1501" s="11">
        <f>F1501*Controls!$B$6</f>
        <v>13</v>
      </c>
      <c r="M1501" s="11">
        <f>G1501*Controls!$B$6</f>
        <v>1625</v>
      </c>
      <c r="N1501" s="12">
        <f>IF(L1501=0,0,SUMIFS('PSI Plan'!$N$6:$N$173,'PSI Plan'!$B$6:$B$173,B1501,'PSI Plan'!$C$6:$C$173,I1501))</f>
        <v>0</v>
      </c>
      <c r="O1501" s="11">
        <f t="shared" si="46"/>
        <v>0</v>
      </c>
      <c r="P1501" s="11">
        <f t="shared" si="47"/>
        <v>0</v>
      </c>
      <c r="Q1501" s="6"/>
      <c r="R1501" s="6"/>
      <c r="S1501" s="6"/>
      <c r="T1501" s="6"/>
    </row>
    <row r="1502" spans="1:20">
      <c r="A1502" s="6" t="s">
        <v>1654</v>
      </c>
      <c r="B1502" s="6" t="s">
        <v>76</v>
      </c>
      <c r="C1502" s="6" t="s">
        <v>90</v>
      </c>
      <c r="D1502" s="6" t="s">
        <v>119</v>
      </c>
      <c r="E1502" s="6" t="s">
        <v>120</v>
      </c>
      <c r="F1502" s="7">
        <v>13</v>
      </c>
      <c r="G1502" s="7">
        <v>1625</v>
      </c>
      <c r="H1502" s="16">
        <v>45258</v>
      </c>
      <c r="I1502" s="6">
        <v>48</v>
      </c>
      <c r="J1502" s="6" t="s">
        <v>121</v>
      </c>
      <c r="K1502" s="6" t="s">
        <v>855</v>
      </c>
      <c r="L1502" s="11">
        <f>F1502*Controls!$B$6</f>
        <v>13</v>
      </c>
      <c r="M1502" s="11">
        <f>G1502*Controls!$B$6</f>
        <v>1625</v>
      </c>
      <c r="N1502" s="12">
        <f>IF(L1502=0,0,SUMIFS('PSI Plan'!$N$6:$N$173,'PSI Plan'!$B$6:$B$173,B1502,'PSI Plan'!$C$6:$C$173,I1502))</f>
        <v>0</v>
      </c>
      <c r="O1502" s="11">
        <f t="shared" si="46"/>
        <v>0</v>
      </c>
      <c r="P1502" s="11">
        <f t="shared" si="47"/>
        <v>0</v>
      </c>
      <c r="Q1502" s="6"/>
      <c r="R1502" s="6"/>
      <c r="S1502" s="6"/>
      <c r="T1502" s="6"/>
    </row>
    <row r="1503" spans="1:20">
      <c r="A1503" s="6" t="s">
        <v>1655</v>
      </c>
      <c r="B1503" s="6" t="s">
        <v>66</v>
      </c>
      <c r="C1503" s="6" t="s">
        <v>90</v>
      </c>
      <c r="D1503" s="6" t="s">
        <v>119</v>
      </c>
      <c r="E1503" s="6" t="s">
        <v>120</v>
      </c>
      <c r="F1503" s="7">
        <v>13</v>
      </c>
      <c r="G1503" s="7">
        <v>1625</v>
      </c>
      <c r="H1503" s="16">
        <v>45266</v>
      </c>
      <c r="I1503" s="6">
        <v>49</v>
      </c>
      <c r="J1503" s="6" t="s">
        <v>121</v>
      </c>
      <c r="K1503" s="6" t="s">
        <v>139</v>
      </c>
      <c r="L1503" s="11">
        <f>F1503*Controls!$B$6</f>
        <v>13</v>
      </c>
      <c r="M1503" s="11">
        <f>G1503*Controls!$B$6</f>
        <v>1625</v>
      </c>
      <c r="N1503" s="12">
        <f>IF(L1503=0,0,SUMIFS('PSI Plan'!$N$6:$N$173,'PSI Plan'!$B$6:$B$173,B1503,'PSI Plan'!$C$6:$C$173,I1503))</f>
        <v>0</v>
      </c>
      <c r="O1503" s="11">
        <f t="shared" si="46"/>
        <v>0</v>
      </c>
      <c r="P1503" s="11">
        <f t="shared" si="47"/>
        <v>0</v>
      </c>
      <c r="Q1503" s="6"/>
      <c r="R1503" s="6"/>
      <c r="S1503" s="6"/>
      <c r="T1503" s="6"/>
    </row>
    <row r="1504" spans="1:20">
      <c r="A1504" s="6" t="s">
        <v>1656</v>
      </c>
      <c r="B1504" s="6" t="s">
        <v>77</v>
      </c>
      <c r="C1504" s="6" t="s">
        <v>90</v>
      </c>
      <c r="D1504" s="6" t="s">
        <v>119</v>
      </c>
      <c r="E1504" s="6" t="s">
        <v>120</v>
      </c>
      <c r="F1504" s="7">
        <v>13</v>
      </c>
      <c r="G1504" s="7">
        <v>1625</v>
      </c>
      <c r="H1504" s="16">
        <v>45202</v>
      </c>
      <c r="I1504" s="6">
        <v>40</v>
      </c>
      <c r="J1504" s="6" t="s">
        <v>121</v>
      </c>
      <c r="K1504" s="6" t="s">
        <v>139</v>
      </c>
      <c r="L1504" s="11">
        <f>F1504*Controls!$B$6</f>
        <v>13</v>
      </c>
      <c r="M1504" s="11">
        <f>G1504*Controls!$B$6</f>
        <v>1625</v>
      </c>
      <c r="N1504" s="12">
        <f>IF(L1504=0,0,SUMIFS('PSI Plan'!$N$6:$N$173,'PSI Plan'!$B$6:$B$173,B1504,'PSI Plan'!$C$6:$C$173,I1504))</f>
        <v>0</v>
      </c>
      <c r="O1504" s="11">
        <f t="shared" si="46"/>
        <v>0</v>
      </c>
      <c r="P1504" s="11">
        <f t="shared" si="47"/>
        <v>0</v>
      </c>
      <c r="Q1504" s="6"/>
      <c r="R1504" s="6"/>
      <c r="S1504" s="6"/>
      <c r="T1504" s="6"/>
    </row>
    <row r="1505" spans="1:20">
      <c r="A1505" s="6" t="s">
        <v>1657</v>
      </c>
      <c r="B1505" s="6" t="s">
        <v>69</v>
      </c>
      <c r="C1505" s="6" t="s">
        <v>90</v>
      </c>
      <c r="D1505" s="6" t="s">
        <v>119</v>
      </c>
      <c r="E1505" s="6" t="s">
        <v>120</v>
      </c>
      <c r="F1505" s="7">
        <v>13</v>
      </c>
      <c r="G1505" s="7">
        <v>1625</v>
      </c>
      <c r="H1505" s="16">
        <v>45270</v>
      </c>
      <c r="I1505" s="6">
        <v>50</v>
      </c>
      <c r="J1505" s="6" t="s">
        <v>121</v>
      </c>
      <c r="K1505" s="6" t="s">
        <v>139</v>
      </c>
      <c r="L1505" s="11">
        <f>F1505*Controls!$B$6</f>
        <v>13</v>
      </c>
      <c r="M1505" s="11">
        <f>G1505*Controls!$B$6</f>
        <v>1625</v>
      </c>
      <c r="N1505" s="12">
        <f>IF(L1505=0,0,SUMIFS('PSI Plan'!$N$6:$N$173,'PSI Plan'!$B$6:$B$173,B1505,'PSI Plan'!$C$6:$C$173,I1505))</f>
        <v>0</v>
      </c>
      <c r="O1505" s="11">
        <f t="shared" si="46"/>
        <v>0</v>
      </c>
      <c r="P1505" s="11">
        <f t="shared" si="47"/>
        <v>0</v>
      </c>
      <c r="Q1505" s="6"/>
      <c r="R1505" s="6"/>
      <c r="S1505" s="6"/>
      <c r="T1505" s="6"/>
    </row>
    <row r="1506" spans="1:20">
      <c r="A1506" s="6" t="s">
        <v>1658</v>
      </c>
      <c r="B1506" s="6" t="s">
        <v>66</v>
      </c>
      <c r="C1506" s="6" t="s">
        <v>90</v>
      </c>
      <c r="D1506" s="6" t="s">
        <v>119</v>
      </c>
      <c r="E1506" s="6" t="s">
        <v>120</v>
      </c>
      <c r="F1506" s="7">
        <v>26</v>
      </c>
      <c r="G1506" s="7">
        <v>3250</v>
      </c>
      <c r="H1506" s="16">
        <v>45254</v>
      </c>
      <c r="I1506" s="6">
        <v>47</v>
      </c>
      <c r="J1506" s="6" t="s">
        <v>121</v>
      </c>
      <c r="K1506" s="6" t="s">
        <v>171</v>
      </c>
      <c r="L1506" s="11">
        <f>F1506*Controls!$B$6</f>
        <v>26</v>
      </c>
      <c r="M1506" s="11">
        <f>G1506*Controls!$B$6</f>
        <v>3250</v>
      </c>
      <c r="N1506" s="12">
        <f>IF(L1506=0,0,SUMIFS('PSI Plan'!$N$6:$N$173,'PSI Plan'!$B$6:$B$173,B1506,'PSI Plan'!$C$6:$C$173,I1506))</f>
        <v>0</v>
      </c>
      <c r="O1506" s="11">
        <f t="shared" si="46"/>
        <v>0</v>
      </c>
      <c r="P1506" s="11">
        <f t="shared" si="47"/>
        <v>0</v>
      </c>
      <c r="Q1506" s="6"/>
      <c r="R1506" s="6"/>
      <c r="S1506" s="6"/>
      <c r="T1506" s="6"/>
    </row>
    <row r="1507" spans="1:20">
      <c r="A1507" s="6" t="s">
        <v>1659</v>
      </c>
      <c r="B1507" s="6" t="s">
        <v>77</v>
      </c>
      <c r="C1507" s="6" t="s">
        <v>90</v>
      </c>
      <c r="D1507" s="6" t="s">
        <v>119</v>
      </c>
      <c r="E1507" s="6" t="s">
        <v>120</v>
      </c>
      <c r="F1507" s="7">
        <v>26</v>
      </c>
      <c r="G1507" s="7">
        <v>3250</v>
      </c>
      <c r="H1507" s="16">
        <v>45209</v>
      </c>
      <c r="I1507" s="6">
        <v>41</v>
      </c>
      <c r="J1507" s="6" t="s">
        <v>121</v>
      </c>
      <c r="K1507" s="6" t="s">
        <v>171</v>
      </c>
      <c r="L1507" s="11">
        <f>F1507*Controls!$B$6</f>
        <v>26</v>
      </c>
      <c r="M1507" s="11">
        <f>G1507*Controls!$B$6</f>
        <v>3250</v>
      </c>
      <c r="N1507" s="12">
        <f>IF(L1507=0,0,SUMIFS('PSI Plan'!$N$6:$N$173,'PSI Plan'!$B$6:$B$173,B1507,'PSI Plan'!$C$6:$C$173,I1507))</f>
        <v>0</v>
      </c>
      <c r="O1507" s="11">
        <f t="shared" si="46"/>
        <v>0</v>
      </c>
      <c r="P1507" s="11">
        <f t="shared" si="47"/>
        <v>0</v>
      </c>
      <c r="Q1507" s="6"/>
      <c r="R1507" s="6"/>
      <c r="S1507" s="6"/>
      <c r="T1507" s="6"/>
    </row>
    <row r="1508" spans="1:20">
      <c r="A1508" s="6" t="s">
        <v>1660</v>
      </c>
      <c r="B1508" s="6" t="s">
        <v>76</v>
      </c>
      <c r="C1508" s="6" t="s">
        <v>90</v>
      </c>
      <c r="D1508" s="6" t="s">
        <v>119</v>
      </c>
      <c r="E1508" s="6" t="s">
        <v>120</v>
      </c>
      <c r="F1508" s="7">
        <v>13</v>
      </c>
      <c r="G1508" s="7">
        <v>1625</v>
      </c>
      <c r="H1508" s="16">
        <v>45289</v>
      </c>
      <c r="I1508" s="6">
        <v>52</v>
      </c>
      <c r="J1508" s="6" t="s">
        <v>121</v>
      </c>
      <c r="K1508" s="6" t="s">
        <v>171</v>
      </c>
      <c r="L1508" s="11">
        <f>F1508*Controls!$B$6</f>
        <v>13</v>
      </c>
      <c r="M1508" s="11">
        <f>G1508*Controls!$B$6</f>
        <v>1625</v>
      </c>
      <c r="N1508" s="12">
        <f>IF(L1508=0,0,SUMIFS('PSI Plan'!$N$6:$N$173,'PSI Plan'!$B$6:$B$173,B1508,'PSI Plan'!$C$6:$C$173,I1508))</f>
        <v>0</v>
      </c>
      <c r="O1508" s="11">
        <f t="shared" si="46"/>
        <v>0</v>
      </c>
      <c r="P1508" s="11">
        <f t="shared" si="47"/>
        <v>0</v>
      </c>
      <c r="Q1508" s="6"/>
      <c r="R1508" s="6"/>
      <c r="S1508" s="6"/>
      <c r="T1508" s="6"/>
    </row>
    <row r="1509" spans="1:20">
      <c r="A1509" s="6" t="s">
        <v>1661</v>
      </c>
      <c r="B1509" s="6" t="s">
        <v>69</v>
      </c>
      <c r="C1509" s="6" t="s">
        <v>90</v>
      </c>
      <c r="D1509" s="6" t="s">
        <v>119</v>
      </c>
      <c r="E1509" s="6" t="s">
        <v>120</v>
      </c>
      <c r="F1509" s="7">
        <v>26</v>
      </c>
      <c r="G1509" s="7">
        <v>3250</v>
      </c>
      <c r="H1509" s="16">
        <v>45261</v>
      </c>
      <c r="I1509" s="6">
        <v>48</v>
      </c>
      <c r="J1509" s="6" t="s">
        <v>121</v>
      </c>
      <c r="K1509" s="6" t="s">
        <v>171</v>
      </c>
      <c r="L1509" s="11">
        <f>F1509*Controls!$B$6</f>
        <v>26</v>
      </c>
      <c r="M1509" s="11">
        <f>G1509*Controls!$B$6</f>
        <v>3250</v>
      </c>
      <c r="N1509" s="12">
        <f>IF(L1509=0,0,SUMIFS('PSI Plan'!$N$6:$N$173,'PSI Plan'!$B$6:$B$173,B1509,'PSI Plan'!$C$6:$C$173,I1509))</f>
        <v>0</v>
      </c>
      <c r="O1509" s="11">
        <f t="shared" si="46"/>
        <v>0</v>
      </c>
      <c r="P1509" s="11">
        <f t="shared" si="47"/>
        <v>0</v>
      </c>
      <c r="Q1509" s="6"/>
      <c r="R1509" s="6"/>
      <c r="S1509" s="6"/>
      <c r="T1509" s="6"/>
    </row>
    <row r="1510" spans="1:20">
      <c r="A1510" s="6" t="s">
        <v>1662</v>
      </c>
      <c r="B1510" s="6" t="s">
        <v>66</v>
      </c>
      <c r="C1510" s="6" t="s">
        <v>99</v>
      </c>
      <c r="D1510" s="6" t="s">
        <v>319</v>
      </c>
      <c r="E1510" s="6" t="s">
        <v>120</v>
      </c>
      <c r="F1510" s="7">
        <v>52</v>
      </c>
      <c r="G1510" s="7">
        <v>6500</v>
      </c>
      <c r="H1510" s="16">
        <v>45273</v>
      </c>
      <c r="I1510" s="6">
        <v>50</v>
      </c>
      <c r="J1510" s="6" t="s">
        <v>121</v>
      </c>
      <c r="K1510" s="6" t="s">
        <v>344</v>
      </c>
      <c r="L1510" s="11">
        <f>F1510*Controls!$B$6</f>
        <v>52</v>
      </c>
      <c r="M1510" s="11">
        <f>G1510*Controls!$B$6</f>
        <v>6500</v>
      </c>
      <c r="N1510" s="12">
        <f>IF(L1510=0,0,SUMIFS('PSI Plan'!$N$6:$N$173,'PSI Plan'!$B$6:$B$173,B1510,'PSI Plan'!$C$6:$C$173,I1510))</f>
        <v>0</v>
      </c>
      <c r="O1510" s="11">
        <f t="shared" si="46"/>
        <v>0</v>
      </c>
      <c r="P1510" s="11">
        <f t="shared" si="47"/>
        <v>0</v>
      </c>
      <c r="Q1510" s="6"/>
      <c r="R1510" s="6"/>
      <c r="S1510" s="6"/>
      <c r="T1510" s="6"/>
    </row>
    <row r="1511" spans="1:20">
      <c r="A1511" s="6" t="s">
        <v>1663</v>
      </c>
      <c r="B1511" s="6" t="s">
        <v>77</v>
      </c>
      <c r="C1511" s="6" t="s">
        <v>99</v>
      </c>
      <c r="D1511" s="6" t="s">
        <v>319</v>
      </c>
      <c r="E1511" s="6" t="s">
        <v>120</v>
      </c>
      <c r="F1511" s="7">
        <v>52</v>
      </c>
      <c r="G1511" s="7">
        <v>6500</v>
      </c>
      <c r="H1511" s="16">
        <v>45242</v>
      </c>
      <c r="I1511" s="6">
        <v>46</v>
      </c>
      <c r="J1511" s="6" t="s">
        <v>121</v>
      </c>
      <c r="K1511" s="6" t="s">
        <v>344</v>
      </c>
      <c r="L1511" s="11">
        <f>F1511*Controls!$B$6</f>
        <v>52</v>
      </c>
      <c r="M1511" s="11">
        <f>G1511*Controls!$B$6</f>
        <v>6500</v>
      </c>
      <c r="N1511" s="12">
        <f>IF(L1511=0,0,SUMIFS('PSI Plan'!$N$6:$N$173,'PSI Plan'!$B$6:$B$173,B1511,'PSI Plan'!$C$6:$C$173,I1511))</f>
        <v>0</v>
      </c>
      <c r="O1511" s="11">
        <f t="shared" si="46"/>
        <v>0</v>
      </c>
      <c r="P1511" s="11">
        <f t="shared" si="47"/>
        <v>0</v>
      </c>
      <c r="Q1511" s="6"/>
      <c r="R1511" s="6"/>
      <c r="S1511" s="6"/>
      <c r="T1511" s="6"/>
    </row>
    <row r="1512" spans="1:20">
      <c r="A1512" s="6" t="s">
        <v>1664</v>
      </c>
      <c r="B1512" s="6" t="s">
        <v>67</v>
      </c>
      <c r="C1512" s="6" t="s">
        <v>99</v>
      </c>
      <c r="D1512" s="6" t="s">
        <v>319</v>
      </c>
      <c r="E1512" s="6" t="s">
        <v>120</v>
      </c>
      <c r="F1512" s="7">
        <v>52</v>
      </c>
      <c r="G1512" s="7">
        <v>6500</v>
      </c>
      <c r="H1512" s="16">
        <v>45239</v>
      </c>
      <c r="I1512" s="6">
        <v>45</v>
      </c>
      <c r="J1512" s="6" t="s">
        <v>121</v>
      </c>
      <c r="K1512" s="6" t="s">
        <v>344</v>
      </c>
      <c r="L1512" s="11">
        <f>F1512*Controls!$B$6</f>
        <v>52</v>
      </c>
      <c r="M1512" s="11">
        <f>G1512*Controls!$B$6</f>
        <v>6500</v>
      </c>
      <c r="N1512" s="12">
        <f>IF(L1512=0,0,SUMIFS('PSI Plan'!$N$6:$N$173,'PSI Plan'!$B$6:$B$173,B1512,'PSI Plan'!$C$6:$C$173,I1512))</f>
        <v>0</v>
      </c>
      <c r="O1512" s="11">
        <f t="shared" si="46"/>
        <v>0</v>
      </c>
      <c r="P1512" s="11">
        <f t="shared" si="47"/>
        <v>0</v>
      </c>
      <c r="Q1512" s="6"/>
      <c r="R1512" s="6"/>
      <c r="S1512" s="6"/>
      <c r="T1512" s="6"/>
    </row>
    <row r="1513" spans="1:20">
      <c r="A1513" s="6" t="s">
        <v>1665</v>
      </c>
      <c r="B1513" s="6" t="s">
        <v>69</v>
      </c>
      <c r="C1513" s="6" t="s">
        <v>99</v>
      </c>
      <c r="D1513" s="6" t="s">
        <v>319</v>
      </c>
      <c r="E1513" s="6" t="s">
        <v>120</v>
      </c>
      <c r="F1513" s="7">
        <v>52</v>
      </c>
      <c r="G1513" s="7">
        <v>6500</v>
      </c>
      <c r="H1513" s="16">
        <v>45254</v>
      </c>
      <c r="I1513" s="6">
        <v>47</v>
      </c>
      <c r="J1513" s="6" t="s">
        <v>121</v>
      </c>
      <c r="K1513" s="6" t="s">
        <v>344</v>
      </c>
      <c r="L1513" s="11">
        <f>F1513*Controls!$B$6</f>
        <v>52</v>
      </c>
      <c r="M1513" s="11">
        <f>G1513*Controls!$B$6</f>
        <v>6500</v>
      </c>
      <c r="N1513" s="12">
        <f>IF(L1513=0,0,SUMIFS('PSI Plan'!$N$6:$N$173,'PSI Plan'!$B$6:$B$173,B1513,'PSI Plan'!$C$6:$C$173,I1513))</f>
        <v>0</v>
      </c>
      <c r="O1513" s="11">
        <f t="shared" si="46"/>
        <v>0</v>
      </c>
      <c r="P1513" s="11">
        <f t="shared" si="47"/>
        <v>0</v>
      </c>
      <c r="Q1513" s="6"/>
      <c r="R1513" s="6"/>
      <c r="S1513" s="6"/>
      <c r="T1513" s="6"/>
    </row>
    <row r="1514" spans="1:20">
      <c r="A1514" s="6" t="s">
        <v>1666</v>
      </c>
      <c r="B1514" s="6" t="s">
        <v>66</v>
      </c>
      <c r="C1514" s="6" t="s">
        <v>99</v>
      </c>
      <c r="D1514" s="6" t="s">
        <v>319</v>
      </c>
      <c r="E1514" s="6" t="s">
        <v>120</v>
      </c>
      <c r="F1514" s="7">
        <v>17</v>
      </c>
      <c r="G1514" s="7">
        <v>2125</v>
      </c>
      <c r="H1514" s="16">
        <v>45226</v>
      </c>
      <c r="I1514" s="6">
        <v>43</v>
      </c>
      <c r="J1514" s="6" t="s">
        <v>121</v>
      </c>
      <c r="K1514" s="6" t="s">
        <v>361</v>
      </c>
      <c r="L1514" s="11">
        <f>F1514*Controls!$B$6</f>
        <v>17</v>
      </c>
      <c r="M1514" s="11">
        <f>G1514*Controls!$B$6</f>
        <v>2125</v>
      </c>
      <c r="N1514" s="12">
        <f>IF(L1514=0,0,SUMIFS('PSI Plan'!$N$6:$N$173,'PSI Plan'!$B$6:$B$173,B1514,'PSI Plan'!$C$6:$C$173,I1514))</f>
        <v>0</v>
      </c>
      <c r="O1514" s="11">
        <f t="shared" si="46"/>
        <v>0</v>
      </c>
      <c r="P1514" s="11">
        <f t="shared" si="47"/>
        <v>0</v>
      </c>
      <c r="Q1514" s="6"/>
      <c r="R1514" s="6"/>
      <c r="S1514" s="6"/>
      <c r="T1514" s="6"/>
    </row>
    <row r="1515" spans="1:20">
      <c r="A1515" s="6" t="s">
        <v>1667</v>
      </c>
      <c r="B1515" s="6" t="s">
        <v>77</v>
      </c>
      <c r="C1515" s="6" t="s">
        <v>99</v>
      </c>
      <c r="D1515" s="6" t="s">
        <v>319</v>
      </c>
      <c r="E1515" s="6" t="s">
        <v>120</v>
      </c>
      <c r="F1515" s="7">
        <v>22</v>
      </c>
      <c r="G1515" s="7">
        <v>2750</v>
      </c>
      <c r="H1515" s="16">
        <v>45216</v>
      </c>
      <c r="I1515" s="6">
        <v>42</v>
      </c>
      <c r="J1515" s="6" t="s">
        <v>121</v>
      </c>
      <c r="K1515" s="6" t="s">
        <v>361</v>
      </c>
      <c r="L1515" s="11">
        <f>F1515*Controls!$B$6</f>
        <v>22</v>
      </c>
      <c r="M1515" s="11">
        <f>G1515*Controls!$B$6</f>
        <v>2750</v>
      </c>
      <c r="N1515" s="12">
        <f>IF(L1515=0,0,SUMIFS('PSI Plan'!$N$6:$N$173,'PSI Plan'!$B$6:$B$173,B1515,'PSI Plan'!$C$6:$C$173,I1515))</f>
        <v>0</v>
      </c>
      <c r="O1515" s="11">
        <f t="shared" si="46"/>
        <v>0</v>
      </c>
      <c r="P1515" s="11">
        <f t="shared" si="47"/>
        <v>0</v>
      </c>
      <c r="Q1515" s="6"/>
      <c r="R1515" s="6"/>
      <c r="S1515" s="6"/>
      <c r="T1515" s="6"/>
    </row>
    <row r="1516" spans="1:20">
      <c r="A1516" s="6" t="s">
        <v>1668</v>
      </c>
      <c r="B1516" s="6" t="s">
        <v>67</v>
      </c>
      <c r="C1516" s="6" t="s">
        <v>99</v>
      </c>
      <c r="D1516" s="6" t="s">
        <v>319</v>
      </c>
      <c r="E1516" s="6" t="s">
        <v>120</v>
      </c>
      <c r="F1516" s="7">
        <v>20</v>
      </c>
      <c r="G1516" s="7">
        <v>2500</v>
      </c>
      <c r="H1516" s="16">
        <v>45219</v>
      </c>
      <c r="I1516" s="6">
        <v>42</v>
      </c>
      <c r="J1516" s="6" t="s">
        <v>121</v>
      </c>
      <c r="K1516" s="6" t="s">
        <v>361</v>
      </c>
      <c r="L1516" s="11">
        <f>F1516*Controls!$B$6</f>
        <v>20</v>
      </c>
      <c r="M1516" s="11">
        <f>G1516*Controls!$B$6</f>
        <v>2500</v>
      </c>
      <c r="N1516" s="12">
        <f>IF(L1516=0,0,SUMIFS('PSI Plan'!$N$6:$N$173,'PSI Plan'!$B$6:$B$173,B1516,'PSI Plan'!$C$6:$C$173,I1516))</f>
        <v>0</v>
      </c>
      <c r="O1516" s="11">
        <f t="shared" si="46"/>
        <v>0</v>
      </c>
      <c r="P1516" s="11">
        <f t="shared" si="47"/>
        <v>0</v>
      </c>
      <c r="Q1516" s="6"/>
      <c r="R1516" s="6"/>
      <c r="S1516" s="6"/>
      <c r="T1516" s="6"/>
    </row>
    <row r="1517" spans="1:20">
      <c r="A1517" s="6" t="s">
        <v>1669</v>
      </c>
      <c r="B1517" s="6" t="s">
        <v>69</v>
      </c>
      <c r="C1517" s="6" t="s">
        <v>99</v>
      </c>
      <c r="D1517" s="6" t="s">
        <v>319</v>
      </c>
      <c r="E1517" s="6" t="s">
        <v>120</v>
      </c>
      <c r="F1517" s="7">
        <v>4</v>
      </c>
      <c r="G1517" s="7">
        <v>500</v>
      </c>
      <c r="H1517" s="16">
        <v>45245</v>
      </c>
      <c r="I1517" s="6">
        <v>46</v>
      </c>
      <c r="J1517" s="6" t="s">
        <v>121</v>
      </c>
      <c r="K1517" s="6" t="s">
        <v>361</v>
      </c>
      <c r="L1517" s="11">
        <f>F1517*Controls!$B$6</f>
        <v>4</v>
      </c>
      <c r="M1517" s="11">
        <f>G1517*Controls!$B$6</f>
        <v>500</v>
      </c>
      <c r="N1517" s="12">
        <f>IF(L1517=0,0,SUMIFS('PSI Plan'!$N$6:$N$173,'PSI Plan'!$B$6:$B$173,B1517,'PSI Plan'!$C$6:$C$173,I1517))</f>
        <v>0</v>
      </c>
      <c r="O1517" s="11">
        <f t="shared" si="46"/>
        <v>0</v>
      </c>
      <c r="P1517" s="11">
        <f t="shared" si="47"/>
        <v>0</v>
      </c>
      <c r="Q1517" s="6"/>
      <c r="R1517" s="6"/>
      <c r="S1517" s="6"/>
      <c r="T1517" s="6"/>
    </row>
    <row r="1518" spans="1:20">
      <c r="A1518" s="6" t="s">
        <v>1670</v>
      </c>
      <c r="B1518" s="6" t="s">
        <v>66</v>
      </c>
      <c r="C1518" s="6" t="s">
        <v>100</v>
      </c>
      <c r="D1518" s="6" t="s">
        <v>567</v>
      </c>
      <c r="E1518" s="6" t="s">
        <v>120</v>
      </c>
      <c r="F1518" s="7">
        <v>9</v>
      </c>
      <c r="G1518" s="7">
        <v>1125</v>
      </c>
      <c r="H1518" s="16">
        <v>45248</v>
      </c>
      <c r="I1518" s="6">
        <v>46</v>
      </c>
      <c r="J1518" s="6" t="s">
        <v>121</v>
      </c>
      <c r="K1518" s="6" t="s">
        <v>568</v>
      </c>
      <c r="L1518" s="11">
        <f>F1518*Controls!$B$6</f>
        <v>9</v>
      </c>
      <c r="M1518" s="11">
        <f>G1518*Controls!$B$6</f>
        <v>1125</v>
      </c>
      <c r="N1518" s="12">
        <f>IF(L1518=0,0,SUMIFS('PSI Plan'!$N$6:$N$173,'PSI Plan'!$B$6:$B$173,B1518,'PSI Plan'!$C$6:$C$173,I1518))</f>
        <v>0</v>
      </c>
      <c r="O1518" s="11">
        <f t="shared" si="46"/>
        <v>0</v>
      </c>
      <c r="P1518" s="11">
        <f t="shared" si="47"/>
        <v>0</v>
      </c>
      <c r="Q1518" s="6"/>
      <c r="R1518" s="6"/>
      <c r="S1518" s="6"/>
      <c r="T1518" s="6"/>
    </row>
    <row r="1519" spans="1:20">
      <c r="A1519" s="6" t="s">
        <v>1671</v>
      </c>
      <c r="B1519" s="6" t="s">
        <v>77</v>
      </c>
      <c r="C1519" s="6" t="s">
        <v>100</v>
      </c>
      <c r="D1519" s="6" t="s">
        <v>567</v>
      </c>
      <c r="E1519" s="6" t="s">
        <v>120</v>
      </c>
      <c r="F1519" s="7">
        <v>9</v>
      </c>
      <c r="G1519" s="7">
        <v>1125</v>
      </c>
      <c r="H1519" s="16">
        <v>45234</v>
      </c>
      <c r="I1519" s="6">
        <v>44</v>
      </c>
      <c r="J1519" s="6" t="s">
        <v>121</v>
      </c>
      <c r="K1519" s="6" t="s">
        <v>568</v>
      </c>
      <c r="L1519" s="11">
        <f>F1519*Controls!$B$6</f>
        <v>9</v>
      </c>
      <c r="M1519" s="11">
        <f>G1519*Controls!$B$6</f>
        <v>1125</v>
      </c>
      <c r="N1519" s="12">
        <f>IF(L1519=0,0,SUMIFS('PSI Plan'!$N$6:$N$173,'PSI Plan'!$B$6:$B$173,B1519,'PSI Plan'!$C$6:$C$173,I1519))</f>
        <v>0</v>
      </c>
      <c r="O1519" s="11">
        <f t="shared" si="46"/>
        <v>0</v>
      </c>
      <c r="P1519" s="11">
        <f t="shared" si="47"/>
        <v>0</v>
      </c>
      <c r="Q1519" s="6"/>
      <c r="R1519" s="6"/>
      <c r="S1519" s="6"/>
      <c r="T1519" s="6"/>
    </row>
    <row r="1520" spans="1:20">
      <c r="A1520" s="6" t="s">
        <v>1672</v>
      </c>
      <c r="B1520" s="6" t="s">
        <v>67</v>
      </c>
      <c r="C1520" s="6" t="s">
        <v>100</v>
      </c>
      <c r="D1520" s="6" t="s">
        <v>567</v>
      </c>
      <c r="E1520" s="6" t="s">
        <v>120</v>
      </c>
      <c r="F1520" s="7">
        <v>9</v>
      </c>
      <c r="G1520" s="7">
        <v>1125</v>
      </c>
      <c r="H1520" s="16">
        <v>45273</v>
      </c>
      <c r="I1520" s="6">
        <v>50</v>
      </c>
      <c r="J1520" s="6" t="s">
        <v>121</v>
      </c>
      <c r="K1520" s="6" t="s">
        <v>568</v>
      </c>
      <c r="L1520" s="11">
        <f>F1520*Controls!$B$6</f>
        <v>9</v>
      </c>
      <c r="M1520" s="11">
        <f>G1520*Controls!$B$6</f>
        <v>1125</v>
      </c>
      <c r="N1520" s="12">
        <f>IF(L1520=0,0,SUMIFS('PSI Plan'!$N$6:$N$173,'PSI Plan'!$B$6:$B$173,B1520,'PSI Plan'!$C$6:$C$173,I1520))</f>
        <v>0</v>
      </c>
      <c r="O1520" s="11">
        <f t="shared" si="46"/>
        <v>0</v>
      </c>
      <c r="P1520" s="11">
        <f t="shared" si="47"/>
        <v>0</v>
      </c>
      <c r="Q1520" s="6"/>
      <c r="R1520" s="6"/>
      <c r="S1520" s="6"/>
      <c r="T1520" s="6"/>
    </row>
    <row r="1521" spans="1:20">
      <c r="A1521" s="6" t="s">
        <v>1673</v>
      </c>
      <c r="B1521" s="6" t="s">
        <v>77</v>
      </c>
      <c r="C1521" s="6" t="s">
        <v>90</v>
      </c>
      <c r="D1521" s="6" t="s">
        <v>119</v>
      </c>
      <c r="E1521" s="6" t="s">
        <v>120</v>
      </c>
      <c r="F1521" s="7">
        <v>9</v>
      </c>
      <c r="G1521" s="7">
        <v>1125</v>
      </c>
      <c r="H1521" s="16">
        <v>45273</v>
      </c>
      <c r="I1521" s="6">
        <v>50</v>
      </c>
      <c r="J1521" s="6" t="s">
        <v>121</v>
      </c>
      <c r="K1521" s="6" t="s">
        <v>298</v>
      </c>
      <c r="L1521" s="11">
        <f>F1521*Controls!$B$6</f>
        <v>9</v>
      </c>
      <c r="M1521" s="11">
        <f>G1521*Controls!$B$6</f>
        <v>1125</v>
      </c>
      <c r="N1521" s="12">
        <f>IF(L1521=0,0,SUMIFS('PSI Plan'!$N$6:$N$173,'PSI Plan'!$B$6:$B$173,B1521,'PSI Plan'!$C$6:$C$173,I1521))</f>
        <v>0</v>
      </c>
      <c r="O1521" s="11">
        <f t="shared" si="46"/>
        <v>0</v>
      </c>
      <c r="P1521" s="11">
        <f t="shared" si="47"/>
        <v>0</v>
      </c>
      <c r="Q1521" s="6"/>
      <c r="R1521" s="6"/>
      <c r="S1521" s="6"/>
      <c r="T1521" s="6"/>
    </row>
    <row r="1522" spans="1:20">
      <c r="A1522" s="6" t="s">
        <v>1674</v>
      </c>
      <c r="B1522" s="6" t="s">
        <v>76</v>
      </c>
      <c r="C1522" s="6" t="s">
        <v>90</v>
      </c>
      <c r="D1522" s="6" t="s">
        <v>119</v>
      </c>
      <c r="E1522" s="6" t="s">
        <v>120</v>
      </c>
      <c r="F1522" s="7">
        <v>2</v>
      </c>
      <c r="G1522" s="7">
        <v>250</v>
      </c>
      <c r="H1522" s="16">
        <v>45217</v>
      </c>
      <c r="I1522" s="6">
        <v>42</v>
      </c>
      <c r="J1522" s="6" t="s">
        <v>121</v>
      </c>
      <c r="K1522" s="6" t="s">
        <v>298</v>
      </c>
      <c r="L1522" s="11">
        <f>F1522*Controls!$B$6</f>
        <v>2</v>
      </c>
      <c r="M1522" s="11">
        <f>G1522*Controls!$B$6</f>
        <v>250</v>
      </c>
      <c r="N1522" s="12">
        <f>IF(L1522=0,0,SUMIFS('PSI Plan'!$N$6:$N$173,'PSI Plan'!$B$6:$B$173,B1522,'PSI Plan'!$C$6:$C$173,I1522))</f>
        <v>0</v>
      </c>
      <c r="O1522" s="11">
        <f t="shared" si="46"/>
        <v>0</v>
      </c>
      <c r="P1522" s="11">
        <f t="shared" si="47"/>
        <v>0</v>
      </c>
      <c r="Q1522" s="6"/>
      <c r="R1522" s="6"/>
      <c r="S1522" s="6"/>
      <c r="T1522" s="6"/>
    </row>
    <row r="1523" spans="1:20">
      <c r="A1523" s="6" t="s">
        <v>1675</v>
      </c>
      <c r="B1523" s="6" t="s">
        <v>69</v>
      </c>
      <c r="C1523" s="6" t="s">
        <v>90</v>
      </c>
      <c r="D1523" s="6" t="s">
        <v>119</v>
      </c>
      <c r="E1523" s="6" t="s">
        <v>120</v>
      </c>
      <c r="F1523" s="7">
        <v>27</v>
      </c>
      <c r="G1523" s="7">
        <v>3375</v>
      </c>
      <c r="H1523" s="16">
        <v>45271</v>
      </c>
      <c r="I1523" s="6">
        <v>50</v>
      </c>
      <c r="J1523" s="6" t="s">
        <v>121</v>
      </c>
      <c r="K1523" s="6" t="s">
        <v>298</v>
      </c>
      <c r="L1523" s="11">
        <f>F1523*Controls!$B$6</f>
        <v>27</v>
      </c>
      <c r="M1523" s="11">
        <f>G1523*Controls!$B$6</f>
        <v>3375</v>
      </c>
      <c r="N1523" s="12">
        <f>IF(L1523=0,0,SUMIFS('PSI Plan'!$N$6:$N$173,'PSI Plan'!$B$6:$B$173,B1523,'PSI Plan'!$C$6:$C$173,I1523))</f>
        <v>0</v>
      </c>
      <c r="O1523" s="11">
        <f t="shared" si="46"/>
        <v>0</v>
      </c>
      <c r="P1523" s="11">
        <f t="shared" si="47"/>
        <v>0</v>
      </c>
      <c r="Q1523" s="6"/>
      <c r="R1523" s="6"/>
      <c r="S1523" s="6"/>
      <c r="T1523" s="6"/>
    </row>
    <row r="1524" spans="1:20">
      <c r="A1524" s="6" t="s">
        <v>1676</v>
      </c>
      <c r="B1524" s="6" t="s">
        <v>66</v>
      </c>
      <c r="C1524" s="6" t="s">
        <v>90</v>
      </c>
      <c r="D1524" s="6" t="s">
        <v>119</v>
      </c>
      <c r="E1524" s="6" t="s">
        <v>120</v>
      </c>
      <c r="F1524" s="7">
        <v>26</v>
      </c>
      <c r="G1524" s="7">
        <v>3250</v>
      </c>
      <c r="H1524" s="16">
        <v>45280</v>
      </c>
      <c r="I1524" s="6">
        <v>51</v>
      </c>
      <c r="J1524" s="6" t="s">
        <v>121</v>
      </c>
      <c r="K1524" s="6" t="s">
        <v>122</v>
      </c>
      <c r="L1524" s="11">
        <f>F1524*Controls!$B$6</f>
        <v>26</v>
      </c>
      <c r="M1524" s="11">
        <f>G1524*Controls!$B$6</f>
        <v>3250</v>
      </c>
      <c r="N1524" s="12">
        <f>IF(L1524=0,0,SUMIFS('PSI Plan'!$N$6:$N$173,'PSI Plan'!$B$6:$B$173,B1524,'PSI Plan'!$C$6:$C$173,I1524))</f>
        <v>0</v>
      </c>
      <c r="O1524" s="11">
        <f t="shared" si="46"/>
        <v>0</v>
      </c>
      <c r="P1524" s="11">
        <f t="shared" si="47"/>
        <v>0</v>
      </c>
      <c r="Q1524" s="6"/>
      <c r="R1524" s="6"/>
      <c r="S1524" s="6"/>
      <c r="T1524" s="6"/>
    </row>
    <row r="1525" spans="1:20">
      <c r="A1525" s="6" t="s">
        <v>1677</v>
      </c>
      <c r="B1525" s="6" t="s">
        <v>77</v>
      </c>
      <c r="C1525" s="6" t="s">
        <v>90</v>
      </c>
      <c r="D1525" s="6" t="s">
        <v>119</v>
      </c>
      <c r="E1525" s="6" t="s">
        <v>120</v>
      </c>
      <c r="F1525" s="7">
        <v>26</v>
      </c>
      <c r="G1525" s="7">
        <v>3250</v>
      </c>
      <c r="H1525" s="16">
        <v>45284</v>
      </c>
      <c r="I1525" s="6">
        <v>52</v>
      </c>
      <c r="J1525" s="6" t="s">
        <v>121</v>
      </c>
      <c r="K1525" s="6" t="s">
        <v>122</v>
      </c>
      <c r="L1525" s="11">
        <f>F1525*Controls!$B$6</f>
        <v>26</v>
      </c>
      <c r="M1525" s="11">
        <f>G1525*Controls!$B$6</f>
        <v>3250</v>
      </c>
      <c r="N1525" s="12">
        <f>IF(L1525=0,0,SUMIFS('PSI Plan'!$N$6:$N$173,'PSI Plan'!$B$6:$B$173,B1525,'PSI Plan'!$C$6:$C$173,I1525))</f>
        <v>0</v>
      </c>
      <c r="O1525" s="11">
        <f t="shared" si="46"/>
        <v>0</v>
      </c>
      <c r="P1525" s="11">
        <f t="shared" si="47"/>
        <v>0</v>
      </c>
      <c r="Q1525" s="6"/>
      <c r="R1525" s="6"/>
      <c r="S1525" s="6"/>
      <c r="T1525" s="6"/>
    </row>
    <row r="1526" spans="1:20">
      <c r="A1526" s="6" t="s">
        <v>1678</v>
      </c>
      <c r="B1526" s="6" t="s">
        <v>76</v>
      </c>
      <c r="C1526" s="6" t="s">
        <v>90</v>
      </c>
      <c r="D1526" s="6" t="s">
        <v>119</v>
      </c>
      <c r="E1526" s="6" t="s">
        <v>120</v>
      </c>
      <c r="F1526" s="7">
        <v>26</v>
      </c>
      <c r="G1526" s="7">
        <v>3250</v>
      </c>
      <c r="H1526" s="16">
        <v>45216</v>
      </c>
      <c r="I1526" s="6">
        <v>42</v>
      </c>
      <c r="J1526" s="6" t="s">
        <v>121</v>
      </c>
      <c r="K1526" s="6" t="s">
        <v>122</v>
      </c>
      <c r="L1526" s="11">
        <f>F1526*Controls!$B$6</f>
        <v>26</v>
      </c>
      <c r="M1526" s="11">
        <f>G1526*Controls!$B$6</f>
        <v>3250</v>
      </c>
      <c r="N1526" s="12">
        <f>IF(L1526=0,0,SUMIFS('PSI Plan'!$N$6:$N$173,'PSI Plan'!$B$6:$B$173,B1526,'PSI Plan'!$C$6:$C$173,I1526))</f>
        <v>0</v>
      </c>
      <c r="O1526" s="11">
        <f t="shared" si="46"/>
        <v>0</v>
      </c>
      <c r="P1526" s="11">
        <f t="shared" si="47"/>
        <v>0</v>
      </c>
      <c r="Q1526" s="6"/>
      <c r="R1526" s="6"/>
      <c r="S1526" s="6"/>
      <c r="T1526" s="6"/>
    </row>
    <row r="1527" spans="1:20">
      <c r="A1527" s="6" t="s">
        <v>1679</v>
      </c>
      <c r="B1527" s="6" t="s">
        <v>67</v>
      </c>
      <c r="C1527" s="6" t="s">
        <v>90</v>
      </c>
      <c r="D1527" s="6" t="s">
        <v>119</v>
      </c>
      <c r="E1527" s="6" t="s">
        <v>120</v>
      </c>
      <c r="F1527" s="7">
        <v>20</v>
      </c>
      <c r="G1527" s="7">
        <v>2500</v>
      </c>
      <c r="H1527" s="16">
        <v>45245</v>
      </c>
      <c r="I1527" s="6">
        <v>46</v>
      </c>
      <c r="J1527" s="6" t="s">
        <v>121</v>
      </c>
      <c r="K1527" s="6" t="s">
        <v>122</v>
      </c>
      <c r="L1527" s="11">
        <f>F1527*Controls!$B$6</f>
        <v>20</v>
      </c>
      <c r="M1527" s="11">
        <f>G1527*Controls!$B$6</f>
        <v>2500</v>
      </c>
      <c r="N1527" s="12">
        <f>IF(L1527=0,0,SUMIFS('PSI Plan'!$N$6:$N$173,'PSI Plan'!$B$6:$B$173,B1527,'PSI Plan'!$C$6:$C$173,I1527))</f>
        <v>0</v>
      </c>
      <c r="O1527" s="11">
        <f t="shared" si="46"/>
        <v>0</v>
      </c>
      <c r="P1527" s="11">
        <f t="shared" si="47"/>
        <v>0</v>
      </c>
      <c r="Q1527" s="6"/>
      <c r="R1527" s="6"/>
      <c r="S1527" s="6"/>
      <c r="T1527" s="6"/>
    </row>
    <row r="1528" spans="1:20">
      <c r="A1528" s="6" t="s">
        <v>1680</v>
      </c>
      <c r="B1528" s="6" t="s">
        <v>69</v>
      </c>
      <c r="C1528" s="6" t="s">
        <v>90</v>
      </c>
      <c r="D1528" s="6" t="s">
        <v>119</v>
      </c>
      <c r="E1528" s="6" t="s">
        <v>120</v>
      </c>
      <c r="F1528" s="7">
        <v>26</v>
      </c>
      <c r="G1528" s="7">
        <v>3250</v>
      </c>
      <c r="H1528" s="16">
        <v>45218</v>
      </c>
      <c r="I1528" s="6">
        <v>42</v>
      </c>
      <c r="J1528" s="6" t="s">
        <v>121</v>
      </c>
      <c r="K1528" s="6" t="s">
        <v>122</v>
      </c>
      <c r="L1528" s="11">
        <f>F1528*Controls!$B$6</f>
        <v>26</v>
      </c>
      <c r="M1528" s="11">
        <f>G1528*Controls!$B$6</f>
        <v>3250</v>
      </c>
      <c r="N1528" s="12">
        <f>IF(L1528=0,0,SUMIFS('PSI Plan'!$N$6:$N$173,'PSI Plan'!$B$6:$B$173,B1528,'PSI Plan'!$C$6:$C$173,I1528))</f>
        <v>0</v>
      </c>
      <c r="O1528" s="11">
        <f t="shared" si="46"/>
        <v>0</v>
      </c>
      <c r="P1528" s="11">
        <f t="shared" si="47"/>
        <v>0</v>
      </c>
      <c r="Q1528" s="6"/>
      <c r="R1528" s="6"/>
      <c r="S1528" s="6"/>
      <c r="T1528" s="6"/>
    </row>
    <row r="1529" spans="1:20">
      <c r="A1529" s="6" t="s">
        <v>1681</v>
      </c>
      <c r="B1529" s="6" t="s">
        <v>77</v>
      </c>
      <c r="C1529" s="6" t="s">
        <v>90</v>
      </c>
      <c r="D1529" s="6" t="s">
        <v>119</v>
      </c>
      <c r="E1529" s="6" t="s">
        <v>120</v>
      </c>
      <c r="F1529" s="7">
        <v>13</v>
      </c>
      <c r="G1529" s="7">
        <v>1625</v>
      </c>
      <c r="H1529" s="16">
        <v>45257</v>
      </c>
      <c r="I1529" s="6">
        <v>48</v>
      </c>
      <c r="J1529" s="6" t="s">
        <v>121</v>
      </c>
      <c r="K1529" s="6" t="s">
        <v>855</v>
      </c>
      <c r="L1529" s="11">
        <f>F1529*Controls!$B$6</f>
        <v>13</v>
      </c>
      <c r="M1529" s="11">
        <f>G1529*Controls!$B$6</f>
        <v>1625</v>
      </c>
      <c r="N1529" s="12">
        <f>IF(L1529=0,0,SUMIFS('PSI Plan'!$N$6:$N$173,'PSI Plan'!$B$6:$B$173,B1529,'PSI Plan'!$C$6:$C$173,I1529))</f>
        <v>0</v>
      </c>
      <c r="O1529" s="11">
        <f t="shared" si="46"/>
        <v>0</v>
      </c>
      <c r="P1529" s="11">
        <f t="shared" si="47"/>
        <v>0</v>
      </c>
      <c r="Q1529" s="6"/>
      <c r="R1529" s="6"/>
      <c r="S1529" s="6"/>
      <c r="T1529" s="6"/>
    </row>
    <row r="1530" spans="1:20">
      <c r="A1530" s="6" t="s">
        <v>1682</v>
      </c>
      <c r="B1530" s="6" t="s">
        <v>76</v>
      </c>
      <c r="C1530" s="6" t="s">
        <v>90</v>
      </c>
      <c r="D1530" s="6" t="s">
        <v>119</v>
      </c>
      <c r="E1530" s="6" t="s">
        <v>120</v>
      </c>
      <c r="F1530" s="7">
        <v>26</v>
      </c>
      <c r="G1530" s="7">
        <v>3250</v>
      </c>
      <c r="H1530" s="16">
        <v>45246</v>
      </c>
      <c r="I1530" s="6">
        <v>46</v>
      </c>
      <c r="J1530" s="6" t="s">
        <v>121</v>
      </c>
      <c r="K1530" s="6" t="s">
        <v>855</v>
      </c>
      <c r="L1530" s="11">
        <f>F1530*Controls!$B$6</f>
        <v>26</v>
      </c>
      <c r="M1530" s="11">
        <f>G1530*Controls!$B$6</f>
        <v>3250</v>
      </c>
      <c r="N1530" s="12">
        <f>IF(L1530=0,0,SUMIFS('PSI Plan'!$N$6:$N$173,'PSI Plan'!$B$6:$B$173,B1530,'PSI Plan'!$C$6:$C$173,I1530))</f>
        <v>0</v>
      </c>
      <c r="O1530" s="11">
        <f t="shared" si="46"/>
        <v>0</v>
      </c>
      <c r="P1530" s="11">
        <f t="shared" si="47"/>
        <v>0</v>
      </c>
      <c r="Q1530" s="6"/>
      <c r="R1530" s="6"/>
      <c r="S1530" s="6"/>
      <c r="T1530" s="6"/>
    </row>
    <row r="1531" spans="1:20">
      <c r="A1531" s="6" t="s">
        <v>1683</v>
      </c>
      <c r="B1531" s="6" t="s">
        <v>77</v>
      </c>
      <c r="C1531" s="6" t="s">
        <v>90</v>
      </c>
      <c r="D1531" s="6" t="s">
        <v>119</v>
      </c>
      <c r="E1531" s="6" t="s">
        <v>120</v>
      </c>
      <c r="F1531" s="7">
        <v>13</v>
      </c>
      <c r="G1531" s="7">
        <v>1625</v>
      </c>
      <c r="H1531" s="16">
        <v>45276</v>
      </c>
      <c r="I1531" s="6">
        <v>50</v>
      </c>
      <c r="J1531" s="6" t="s">
        <v>121</v>
      </c>
      <c r="K1531" s="6" t="s">
        <v>171</v>
      </c>
      <c r="L1531" s="11">
        <f>F1531*Controls!$B$6</f>
        <v>13</v>
      </c>
      <c r="M1531" s="11">
        <f>G1531*Controls!$B$6</f>
        <v>1625</v>
      </c>
      <c r="N1531" s="12">
        <f>IF(L1531=0,0,SUMIFS('PSI Plan'!$N$6:$N$173,'PSI Plan'!$B$6:$B$173,B1531,'PSI Plan'!$C$6:$C$173,I1531))</f>
        <v>0</v>
      </c>
      <c r="O1531" s="11">
        <f t="shared" si="46"/>
        <v>0</v>
      </c>
      <c r="P1531" s="11">
        <f t="shared" si="47"/>
        <v>0</v>
      </c>
      <c r="Q1531" s="6"/>
      <c r="R1531" s="6"/>
      <c r="S1531" s="6"/>
      <c r="T1531" s="6"/>
    </row>
    <row r="1532" spans="1:20">
      <c r="A1532" s="6" t="s">
        <v>1684</v>
      </c>
      <c r="B1532" s="6" t="s">
        <v>76</v>
      </c>
      <c r="C1532" s="6" t="s">
        <v>90</v>
      </c>
      <c r="D1532" s="6" t="s">
        <v>119</v>
      </c>
      <c r="E1532" s="6" t="s">
        <v>120</v>
      </c>
      <c r="F1532" s="7">
        <v>13</v>
      </c>
      <c r="G1532" s="7">
        <v>1625</v>
      </c>
      <c r="H1532" s="16">
        <v>45259</v>
      </c>
      <c r="I1532" s="6">
        <v>48</v>
      </c>
      <c r="J1532" s="6" t="s">
        <v>121</v>
      </c>
      <c r="K1532" s="6" t="s">
        <v>171</v>
      </c>
      <c r="L1532" s="11">
        <f>F1532*Controls!$B$6</f>
        <v>13</v>
      </c>
      <c r="M1532" s="11">
        <f>G1532*Controls!$B$6</f>
        <v>1625</v>
      </c>
      <c r="N1532" s="12">
        <f>IF(L1532=0,0,SUMIFS('PSI Plan'!$N$6:$N$173,'PSI Plan'!$B$6:$B$173,B1532,'PSI Plan'!$C$6:$C$173,I1532))</f>
        <v>0</v>
      </c>
      <c r="O1532" s="11">
        <f t="shared" si="46"/>
        <v>0</v>
      </c>
      <c r="P1532" s="11">
        <f t="shared" si="47"/>
        <v>0</v>
      </c>
      <c r="Q1532" s="6"/>
      <c r="R1532" s="6"/>
      <c r="S1532" s="6"/>
      <c r="T1532" s="6"/>
    </row>
    <row r="1533" spans="1:20">
      <c r="A1533" s="6" t="s">
        <v>1685</v>
      </c>
      <c r="B1533" s="6" t="s">
        <v>67</v>
      </c>
      <c r="C1533" s="6" t="s">
        <v>90</v>
      </c>
      <c r="D1533" s="6" t="s">
        <v>119</v>
      </c>
      <c r="E1533" s="6" t="s">
        <v>120</v>
      </c>
      <c r="F1533" s="7">
        <v>5</v>
      </c>
      <c r="G1533" s="7">
        <v>625</v>
      </c>
      <c r="H1533" s="16">
        <v>45259</v>
      </c>
      <c r="I1533" s="6">
        <v>48</v>
      </c>
      <c r="J1533" s="6" t="s">
        <v>121</v>
      </c>
      <c r="K1533" s="6" t="s">
        <v>171</v>
      </c>
      <c r="L1533" s="11">
        <f>F1533*Controls!$B$6</f>
        <v>5</v>
      </c>
      <c r="M1533" s="11">
        <f>G1533*Controls!$B$6</f>
        <v>625</v>
      </c>
      <c r="N1533" s="12">
        <f>IF(L1533=0,0,SUMIFS('PSI Plan'!$N$6:$N$173,'PSI Plan'!$B$6:$B$173,B1533,'PSI Plan'!$C$6:$C$173,I1533))</f>
        <v>0</v>
      </c>
      <c r="O1533" s="11">
        <f t="shared" si="46"/>
        <v>0</v>
      </c>
      <c r="P1533" s="11">
        <f t="shared" si="47"/>
        <v>0</v>
      </c>
      <c r="Q1533" s="6"/>
      <c r="R1533" s="6"/>
      <c r="S1533" s="6"/>
      <c r="T1533" s="6"/>
    </row>
    <row r="1534" spans="1:20">
      <c r="A1534" s="6" t="s">
        <v>1686</v>
      </c>
      <c r="B1534" s="6" t="s">
        <v>69</v>
      </c>
      <c r="C1534" s="6" t="s">
        <v>90</v>
      </c>
      <c r="D1534" s="6" t="s">
        <v>119</v>
      </c>
      <c r="E1534" s="6" t="s">
        <v>120</v>
      </c>
      <c r="F1534" s="7">
        <v>26</v>
      </c>
      <c r="G1534" s="7">
        <v>3250</v>
      </c>
      <c r="H1534" s="16">
        <v>45218</v>
      </c>
      <c r="I1534" s="6">
        <v>42</v>
      </c>
      <c r="J1534" s="6" t="s">
        <v>121</v>
      </c>
      <c r="K1534" s="6" t="s">
        <v>171</v>
      </c>
      <c r="L1534" s="11">
        <f>F1534*Controls!$B$6</f>
        <v>26</v>
      </c>
      <c r="M1534" s="11">
        <f>G1534*Controls!$B$6</f>
        <v>3250</v>
      </c>
      <c r="N1534" s="12">
        <f>IF(L1534=0,0,SUMIFS('PSI Plan'!$N$6:$N$173,'PSI Plan'!$B$6:$B$173,B1534,'PSI Plan'!$C$6:$C$173,I1534))</f>
        <v>0</v>
      </c>
      <c r="O1534" s="11">
        <f t="shared" si="46"/>
        <v>0</v>
      </c>
      <c r="P1534" s="11">
        <f t="shared" si="47"/>
        <v>0</v>
      </c>
      <c r="Q1534" s="6"/>
      <c r="R1534" s="6"/>
      <c r="S1534" s="6"/>
      <c r="T1534" s="6"/>
    </row>
    <row r="1535" spans="1:20">
      <c r="A1535" s="6" t="s">
        <v>1687</v>
      </c>
      <c r="B1535" s="6" t="s">
        <v>66</v>
      </c>
      <c r="C1535" s="6" t="s">
        <v>99</v>
      </c>
      <c r="D1535" s="6" t="s">
        <v>319</v>
      </c>
      <c r="E1535" s="6" t="s">
        <v>120</v>
      </c>
      <c r="F1535" s="7">
        <v>4</v>
      </c>
      <c r="G1535" s="7">
        <v>500</v>
      </c>
      <c r="H1535" s="16">
        <v>45215</v>
      </c>
      <c r="I1535" s="6">
        <v>42</v>
      </c>
      <c r="J1535" s="6" t="s">
        <v>121</v>
      </c>
      <c r="K1535" s="6" t="s">
        <v>374</v>
      </c>
      <c r="L1535" s="11">
        <f>F1535*Controls!$B$6</f>
        <v>4</v>
      </c>
      <c r="M1535" s="11">
        <f>G1535*Controls!$B$6</f>
        <v>500</v>
      </c>
      <c r="N1535" s="12">
        <f>IF(L1535=0,0,SUMIFS('PSI Plan'!$N$6:$N$173,'PSI Plan'!$B$6:$B$173,B1535,'PSI Plan'!$C$6:$C$173,I1535))</f>
        <v>0.59807073954983925</v>
      </c>
      <c r="O1535" s="11">
        <f t="shared" si="46"/>
        <v>2.392282958199357</v>
      </c>
      <c r="P1535" s="11">
        <f t="shared" si="47"/>
        <v>299.03536977491962</v>
      </c>
      <c r="Q1535" s="6"/>
      <c r="R1535" s="6"/>
      <c r="S1535" s="6"/>
      <c r="T1535" s="6"/>
    </row>
    <row r="1536" spans="1:20">
      <c r="A1536" s="6" t="s">
        <v>1688</v>
      </c>
      <c r="B1536" s="6" t="s">
        <v>77</v>
      </c>
      <c r="C1536" s="6" t="s">
        <v>99</v>
      </c>
      <c r="D1536" s="6" t="s">
        <v>319</v>
      </c>
      <c r="E1536" s="6" t="s">
        <v>120</v>
      </c>
      <c r="F1536" s="7">
        <v>12</v>
      </c>
      <c r="G1536" s="7">
        <v>1500</v>
      </c>
      <c r="H1536" s="16">
        <v>45266</v>
      </c>
      <c r="I1536" s="6">
        <v>49</v>
      </c>
      <c r="J1536" s="6" t="s">
        <v>121</v>
      </c>
      <c r="K1536" s="6" t="s">
        <v>374</v>
      </c>
      <c r="L1536" s="11">
        <f>F1536*Controls!$B$6</f>
        <v>12</v>
      </c>
      <c r="M1536" s="11">
        <f>G1536*Controls!$B$6</f>
        <v>1500</v>
      </c>
      <c r="N1536" s="12">
        <f>IF(L1536=0,0,SUMIFS('PSI Plan'!$N$6:$N$173,'PSI Plan'!$B$6:$B$173,B1536,'PSI Plan'!$C$6:$C$173,I1536))</f>
        <v>0</v>
      </c>
      <c r="O1536" s="11">
        <f t="shared" si="46"/>
        <v>0</v>
      </c>
      <c r="P1536" s="11">
        <f t="shared" si="47"/>
        <v>0</v>
      </c>
      <c r="Q1536" s="6"/>
      <c r="R1536" s="6"/>
      <c r="S1536" s="6"/>
      <c r="T1536" s="6"/>
    </row>
    <row r="1537" spans="1:20">
      <c r="A1537" s="6" t="s">
        <v>1689</v>
      </c>
      <c r="B1537" s="6" t="s">
        <v>76</v>
      </c>
      <c r="C1537" s="6" t="s">
        <v>99</v>
      </c>
      <c r="D1537" s="6" t="s">
        <v>319</v>
      </c>
      <c r="E1537" s="6" t="s">
        <v>120</v>
      </c>
      <c r="F1537" s="7">
        <v>20</v>
      </c>
      <c r="G1537" s="7">
        <v>2500</v>
      </c>
      <c r="H1537" s="16">
        <v>45283</v>
      </c>
      <c r="I1537" s="6">
        <v>51</v>
      </c>
      <c r="J1537" s="6" t="s">
        <v>121</v>
      </c>
      <c r="K1537" s="6" t="s">
        <v>374</v>
      </c>
      <c r="L1537" s="11">
        <f>F1537*Controls!$B$6</f>
        <v>20</v>
      </c>
      <c r="M1537" s="11">
        <f>G1537*Controls!$B$6</f>
        <v>2500</v>
      </c>
      <c r="N1537" s="12">
        <f>IF(L1537=0,0,SUMIFS('PSI Plan'!$N$6:$N$173,'PSI Plan'!$B$6:$B$173,B1537,'PSI Plan'!$C$6:$C$173,I1537))</f>
        <v>0</v>
      </c>
      <c r="O1537" s="11">
        <f t="shared" si="46"/>
        <v>0</v>
      </c>
      <c r="P1537" s="11">
        <f t="shared" si="47"/>
        <v>0</v>
      </c>
      <c r="Q1537" s="6"/>
      <c r="R1537" s="6"/>
      <c r="S1537" s="6"/>
      <c r="T1537" s="6"/>
    </row>
    <row r="1538" spans="1:20">
      <c r="A1538" s="6" t="s">
        <v>1690</v>
      </c>
      <c r="B1538" s="6" t="s">
        <v>67</v>
      </c>
      <c r="C1538" s="6" t="s">
        <v>99</v>
      </c>
      <c r="D1538" s="6" t="s">
        <v>319</v>
      </c>
      <c r="E1538" s="6" t="s">
        <v>120</v>
      </c>
      <c r="F1538" s="7">
        <v>8</v>
      </c>
      <c r="G1538" s="7">
        <v>1000</v>
      </c>
      <c r="H1538" s="16">
        <v>45234</v>
      </c>
      <c r="I1538" s="6">
        <v>44</v>
      </c>
      <c r="J1538" s="6" t="s">
        <v>121</v>
      </c>
      <c r="K1538" s="6" t="s">
        <v>374</v>
      </c>
      <c r="L1538" s="11">
        <f>F1538*Controls!$B$6</f>
        <v>8</v>
      </c>
      <c r="M1538" s="11">
        <f>G1538*Controls!$B$6</f>
        <v>1000</v>
      </c>
      <c r="N1538" s="12">
        <f>IF(L1538=0,0,SUMIFS('PSI Plan'!$N$6:$N$173,'PSI Plan'!$B$6:$B$173,B1538,'PSI Plan'!$C$6:$C$173,I1538))</f>
        <v>0</v>
      </c>
      <c r="O1538" s="11">
        <f t="shared" ref="O1538:O1601" si="48">L1538*N1538</f>
        <v>0</v>
      </c>
      <c r="P1538" s="11">
        <f t="shared" ref="P1538:P1601" si="49">M1538*N1538</f>
        <v>0</v>
      </c>
      <c r="Q1538" s="6"/>
      <c r="R1538" s="6"/>
      <c r="S1538" s="6"/>
      <c r="T1538" s="6"/>
    </row>
    <row r="1539" spans="1:20">
      <c r="A1539" s="6" t="s">
        <v>1691</v>
      </c>
      <c r="B1539" s="6" t="s">
        <v>69</v>
      </c>
      <c r="C1539" s="6" t="s">
        <v>99</v>
      </c>
      <c r="D1539" s="6" t="s">
        <v>319</v>
      </c>
      <c r="E1539" s="6" t="s">
        <v>120</v>
      </c>
      <c r="F1539" s="7">
        <v>14</v>
      </c>
      <c r="G1539" s="7">
        <v>1750</v>
      </c>
      <c r="H1539" s="16">
        <v>45228</v>
      </c>
      <c r="I1539" s="6">
        <v>44</v>
      </c>
      <c r="J1539" s="6" t="s">
        <v>121</v>
      </c>
      <c r="K1539" s="6" t="s">
        <v>374</v>
      </c>
      <c r="L1539" s="11">
        <f>F1539*Controls!$B$6</f>
        <v>14</v>
      </c>
      <c r="M1539" s="11">
        <f>G1539*Controls!$B$6</f>
        <v>1750</v>
      </c>
      <c r="N1539" s="12">
        <f>IF(L1539=0,0,SUMIFS('PSI Plan'!$N$6:$N$173,'PSI Plan'!$B$6:$B$173,B1539,'PSI Plan'!$C$6:$C$173,I1539))</f>
        <v>0</v>
      </c>
      <c r="O1539" s="11">
        <f t="shared" si="48"/>
        <v>0</v>
      </c>
      <c r="P1539" s="11">
        <f t="shared" si="49"/>
        <v>0</v>
      </c>
      <c r="Q1539" s="6"/>
      <c r="R1539" s="6"/>
      <c r="S1539" s="6"/>
      <c r="T1539" s="6"/>
    </row>
    <row r="1540" spans="1:20">
      <c r="A1540" s="6" t="s">
        <v>1692</v>
      </c>
      <c r="B1540" s="6" t="s">
        <v>77</v>
      </c>
      <c r="C1540" s="6" t="s">
        <v>90</v>
      </c>
      <c r="D1540" s="6" t="s">
        <v>119</v>
      </c>
      <c r="E1540" s="6" t="s">
        <v>120</v>
      </c>
      <c r="F1540" s="7">
        <v>13</v>
      </c>
      <c r="G1540" s="7">
        <v>1625</v>
      </c>
      <c r="H1540" s="16">
        <v>45257</v>
      </c>
      <c r="I1540" s="6">
        <v>48</v>
      </c>
      <c r="J1540" s="6" t="s">
        <v>121</v>
      </c>
      <c r="K1540" s="6" t="s">
        <v>298</v>
      </c>
      <c r="L1540" s="11">
        <f>F1540*Controls!$B$6</f>
        <v>13</v>
      </c>
      <c r="M1540" s="11">
        <f>G1540*Controls!$B$6</f>
        <v>1625</v>
      </c>
      <c r="N1540" s="12">
        <f>IF(L1540=0,0,SUMIFS('PSI Plan'!$N$6:$N$173,'PSI Plan'!$B$6:$B$173,B1540,'PSI Plan'!$C$6:$C$173,I1540))</f>
        <v>0</v>
      </c>
      <c r="O1540" s="11">
        <f t="shared" si="48"/>
        <v>0</v>
      </c>
      <c r="P1540" s="11">
        <f t="shared" si="49"/>
        <v>0</v>
      </c>
      <c r="Q1540" s="6"/>
      <c r="R1540" s="6"/>
      <c r="S1540" s="6"/>
      <c r="T1540" s="6"/>
    </row>
    <row r="1541" spans="1:20">
      <c r="A1541" s="6" t="s">
        <v>1693</v>
      </c>
      <c r="B1541" s="6" t="s">
        <v>69</v>
      </c>
      <c r="C1541" s="6" t="s">
        <v>90</v>
      </c>
      <c r="D1541" s="6" t="s">
        <v>119</v>
      </c>
      <c r="E1541" s="6" t="s">
        <v>120</v>
      </c>
      <c r="F1541" s="7">
        <v>26</v>
      </c>
      <c r="G1541" s="7">
        <v>3250</v>
      </c>
      <c r="H1541" s="16">
        <v>45277</v>
      </c>
      <c r="I1541" s="6">
        <v>51</v>
      </c>
      <c r="J1541" s="6" t="s">
        <v>121</v>
      </c>
      <c r="K1541" s="6" t="s">
        <v>298</v>
      </c>
      <c r="L1541" s="11">
        <f>F1541*Controls!$B$6</f>
        <v>26</v>
      </c>
      <c r="M1541" s="11">
        <f>G1541*Controls!$B$6</f>
        <v>3250</v>
      </c>
      <c r="N1541" s="12">
        <f>IF(L1541=0,0,SUMIFS('PSI Plan'!$N$6:$N$173,'PSI Plan'!$B$6:$B$173,B1541,'PSI Plan'!$C$6:$C$173,I1541))</f>
        <v>0</v>
      </c>
      <c r="O1541" s="11">
        <f t="shared" si="48"/>
        <v>0</v>
      </c>
      <c r="P1541" s="11">
        <f t="shared" si="49"/>
        <v>0</v>
      </c>
      <c r="Q1541" s="6"/>
      <c r="R1541" s="6"/>
      <c r="S1541" s="6"/>
      <c r="T1541" s="6"/>
    </row>
    <row r="1542" spans="1:20">
      <c r="A1542" s="6" t="s">
        <v>1694</v>
      </c>
      <c r="B1542" s="6" t="s">
        <v>66</v>
      </c>
      <c r="C1542" s="6" t="s">
        <v>90</v>
      </c>
      <c r="D1542" s="6" t="s">
        <v>119</v>
      </c>
      <c r="E1542" s="6" t="s">
        <v>120</v>
      </c>
      <c r="F1542" s="7">
        <v>13</v>
      </c>
      <c r="G1542" s="7">
        <v>1625</v>
      </c>
      <c r="H1542" s="16">
        <v>45281</v>
      </c>
      <c r="I1542" s="6">
        <v>51</v>
      </c>
      <c r="J1542" s="6" t="s">
        <v>121</v>
      </c>
      <c r="K1542" s="6" t="s">
        <v>1695</v>
      </c>
      <c r="L1542" s="11">
        <f>F1542*Controls!$B$6</f>
        <v>13</v>
      </c>
      <c r="M1542" s="11">
        <f>G1542*Controls!$B$6</f>
        <v>1625</v>
      </c>
      <c r="N1542" s="12">
        <f>IF(L1542=0,0,SUMIFS('PSI Plan'!$N$6:$N$173,'PSI Plan'!$B$6:$B$173,B1542,'PSI Plan'!$C$6:$C$173,I1542))</f>
        <v>0</v>
      </c>
      <c r="O1542" s="11">
        <f t="shared" si="48"/>
        <v>0</v>
      </c>
      <c r="P1542" s="11">
        <f t="shared" si="49"/>
        <v>0</v>
      </c>
      <c r="Q1542" s="6"/>
      <c r="R1542" s="6"/>
      <c r="S1542" s="6"/>
      <c r="T1542" s="6"/>
    </row>
    <row r="1543" spans="1:20">
      <c r="A1543" s="6" t="s">
        <v>1696</v>
      </c>
      <c r="B1543" s="6" t="s">
        <v>77</v>
      </c>
      <c r="C1543" s="6" t="s">
        <v>90</v>
      </c>
      <c r="D1543" s="6" t="s">
        <v>119</v>
      </c>
      <c r="E1543" s="6" t="s">
        <v>120</v>
      </c>
      <c r="F1543" s="7">
        <v>13</v>
      </c>
      <c r="G1543" s="7">
        <v>1625</v>
      </c>
      <c r="H1543" s="16">
        <v>45230</v>
      </c>
      <c r="I1543" s="6">
        <v>44</v>
      </c>
      <c r="J1543" s="6" t="s">
        <v>121</v>
      </c>
      <c r="K1543" s="6" t="s">
        <v>1695</v>
      </c>
      <c r="L1543" s="11">
        <f>F1543*Controls!$B$6</f>
        <v>13</v>
      </c>
      <c r="M1543" s="11">
        <f>G1543*Controls!$B$6</f>
        <v>1625</v>
      </c>
      <c r="N1543" s="12">
        <f>IF(L1543=0,0,SUMIFS('PSI Plan'!$N$6:$N$173,'PSI Plan'!$B$6:$B$173,B1543,'PSI Plan'!$C$6:$C$173,I1543))</f>
        <v>0</v>
      </c>
      <c r="O1543" s="11">
        <f t="shared" si="48"/>
        <v>0</v>
      </c>
      <c r="P1543" s="11">
        <f t="shared" si="49"/>
        <v>0</v>
      </c>
      <c r="Q1543" s="6"/>
      <c r="R1543" s="6"/>
      <c r="S1543" s="6"/>
      <c r="T1543" s="6"/>
    </row>
    <row r="1544" spans="1:20">
      <c r="A1544" s="6" t="s">
        <v>1697</v>
      </c>
      <c r="B1544" s="6" t="s">
        <v>76</v>
      </c>
      <c r="C1544" s="6" t="s">
        <v>90</v>
      </c>
      <c r="D1544" s="6" t="s">
        <v>119</v>
      </c>
      <c r="E1544" s="6" t="s">
        <v>120</v>
      </c>
      <c r="F1544" s="7">
        <v>13</v>
      </c>
      <c r="G1544" s="7">
        <v>1625</v>
      </c>
      <c r="H1544" s="16">
        <v>45283</v>
      </c>
      <c r="I1544" s="6">
        <v>51</v>
      </c>
      <c r="J1544" s="6" t="s">
        <v>121</v>
      </c>
      <c r="K1544" s="6" t="s">
        <v>1695</v>
      </c>
      <c r="L1544" s="11">
        <f>F1544*Controls!$B$6</f>
        <v>13</v>
      </c>
      <c r="M1544" s="11">
        <f>G1544*Controls!$B$6</f>
        <v>1625</v>
      </c>
      <c r="N1544" s="12">
        <f>IF(L1544=0,0,SUMIFS('PSI Plan'!$N$6:$N$173,'PSI Plan'!$B$6:$B$173,B1544,'PSI Plan'!$C$6:$C$173,I1544))</f>
        <v>0</v>
      </c>
      <c r="O1544" s="11">
        <f t="shared" si="48"/>
        <v>0</v>
      </c>
      <c r="P1544" s="11">
        <f t="shared" si="49"/>
        <v>0</v>
      </c>
      <c r="Q1544" s="6"/>
      <c r="R1544" s="6"/>
      <c r="S1544" s="6"/>
      <c r="T1544" s="6"/>
    </row>
    <row r="1545" spans="1:20">
      <c r="A1545" s="6" t="s">
        <v>1698</v>
      </c>
      <c r="B1545" s="6" t="s">
        <v>69</v>
      </c>
      <c r="C1545" s="6" t="s">
        <v>90</v>
      </c>
      <c r="D1545" s="6" t="s">
        <v>119</v>
      </c>
      <c r="E1545" s="6" t="s">
        <v>120</v>
      </c>
      <c r="F1545" s="7">
        <v>13</v>
      </c>
      <c r="G1545" s="7">
        <v>1625</v>
      </c>
      <c r="H1545" s="16">
        <v>45243</v>
      </c>
      <c r="I1545" s="6">
        <v>46</v>
      </c>
      <c r="J1545" s="6" t="s">
        <v>121</v>
      </c>
      <c r="K1545" s="6" t="s">
        <v>1695</v>
      </c>
      <c r="L1545" s="11">
        <f>F1545*Controls!$B$6</f>
        <v>13</v>
      </c>
      <c r="M1545" s="11">
        <f>G1545*Controls!$B$6</f>
        <v>1625</v>
      </c>
      <c r="N1545" s="12">
        <f>IF(L1545=0,0,SUMIFS('PSI Plan'!$N$6:$N$173,'PSI Plan'!$B$6:$B$173,B1545,'PSI Plan'!$C$6:$C$173,I1545))</f>
        <v>0</v>
      </c>
      <c r="O1545" s="11">
        <f t="shared" si="48"/>
        <v>0</v>
      </c>
      <c r="P1545" s="11">
        <f t="shared" si="49"/>
        <v>0</v>
      </c>
      <c r="Q1545" s="6"/>
      <c r="R1545" s="6"/>
      <c r="S1545" s="6"/>
      <c r="T1545" s="6"/>
    </row>
    <row r="1546" spans="1:20">
      <c r="A1546" s="6" t="s">
        <v>1699</v>
      </c>
      <c r="B1546" s="6" t="s">
        <v>69</v>
      </c>
      <c r="C1546" s="6" t="s">
        <v>90</v>
      </c>
      <c r="D1546" s="6" t="s">
        <v>119</v>
      </c>
      <c r="E1546" s="6" t="s">
        <v>120</v>
      </c>
      <c r="F1546" s="7">
        <v>26</v>
      </c>
      <c r="G1546" s="7">
        <v>3250</v>
      </c>
      <c r="H1546" s="16">
        <v>45252</v>
      </c>
      <c r="I1546" s="6">
        <v>47</v>
      </c>
      <c r="J1546" s="6" t="s">
        <v>121</v>
      </c>
      <c r="K1546" s="6" t="s">
        <v>725</v>
      </c>
      <c r="L1546" s="11">
        <f>F1546*Controls!$B$6</f>
        <v>26</v>
      </c>
      <c r="M1546" s="11">
        <f>G1546*Controls!$B$6</f>
        <v>3250</v>
      </c>
      <c r="N1546" s="12">
        <f>IF(L1546=0,0,SUMIFS('PSI Plan'!$N$6:$N$173,'PSI Plan'!$B$6:$B$173,B1546,'PSI Plan'!$C$6:$C$173,I1546))</f>
        <v>0</v>
      </c>
      <c r="O1546" s="11">
        <f t="shared" si="48"/>
        <v>0</v>
      </c>
      <c r="P1546" s="11">
        <f t="shared" si="49"/>
        <v>0</v>
      </c>
      <c r="Q1546" s="6"/>
      <c r="R1546" s="6"/>
      <c r="S1546" s="6"/>
      <c r="T1546" s="6"/>
    </row>
    <row r="1547" spans="1:20">
      <c r="A1547" s="6" t="s">
        <v>1700</v>
      </c>
      <c r="B1547" s="6" t="s">
        <v>66</v>
      </c>
      <c r="C1547" s="6" t="s">
        <v>90</v>
      </c>
      <c r="D1547" s="6" t="s">
        <v>119</v>
      </c>
      <c r="E1547" s="6" t="s">
        <v>120</v>
      </c>
      <c r="F1547" s="7">
        <v>42</v>
      </c>
      <c r="G1547" s="7">
        <v>5250</v>
      </c>
      <c r="H1547" s="16">
        <v>45263</v>
      </c>
      <c r="I1547" s="6">
        <v>49</v>
      </c>
      <c r="J1547" s="6" t="s">
        <v>121</v>
      </c>
      <c r="K1547" s="6" t="s">
        <v>122</v>
      </c>
      <c r="L1547" s="11">
        <f>F1547*Controls!$B$6</f>
        <v>42</v>
      </c>
      <c r="M1547" s="11">
        <f>G1547*Controls!$B$6</f>
        <v>5250</v>
      </c>
      <c r="N1547" s="12">
        <f>IF(L1547=0,0,SUMIFS('PSI Plan'!$N$6:$N$173,'PSI Plan'!$B$6:$B$173,B1547,'PSI Plan'!$C$6:$C$173,I1547))</f>
        <v>0</v>
      </c>
      <c r="O1547" s="11">
        <f t="shared" si="48"/>
        <v>0</v>
      </c>
      <c r="P1547" s="11">
        <f t="shared" si="49"/>
        <v>0</v>
      </c>
      <c r="Q1547" s="6"/>
      <c r="R1547" s="6"/>
      <c r="S1547" s="6"/>
      <c r="T1547" s="6"/>
    </row>
    <row r="1548" spans="1:20">
      <c r="A1548" s="6" t="s">
        <v>1701</v>
      </c>
      <c r="B1548" s="6" t="s">
        <v>77</v>
      </c>
      <c r="C1548" s="6" t="s">
        <v>90</v>
      </c>
      <c r="D1548" s="6" t="s">
        <v>119</v>
      </c>
      <c r="E1548" s="6" t="s">
        <v>120</v>
      </c>
      <c r="F1548" s="7">
        <v>52</v>
      </c>
      <c r="G1548" s="7">
        <v>6500</v>
      </c>
      <c r="H1548" s="16">
        <v>45257</v>
      </c>
      <c r="I1548" s="6">
        <v>48</v>
      </c>
      <c r="J1548" s="6" t="s">
        <v>121</v>
      </c>
      <c r="K1548" s="6" t="s">
        <v>122</v>
      </c>
      <c r="L1548" s="11">
        <f>F1548*Controls!$B$6</f>
        <v>52</v>
      </c>
      <c r="M1548" s="11">
        <f>G1548*Controls!$B$6</f>
        <v>6500</v>
      </c>
      <c r="N1548" s="12">
        <f>IF(L1548=0,0,SUMIFS('PSI Plan'!$N$6:$N$173,'PSI Plan'!$B$6:$B$173,B1548,'PSI Plan'!$C$6:$C$173,I1548))</f>
        <v>0</v>
      </c>
      <c r="O1548" s="11">
        <f t="shared" si="48"/>
        <v>0</v>
      </c>
      <c r="P1548" s="11">
        <f t="shared" si="49"/>
        <v>0</v>
      </c>
      <c r="Q1548" s="6"/>
      <c r="R1548" s="6"/>
      <c r="S1548" s="6"/>
      <c r="T1548" s="6"/>
    </row>
    <row r="1549" spans="1:20">
      <c r="A1549" s="6" t="s">
        <v>1702</v>
      </c>
      <c r="B1549" s="6" t="s">
        <v>76</v>
      </c>
      <c r="C1549" s="6" t="s">
        <v>90</v>
      </c>
      <c r="D1549" s="6" t="s">
        <v>119</v>
      </c>
      <c r="E1549" s="6" t="s">
        <v>120</v>
      </c>
      <c r="F1549" s="7">
        <v>26</v>
      </c>
      <c r="G1549" s="7">
        <v>3250</v>
      </c>
      <c r="H1549" s="16">
        <v>45246</v>
      </c>
      <c r="I1549" s="6">
        <v>46</v>
      </c>
      <c r="J1549" s="6" t="s">
        <v>121</v>
      </c>
      <c r="K1549" s="6" t="s">
        <v>122</v>
      </c>
      <c r="L1549" s="11">
        <f>F1549*Controls!$B$6</f>
        <v>26</v>
      </c>
      <c r="M1549" s="11">
        <f>G1549*Controls!$B$6</f>
        <v>3250</v>
      </c>
      <c r="N1549" s="12">
        <f>IF(L1549=0,0,SUMIFS('PSI Plan'!$N$6:$N$173,'PSI Plan'!$B$6:$B$173,B1549,'PSI Plan'!$C$6:$C$173,I1549))</f>
        <v>0</v>
      </c>
      <c r="O1549" s="11">
        <f t="shared" si="48"/>
        <v>0</v>
      </c>
      <c r="P1549" s="11">
        <f t="shared" si="49"/>
        <v>0</v>
      </c>
      <c r="Q1549" s="6"/>
      <c r="R1549" s="6"/>
      <c r="S1549" s="6"/>
      <c r="T1549" s="6"/>
    </row>
    <row r="1550" spans="1:20">
      <c r="A1550" s="6" t="s">
        <v>1703</v>
      </c>
      <c r="B1550" s="6" t="s">
        <v>67</v>
      </c>
      <c r="C1550" s="6" t="s">
        <v>90</v>
      </c>
      <c r="D1550" s="6" t="s">
        <v>119</v>
      </c>
      <c r="E1550" s="6" t="s">
        <v>120</v>
      </c>
      <c r="F1550" s="7">
        <v>53</v>
      </c>
      <c r="G1550" s="7">
        <v>6625</v>
      </c>
      <c r="H1550" s="16">
        <v>45240</v>
      </c>
      <c r="I1550" s="6">
        <v>45</v>
      </c>
      <c r="J1550" s="6" t="s">
        <v>121</v>
      </c>
      <c r="K1550" s="6" t="s">
        <v>122</v>
      </c>
      <c r="L1550" s="11">
        <f>F1550*Controls!$B$6</f>
        <v>53</v>
      </c>
      <c r="M1550" s="11">
        <f>G1550*Controls!$B$6</f>
        <v>6625</v>
      </c>
      <c r="N1550" s="12">
        <f>IF(L1550=0,0,SUMIFS('PSI Plan'!$N$6:$N$173,'PSI Plan'!$B$6:$B$173,B1550,'PSI Plan'!$C$6:$C$173,I1550))</f>
        <v>0</v>
      </c>
      <c r="O1550" s="11">
        <f t="shared" si="48"/>
        <v>0</v>
      </c>
      <c r="P1550" s="11">
        <f t="shared" si="49"/>
        <v>0</v>
      </c>
      <c r="Q1550" s="6"/>
      <c r="R1550" s="6"/>
      <c r="S1550" s="6"/>
      <c r="T1550" s="6"/>
    </row>
    <row r="1551" spans="1:20">
      <c r="A1551" s="6" t="s">
        <v>1704</v>
      </c>
      <c r="B1551" s="6" t="s">
        <v>69</v>
      </c>
      <c r="C1551" s="6" t="s">
        <v>90</v>
      </c>
      <c r="D1551" s="6" t="s">
        <v>119</v>
      </c>
      <c r="E1551" s="6" t="s">
        <v>120</v>
      </c>
      <c r="F1551" s="7">
        <v>78</v>
      </c>
      <c r="G1551" s="7">
        <v>9750</v>
      </c>
      <c r="H1551" s="16">
        <v>45259</v>
      </c>
      <c r="I1551" s="6">
        <v>48</v>
      </c>
      <c r="J1551" s="6" t="s">
        <v>121</v>
      </c>
      <c r="K1551" s="6" t="s">
        <v>122</v>
      </c>
      <c r="L1551" s="11">
        <f>F1551*Controls!$B$6</f>
        <v>78</v>
      </c>
      <c r="M1551" s="11">
        <f>G1551*Controls!$B$6</f>
        <v>9750</v>
      </c>
      <c r="N1551" s="12">
        <f>IF(L1551=0,0,SUMIFS('PSI Plan'!$N$6:$N$173,'PSI Plan'!$B$6:$B$173,B1551,'PSI Plan'!$C$6:$C$173,I1551))</f>
        <v>0</v>
      </c>
      <c r="O1551" s="11">
        <f t="shared" si="48"/>
        <v>0</v>
      </c>
      <c r="P1551" s="11">
        <f t="shared" si="49"/>
        <v>0</v>
      </c>
      <c r="Q1551" s="6"/>
      <c r="R1551" s="6"/>
      <c r="S1551" s="6"/>
      <c r="T1551" s="6"/>
    </row>
    <row r="1552" spans="1:20">
      <c r="A1552" s="6" t="s">
        <v>1705</v>
      </c>
      <c r="B1552" s="6" t="s">
        <v>66</v>
      </c>
      <c r="C1552" s="6" t="s">
        <v>90</v>
      </c>
      <c r="D1552" s="6" t="s">
        <v>119</v>
      </c>
      <c r="E1552" s="6" t="s">
        <v>120</v>
      </c>
      <c r="F1552" s="7">
        <v>13</v>
      </c>
      <c r="G1552" s="7">
        <v>1625</v>
      </c>
      <c r="H1552" s="16">
        <v>45201</v>
      </c>
      <c r="I1552" s="6">
        <v>40</v>
      </c>
      <c r="J1552" s="6" t="s">
        <v>121</v>
      </c>
      <c r="K1552" s="6" t="s">
        <v>855</v>
      </c>
      <c r="L1552" s="11">
        <f>F1552*Controls!$B$6</f>
        <v>13</v>
      </c>
      <c r="M1552" s="11">
        <f>G1552*Controls!$B$6</f>
        <v>1625</v>
      </c>
      <c r="N1552" s="12">
        <f>IF(L1552=0,0,SUMIFS('PSI Plan'!$N$6:$N$173,'PSI Plan'!$B$6:$B$173,B1552,'PSI Plan'!$C$6:$C$173,I1552))</f>
        <v>0</v>
      </c>
      <c r="O1552" s="11">
        <f t="shared" si="48"/>
        <v>0</v>
      </c>
      <c r="P1552" s="11">
        <f t="shared" si="49"/>
        <v>0</v>
      </c>
      <c r="Q1552" s="6"/>
      <c r="R1552" s="6"/>
      <c r="S1552" s="6"/>
      <c r="T1552" s="6"/>
    </row>
    <row r="1553" spans="1:20">
      <c r="A1553" s="6" t="s">
        <v>1706</v>
      </c>
      <c r="B1553" s="6" t="s">
        <v>77</v>
      </c>
      <c r="C1553" s="6" t="s">
        <v>90</v>
      </c>
      <c r="D1553" s="6" t="s">
        <v>119</v>
      </c>
      <c r="E1553" s="6" t="s">
        <v>120</v>
      </c>
      <c r="F1553" s="7">
        <v>26</v>
      </c>
      <c r="G1553" s="7">
        <v>3250</v>
      </c>
      <c r="H1553" s="16">
        <v>45281</v>
      </c>
      <c r="I1553" s="6">
        <v>51</v>
      </c>
      <c r="J1553" s="6" t="s">
        <v>121</v>
      </c>
      <c r="K1553" s="6" t="s">
        <v>855</v>
      </c>
      <c r="L1553" s="11">
        <f>F1553*Controls!$B$6</f>
        <v>26</v>
      </c>
      <c r="M1553" s="11">
        <f>G1553*Controls!$B$6</f>
        <v>3250</v>
      </c>
      <c r="N1553" s="12">
        <f>IF(L1553=0,0,SUMIFS('PSI Plan'!$N$6:$N$173,'PSI Plan'!$B$6:$B$173,B1553,'PSI Plan'!$C$6:$C$173,I1553))</f>
        <v>0</v>
      </c>
      <c r="O1553" s="11">
        <f t="shared" si="48"/>
        <v>0</v>
      </c>
      <c r="P1553" s="11">
        <f t="shared" si="49"/>
        <v>0</v>
      </c>
      <c r="Q1553" s="6"/>
      <c r="R1553" s="6"/>
      <c r="S1553" s="6"/>
      <c r="T1553" s="6"/>
    </row>
    <row r="1554" spans="1:20">
      <c r="A1554" s="6" t="s">
        <v>1707</v>
      </c>
      <c r="B1554" s="6" t="s">
        <v>76</v>
      </c>
      <c r="C1554" s="6" t="s">
        <v>90</v>
      </c>
      <c r="D1554" s="6" t="s">
        <v>119</v>
      </c>
      <c r="E1554" s="6" t="s">
        <v>120</v>
      </c>
      <c r="F1554" s="7">
        <v>13</v>
      </c>
      <c r="G1554" s="7">
        <v>1625</v>
      </c>
      <c r="H1554" s="16">
        <v>45264</v>
      </c>
      <c r="I1554" s="6">
        <v>49</v>
      </c>
      <c r="J1554" s="6" t="s">
        <v>121</v>
      </c>
      <c r="K1554" s="6" t="s">
        <v>855</v>
      </c>
      <c r="L1554" s="11">
        <f>F1554*Controls!$B$6</f>
        <v>13</v>
      </c>
      <c r="M1554" s="11">
        <f>G1554*Controls!$B$6</f>
        <v>1625</v>
      </c>
      <c r="N1554" s="12">
        <f>IF(L1554=0,0,SUMIFS('PSI Plan'!$N$6:$N$173,'PSI Plan'!$B$6:$B$173,B1554,'PSI Plan'!$C$6:$C$173,I1554))</f>
        <v>0</v>
      </c>
      <c r="O1554" s="11">
        <f t="shared" si="48"/>
        <v>0</v>
      </c>
      <c r="P1554" s="11">
        <f t="shared" si="49"/>
        <v>0</v>
      </c>
      <c r="Q1554" s="6"/>
      <c r="R1554" s="6"/>
      <c r="S1554" s="6"/>
      <c r="T1554" s="6"/>
    </row>
    <row r="1555" spans="1:20">
      <c r="A1555" s="6" t="s">
        <v>1708</v>
      </c>
      <c r="B1555" s="6" t="s">
        <v>77</v>
      </c>
      <c r="C1555" s="6" t="s">
        <v>90</v>
      </c>
      <c r="D1555" s="6" t="s">
        <v>119</v>
      </c>
      <c r="E1555" s="6" t="s">
        <v>120</v>
      </c>
      <c r="F1555" s="7">
        <v>13</v>
      </c>
      <c r="G1555" s="7">
        <v>1625</v>
      </c>
      <c r="H1555" s="16">
        <v>45208</v>
      </c>
      <c r="I1555" s="6">
        <v>41</v>
      </c>
      <c r="J1555" s="6" t="s">
        <v>121</v>
      </c>
      <c r="K1555" s="6" t="s">
        <v>171</v>
      </c>
      <c r="L1555" s="11">
        <f>F1555*Controls!$B$6</f>
        <v>13</v>
      </c>
      <c r="M1555" s="11">
        <f>G1555*Controls!$B$6</f>
        <v>1625</v>
      </c>
      <c r="N1555" s="12">
        <f>IF(L1555=0,0,SUMIFS('PSI Plan'!$N$6:$N$173,'PSI Plan'!$B$6:$B$173,B1555,'PSI Plan'!$C$6:$C$173,I1555))</f>
        <v>0</v>
      </c>
      <c r="O1555" s="11">
        <f t="shared" si="48"/>
        <v>0</v>
      </c>
      <c r="P1555" s="11">
        <f t="shared" si="49"/>
        <v>0</v>
      </c>
      <c r="Q1555" s="6"/>
      <c r="R1555" s="6"/>
      <c r="S1555" s="6"/>
      <c r="T1555" s="6"/>
    </row>
    <row r="1556" spans="1:20">
      <c r="A1556" s="6" t="s">
        <v>1709</v>
      </c>
      <c r="B1556" s="6" t="s">
        <v>69</v>
      </c>
      <c r="C1556" s="6" t="s">
        <v>90</v>
      </c>
      <c r="D1556" s="6" t="s">
        <v>119</v>
      </c>
      <c r="E1556" s="6" t="s">
        <v>120</v>
      </c>
      <c r="F1556" s="7">
        <v>39</v>
      </c>
      <c r="G1556" s="7">
        <v>4875</v>
      </c>
      <c r="H1556" s="16">
        <v>45282</v>
      </c>
      <c r="I1556" s="6">
        <v>51</v>
      </c>
      <c r="J1556" s="6" t="s">
        <v>121</v>
      </c>
      <c r="K1556" s="6" t="s">
        <v>171</v>
      </c>
      <c r="L1556" s="11">
        <f>F1556*Controls!$B$6</f>
        <v>39</v>
      </c>
      <c r="M1556" s="11">
        <f>G1556*Controls!$B$6</f>
        <v>4875</v>
      </c>
      <c r="N1556" s="12">
        <f>IF(L1556=0,0,SUMIFS('PSI Plan'!$N$6:$N$173,'PSI Plan'!$B$6:$B$173,B1556,'PSI Plan'!$C$6:$C$173,I1556))</f>
        <v>0</v>
      </c>
      <c r="O1556" s="11">
        <f t="shared" si="48"/>
        <v>0</v>
      </c>
      <c r="P1556" s="11">
        <f t="shared" si="49"/>
        <v>0</v>
      </c>
      <c r="Q1556" s="6"/>
      <c r="R1556" s="6"/>
      <c r="S1556" s="6"/>
      <c r="T1556" s="6"/>
    </row>
    <row r="1557" spans="1:20">
      <c r="A1557" s="6" t="s">
        <v>1710</v>
      </c>
      <c r="B1557" s="6" t="s">
        <v>66</v>
      </c>
      <c r="C1557" s="6" t="s">
        <v>100</v>
      </c>
      <c r="D1557" s="6" t="s">
        <v>567</v>
      </c>
      <c r="E1557" s="6" t="s">
        <v>120</v>
      </c>
      <c r="F1557" s="7">
        <v>14</v>
      </c>
      <c r="G1557" s="7">
        <v>1750</v>
      </c>
      <c r="H1557" s="16">
        <v>45261</v>
      </c>
      <c r="I1557" s="6">
        <v>48</v>
      </c>
      <c r="J1557" s="6" t="s">
        <v>121</v>
      </c>
      <c r="K1557" s="6" t="s">
        <v>781</v>
      </c>
      <c r="L1557" s="11">
        <f>F1557*Controls!$B$6</f>
        <v>14</v>
      </c>
      <c r="M1557" s="11">
        <f>G1557*Controls!$B$6</f>
        <v>1750</v>
      </c>
      <c r="N1557" s="12">
        <f>IF(L1557=0,0,SUMIFS('PSI Plan'!$N$6:$N$173,'PSI Plan'!$B$6:$B$173,B1557,'PSI Plan'!$C$6:$C$173,I1557))</f>
        <v>0</v>
      </c>
      <c r="O1557" s="11">
        <f t="shared" si="48"/>
        <v>0</v>
      </c>
      <c r="P1557" s="11">
        <f t="shared" si="49"/>
        <v>0</v>
      </c>
      <c r="Q1557" s="6"/>
      <c r="R1557" s="6"/>
      <c r="S1557" s="6"/>
      <c r="T1557" s="6"/>
    </row>
    <row r="1558" spans="1:20">
      <c r="A1558" s="6" t="s">
        <v>1711</v>
      </c>
      <c r="B1558" s="6" t="s">
        <v>77</v>
      </c>
      <c r="C1558" s="6" t="s">
        <v>100</v>
      </c>
      <c r="D1558" s="6" t="s">
        <v>567</v>
      </c>
      <c r="E1558" s="6" t="s">
        <v>120</v>
      </c>
      <c r="F1558" s="7">
        <v>15</v>
      </c>
      <c r="G1558" s="7">
        <v>1875</v>
      </c>
      <c r="H1558" s="16">
        <v>45210</v>
      </c>
      <c r="I1558" s="6">
        <v>41</v>
      </c>
      <c r="J1558" s="6" t="s">
        <v>121</v>
      </c>
      <c r="K1558" s="6" t="s">
        <v>781</v>
      </c>
      <c r="L1558" s="11">
        <f>F1558*Controls!$B$6</f>
        <v>15</v>
      </c>
      <c r="M1558" s="11">
        <f>G1558*Controls!$B$6</f>
        <v>1875</v>
      </c>
      <c r="N1558" s="12">
        <f>IF(L1558=0,0,SUMIFS('PSI Plan'!$N$6:$N$173,'PSI Plan'!$B$6:$B$173,B1558,'PSI Plan'!$C$6:$C$173,I1558))</f>
        <v>0</v>
      </c>
      <c r="O1558" s="11">
        <f t="shared" si="48"/>
        <v>0</v>
      </c>
      <c r="P1558" s="11">
        <f t="shared" si="49"/>
        <v>0</v>
      </c>
      <c r="Q1558" s="6"/>
      <c r="R1558" s="6"/>
      <c r="S1558" s="6"/>
      <c r="T1558" s="6"/>
    </row>
    <row r="1559" spans="1:20">
      <c r="A1559" s="6" t="s">
        <v>1712</v>
      </c>
      <c r="B1559" s="6" t="s">
        <v>76</v>
      </c>
      <c r="C1559" s="6" t="s">
        <v>100</v>
      </c>
      <c r="D1559" s="6" t="s">
        <v>567</v>
      </c>
      <c r="E1559" s="6" t="s">
        <v>120</v>
      </c>
      <c r="F1559" s="7">
        <v>18</v>
      </c>
      <c r="G1559" s="7">
        <v>2250</v>
      </c>
      <c r="H1559" s="16">
        <v>45220</v>
      </c>
      <c r="I1559" s="6">
        <v>42</v>
      </c>
      <c r="J1559" s="6" t="s">
        <v>121</v>
      </c>
      <c r="K1559" s="6" t="s">
        <v>781</v>
      </c>
      <c r="L1559" s="11">
        <f>F1559*Controls!$B$6</f>
        <v>18</v>
      </c>
      <c r="M1559" s="11">
        <f>G1559*Controls!$B$6</f>
        <v>2250</v>
      </c>
      <c r="N1559" s="12">
        <f>IF(L1559=0,0,SUMIFS('PSI Plan'!$N$6:$N$173,'PSI Plan'!$B$6:$B$173,B1559,'PSI Plan'!$C$6:$C$173,I1559))</f>
        <v>0</v>
      </c>
      <c r="O1559" s="11">
        <f t="shared" si="48"/>
        <v>0</v>
      </c>
      <c r="P1559" s="11">
        <f t="shared" si="49"/>
        <v>0</v>
      </c>
      <c r="Q1559" s="6"/>
      <c r="R1559" s="6"/>
      <c r="S1559" s="6"/>
      <c r="T1559" s="6"/>
    </row>
    <row r="1560" spans="1:20">
      <c r="A1560" s="6" t="s">
        <v>1713</v>
      </c>
      <c r="B1560" s="6" t="s">
        <v>67</v>
      </c>
      <c r="C1560" s="6" t="s">
        <v>100</v>
      </c>
      <c r="D1560" s="6" t="s">
        <v>567</v>
      </c>
      <c r="E1560" s="6" t="s">
        <v>120</v>
      </c>
      <c r="F1560" s="7">
        <v>9</v>
      </c>
      <c r="G1560" s="7">
        <v>1125</v>
      </c>
      <c r="H1560" s="16">
        <v>45289</v>
      </c>
      <c r="I1560" s="6">
        <v>52</v>
      </c>
      <c r="J1560" s="6" t="s">
        <v>121</v>
      </c>
      <c r="K1560" s="6" t="s">
        <v>781</v>
      </c>
      <c r="L1560" s="11">
        <f>F1560*Controls!$B$6</f>
        <v>9</v>
      </c>
      <c r="M1560" s="11">
        <f>G1560*Controls!$B$6</f>
        <v>1125</v>
      </c>
      <c r="N1560" s="12">
        <f>IF(L1560=0,0,SUMIFS('PSI Plan'!$N$6:$N$173,'PSI Plan'!$B$6:$B$173,B1560,'PSI Plan'!$C$6:$C$173,I1560))</f>
        <v>0</v>
      </c>
      <c r="O1560" s="11">
        <f t="shared" si="48"/>
        <v>0</v>
      </c>
      <c r="P1560" s="11">
        <f t="shared" si="49"/>
        <v>0</v>
      </c>
      <c r="Q1560" s="6"/>
      <c r="R1560" s="6"/>
      <c r="S1560" s="6"/>
      <c r="T1560" s="6"/>
    </row>
    <row r="1561" spans="1:20">
      <c r="A1561" s="6" t="s">
        <v>1714</v>
      </c>
      <c r="B1561" s="6" t="s">
        <v>69</v>
      </c>
      <c r="C1561" s="6" t="s">
        <v>100</v>
      </c>
      <c r="D1561" s="6" t="s">
        <v>567</v>
      </c>
      <c r="E1561" s="6" t="s">
        <v>120</v>
      </c>
      <c r="F1561" s="7">
        <v>14</v>
      </c>
      <c r="G1561" s="7">
        <v>1750</v>
      </c>
      <c r="H1561" s="16">
        <v>45272</v>
      </c>
      <c r="I1561" s="6">
        <v>50</v>
      </c>
      <c r="J1561" s="6" t="s">
        <v>121</v>
      </c>
      <c r="K1561" s="6" t="s">
        <v>781</v>
      </c>
      <c r="L1561" s="11">
        <f>F1561*Controls!$B$6</f>
        <v>14</v>
      </c>
      <c r="M1561" s="11">
        <f>G1561*Controls!$B$6</f>
        <v>1750</v>
      </c>
      <c r="N1561" s="12">
        <f>IF(L1561=0,0,SUMIFS('PSI Plan'!$N$6:$N$173,'PSI Plan'!$B$6:$B$173,B1561,'PSI Plan'!$C$6:$C$173,I1561))</f>
        <v>0</v>
      </c>
      <c r="O1561" s="11">
        <f t="shared" si="48"/>
        <v>0</v>
      </c>
      <c r="P1561" s="11">
        <f t="shared" si="49"/>
        <v>0</v>
      </c>
      <c r="Q1561" s="6"/>
      <c r="R1561" s="6"/>
      <c r="S1561" s="6"/>
      <c r="T1561" s="6"/>
    </row>
    <row r="1562" spans="1:20">
      <c r="A1562" s="6" t="s">
        <v>1715</v>
      </c>
      <c r="B1562" s="6" t="s">
        <v>66</v>
      </c>
      <c r="C1562" s="6" t="s">
        <v>99</v>
      </c>
      <c r="D1562" s="6" t="s">
        <v>319</v>
      </c>
      <c r="E1562" s="6" t="s">
        <v>120</v>
      </c>
      <c r="F1562" s="7">
        <v>68</v>
      </c>
      <c r="G1562" s="7">
        <v>8500</v>
      </c>
      <c r="H1562" s="16">
        <v>45249</v>
      </c>
      <c r="I1562" s="6">
        <v>47</v>
      </c>
      <c r="J1562" s="6" t="s">
        <v>121</v>
      </c>
      <c r="K1562" s="6" t="s">
        <v>347</v>
      </c>
      <c r="L1562" s="11">
        <f>F1562*Controls!$B$6</f>
        <v>68</v>
      </c>
      <c r="M1562" s="11">
        <f>G1562*Controls!$B$6</f>
        <v>8500</v>
      </c>
      <c r="N1562" s="12">
        <f>IF(L1562=0,0,SUMIFS('PSI Plan'!$N$6:$N$173,'PSI Plan'!$B$6:$B$173,B1562,'PSI Plan'!$C$6:$C$173,I1562))</f>
        <v>0</v>
      </c>
      <c r="O1562" s="11">
        <f t="shared" si="48"/>
        <v>0</v>
      </c>
      <c r="P1562" s="11">
        <f t="shared" si="49"/>
        <v>0</v>
      </c>
      <c r="Q1562" s="6"/>
      <c r="R1562" s="6"/>
      <c r="S1562" s="6"/>
      <c r="T1562" s="6"/>
    </row>
    <row r="1563" spans="1:20">
      <c r="A1563" s="6" t="s">
        <v>1716</v>
      </c>
      <c r="B1563" s="6" t="s">
        <v>77</v>
      </c>
      <c r="C1563" s="6" t="s">
        <v>99</v>
      </c>
      <c r="D1563" s="6" t="s">
        <v>319</v>
      </c>
      <c r="E1563" s="6" t="s">
        <v>120</v>
      </c>
      <c r="F1563" s="7">
        <v>70</v>
      </c>
      <c r="G1563" s="7">
        <v>8750</v>
      </c>
      <c r="H1563" s="16">
        <v>45252</v>
      </c>
      <c r="I1563" s="6">
        <v>47</v>
      </c>
      <c r="J1563" s="6" t="s">
        <v>121</v>
      </c>
      <c r="K1563" s="6" t="s">
        <v>347</v>
      </c>
      <c r="L1563" s="11">
        <f>F1563*Controls!$B$6</f>
        <v>70</v>
      </c>
      <c r="M1563" s="11">
        <f>G1563*Controls!$B$6</f>
        <v>8750</v>
      </c>
      <c r="N1563" s="12">
        <f>IF(L1563=0,0,SUMIFS('PSI Plan'!$N$6:$N$173,'PSI Plan'!$B$6:$B$173,B1563,'PSI Plan'!$C$6:$C$173,I1563))</f>
        <v>0</v>
      </c>
      <c r="O1563" s="11">
        <f t="shared" si="48"/>
        <v>0</v>
      </c>
      <c r="P1563" s="11">
        <f t="shared" si="49"/>
        <v>0</v>
      </c>
      <c r="Q1563" s="6"/>
      <c r="R1563" s="6"/>
      <c r="S1563" s="6"/>
      <c r="T1563" s="6"/>
    </row>
    <row r="1564" spans="1:20">
      <c r="A1564" s="6" t="s">
        <v>1717</v>
      </c>
      <c r="B1564" s="6" t="s">
        <v>67</v>
      </c>
      <c r="C1564" s="6" t="s">
        <v>99</v>
      </c>
      <c r="D1564" s="6" t="s">
        <v>319</v>
      </c>
      <c r="E1564" s="6" t="s">
        <v>120</v>
      </c>
      <c r="F1564" s="7">
        <v>74</v>
      </c>
      <c r="G1564" s="7">
        <v>9250</v>
      </c>
      <c r="H1564" s="16">
        <v>45288</v>
      </c>
      <c r="I1564" s="6">
        <v>52</v>
      </c>
      <c r="J1564" s="6" t="s">
        <v>121</v>
      </c>
      <c r="K1564" s="6" t="s">
        <v>347</v>
      </c>
      <c r="L1564" s="11">
        <f>F1564*Controls!$B$6</f>
        <v>74</v>
      </c>
      <c r="M1564" s="11">
        <f>G1564*Controls!$B$6</f>
        <v>9250</v>
      </c>
      <c r="N1564" s="12">
        <f>IF(L1564=0,0,SUMIFS('PSI Plan'!$N$6:$N$173,'PSI Plan'!$B$6:$B$173,B1564,'PSI Plan'!$C$6:$C$173,I1564))</f>
        <v>0</v>
      </c>
      <c r="O1564" s="11">
        <f t="shared" si="48"/>
        <v>0</v>
      </c>
      <c r="P1564" s="11">
        <f t="shared" si="49"/>
        <v>0</v>
      </c>
      <c r="Q1564" s="6"/>
      <c r="R1564" s="6"/>
      <c r="S1564" s="6"/>
      <c r="T1564" s="6"/>
    </row>
    <row r="1565" spans="1:20">
      <c r="A1565" s="6" t="s">
        <v>1718</v>
      </c>
      <c r="B1565" s="6" t="s">
        <v>69</v>
      </c>
      <c r="C1565" s="6" t="s">
        <v>99</v>
      </c>
      <c r="D1565" s="6" t="s">
        <v>319</v>
      </c>
      <c r="E1565" s="6" t="s">
        <v>120</v>
      </c>
      <c r="F1565" s="7">
        <v>96</v>
      </c>
      <c r="G1565" s="7">
        <v>12000</v>
      </c>
      <c r="H1565" s="16">
        <v>45233</v>
      </c>
      <c r="I1565" s="6">
        <v>44</v>
      </c>
      <c r="J1565" s="6" t="s">
        <v>121</v>
      </c>
      <c r="K1565" s="6" t="s">
        <v>347</v>
      </c>
      <c r="L1565" s="11">
        <f>F1565*Controls!$B$6</f>
        <v>96</v>
      </c>
      <c r="M1565" s="11">
        <f>G1565*Controls!$B$6</f>
        <v>12000</v>
      </c>
      <c r="N1565" s="12">
        <f>IF(L1565=0,0,SUMIFS('PSI Plan'!$N$6:$N$173,'PSI Plan'!$B$6:$B$173,B1565,'PSI Plan'!$C$6:$C$173,I1565))</f>
        <v>0</v>
      </c>
      <c r="O1565" s="11">
        <f t="shared" si="48"/>
        <v>0</v>
      </c>
      <c r="P1565" s="11">
        <f t="shared" si="49"/>
        <v>0</v>
      </c>
      <c r="Q1565" s="6"/>
      <c r="R1565" s="6"/>
      <c r="S1565" s="6"/>
      <c r="T1565" s="6"/>
    </row>
    <row r="1566" spans="1:20">
      <c r="A1566" s="6" t="s">
        <v>1719</v>
      </c>
      <c r="B1566" s="6" t="s">
        <v>66</v>
      </c>
      <c r="C1566" s="6" t="s">
        <v>90</v>
      </c>
      <c r="D1566" s="6" t="s">
        <v>119</v>
      </c>
      <c r="E1566" s="6" t="s">
        <v>120</v>
      </c>
      <c r="F1566" s="7">
        <v>36</v>
      </c>
      <c r="G1566" s="7">
        <v>4500</v>
      </c>
      <c r="H1566" s="16">
        <v>45221</v>
      </c>
      <c r="I1566" s="6">
        <v>43</v>
      </c>
      <c r="J1566" s="6" t="s">
        <v>121</v>
      </c>
      <c r="K1566" s="6" t="s">
        <v>122</v>
      </c>
      <c r="L1566" s="11">
        <f>F1566*Controls!$B$6</f>
        <v>36</v>
      </c>
      <c r="M1566" s="11">
        <f>G1566*Controls!$B$6</f>
        <v>4500</v>
      </c>
      <c r="N1566" s="12">
        <f>IF(L1566=0,0,SUMIFS('PSI Plan'!$N$6:$N$173,'PSI Plan'!$B$6:$B$173,B1566,'PSI Plan'!$C$6:$C$173,I1566))</f>
        <v>0</v>
      </c>
      <c r="O1566" s="11">
        <f t="shared" si="48"/>
        <v>0</v>
      </c>
      <c r="P1566" s="11">
        <f t="shared" si="49"/>
        <v>0</v>
      </c>
      <c r="Q1566" s="6"/>
      <c r="R1566" s="6"/>
      <c r="S1566" s="6"/>
      <c r="T1566" s="6"/>
    </row>
    <row r="1567" spans="1:20">
      <c r="A1567" s="6" t="s">
        <v>1720</v>
      </c>
      <c r="B1567" s="6" t="s">
        <v>77</v>
      </c>
      <c r="C1567" s="6" t="s">
        <v>90</v>
      </c>
      <c r="D1567" s="6" t="s">
        <v>119</v>
      </c>
      <c r="E1567" s="6" t="s">
        <v>120</v>
      </c>
      <c r="F1567" s="7">
        <v>26</v>
      </c>
      <c r="G1567" s="7">
        <v>3250</v>
      </c>
      <c r="H1567" s="16">
        <v>45225</v>
      </c>
      <c r="I1567" s="6">
        <v>43</v>
      </c>
      <c r="J1567" s="6" t="s">
        <v>121</v>
      </c>
      <c r="K1567" s="6" t="s">
        <v>122</v>
      </c>
      <c r="L1567" s="11">
        <f>F1567*Controls!$B$6</f>
        <v>26</v>
      </c>
      <c r="M1567" s="11">
        <f>G1567*Controls!$B$6</f>
        <v>3250</v>
      </c>
      <c r="N1567" s="12">
        <f>IF(L1567=0,0,SUMIFS('PSI Plan'!$N$6:$N$173,'PSI Plan'!$B$6:$B$173,B1567,'PSI Plan'!$C$6:$C$173,I1567))</f>
        <v>0</v>
      </c>
      <c r="O1567" s="11">
        <f t="shared" si="48"/>
        <v>0</v>
      </c>
      <c r="P1567" s="11">
        <f t="shared" si="49"/>
        <v>0</v>
      </c>
      <c r="Q1567" s="6"/>
      <c r="R1567" s="6"/>
      <c r="S1567" s="6"/>
      <c r="T1567" s="6"/>
    </row>
    <row r="1568" spans="1:20">
      <c r="A1568" s="6" t="s">
        <v>1721</v>
      </c>
      <c r="B1568" s="6" t="s">
        <v>76</v>
      </c>
      <c r="C1568" s="6" t="s">
        <v>90</v>
      </c>
      <c r="D1568" s="6" t="s">
        <v>119</v>
      </c>
      <c r="E1568" s="6" t="s">
        <v>120</v>
      </c>
      <c r="F1568" s="7">
        <v>40</v>
      </c>
      <c r="G1568" s="7">
        <v>5000</v>
      </c>
      <c r="H1568" s="16">
        <v>45224</v>
      </c>
      <c r="I1568" s="6">
        <v>43</v>
      </c>
      <c r="J1568" s="6" t="s">
        <v>121</v>
      </c>
      <c r="K1568" s="6" t="s">
        <v>122</v>
      </c>
      <c r="L1568" s="11">
        <f>F1568*Controls!$B$6</f>
        <v>40</v>
      </c>
      <c r="M1568" s="11">
        <f>G1568*Controls!$B$6</f>
        <v>5000</v>
      </c>
      <c r="N1568" s="12">
        <f>IF(L1568=0,0,SUMIFS('PSI Plan'!$N$6:$N$173,'PSI Plan'!$B$6:$B$173,B1568,'PSI Plan'!$C$6:$C$173,I1568))</f>
        <v>0</v>
      </c>
      <c r="O1568" s="11">
        <f t="shared" si="48"/>
        <v>0</v>
      </c>
      <c r="P1568" s="11">
        <f t="shared" si="49"/>
        <v>0</v>
      </c>
      <c r="Q1568" s="6"/>
      <c r="R1568" s="6"/>
      <c r="S1568" s="6"/>
      <c r="T1568" s="6"/>
    </row>
    <row r="1569" spans="1:20">
      <c r="A1569" s="6" t="s">
        <v>1722</v>
      </c>
      <c r="B1569" s="6" t="s">
        <v>67</v>
      </c>
      <c r="C1569" s="6" t="s">
        <v>90</v>
      </c>
      <c r="D1569" s="6" t="s">
        <v>119</v>
      </c>
      <c r="E1569" s="6" t="s">
        <v>120</v>
      </c>
      <c r="F1569" s="7">
        <v>54</v>
      </c>
      <c r="G1569" s="7">
        <v>6750</v>
      </c>
      <c r="H1569" s="16">
        <v>45272</v>
      </c>
      <c r="I1569" s="6">
        <v>50</v>
      </c>
      <c r="J1569" s="6" t="s">
        <v>121</v>
      </c>
      <c r="K1569" s="6" t="s">
        <v>122</v>
      </c>
      <c r="L1569" s="11">
        <f>F1569*Controls!$B$6</f>
        <v>54</v>
      </c>
      <c r="M1569" s="11">
        <f>G1569*Controls!$B$6</f>
        <v>6750</v>
      </c>
      <c r="N1569" s="12">
        <f>IF(L1569=0,0,SUMIFS('PSI Plan'!$N$6:$N$173,'PSI Plan'!$B$6:$B$173,B1569,'PSI Plan'!$C$6:$C$173,I1569))</f>
        <v>0</v>
      </c>
      <c r="O1569" s="11">
        <f t="shared" si="48"/>
        <v>0</v>
      </c>
      <c r="P1569" s="11">
        <f t="shared" si="49"/>
        <v>0</v>
      </c>
      <c r="Q1569" s="6"/>
      <c r="R1569" s="6"/>
      <c r="S1569" s="6"/>
      <c r="T1569" s="6"/>
    </row>
    <row r="1570" spans="1:20">
      <c r="A1570" s="6" t="s">
        <v>1723</v>
      </c>
      <c r="B1570" s="6" t="s">
        <v>69</v>
      </c>
      <c r="C1570" s="6" t="s">
        <v>90</v>
      </c>
      <c r="D1570" s="6" t="s">
        <v>119</v>
      </c>
      <c r="E1570" s="6" t="s">
        <v>120</v>
      </c>
      <c r="F1570" s="7">
        <v>26</v>
      </c>
      <c r="G1570" s="7">
        <v>3250</v>
      </c>
      <c r="H1570" s="16">
        <v>45237</v>
      </c>
      <c r="I1570" s="6">
        <v>45</v>
      </c>
      <c r="J1570" s="6" t="s">
        <v>121</v>
      </c>
      <c r="K1570" s="6" t="s">
        <v>122</v>
      </c>
      <c r="L1570" s="11">
        <f>F1570*Controls!$B$6</f>
        <v>26</v>
      </c>
      <c r="M1570" s="11">
        <f>G1570*Controls!$B$6</f>
        <v>3250</v>
      </c>
      <c r="N1570" s="12">
        <f>IF(L1570=0,0,SUMIFS('PSI Plan'!$N$6:$N$173,'PSI Plan'!$B$6:$B$173,B1570,'PSI Plan'!$C$6:$C$173,I1570))</f>
        <v>0</v>
      </c>
      <c r="O1570" s="11">
        <f t="shared" si="48"/>
        <v>0</v>
      </c>
      <c r="P1570" s="11">
        <f t="shared" si="49"/>
        <v>0</v>
      </c>
      <c r="Q1570" s="6"/>
      <c r="R1570" s="6"/>
      <c r="S1570" s="6"/>
      <c r="T1570" s="6"/>
    </row>
    <row r="1571" spans="1:20">
      <c r="A1571" s="6" t="s">
        <v>1724</v>
      </c>
      <c r="B1571" s="6" t="s">
        <v>77</v>
      </c>
      <c r="C1571" s="6" t="s">
        <v>90</v>
      </c>
      <c r="D1571" s="6" t="s">
        <v>119</v>
      </c>
      <c r="E1571" s="6" t="s">
        <v>120</v>
      </c>
      <c r="F1571" s="7">
        <v>13</v>
      </c>
      <c r="G1571" s="7">
        <v>1625</v>
      </c>
      <c r="H1571" s="16">
        <v>45240</v>
      </c>
      <c r="I1571" s="6">
        <v>45</v>
      </c>
      <c r="J1571" s="6" t="s">
        <v>121</v>
      </c>
      <c r="K1571" s="6" t="s">
        <v>171</v>
      </c>
      <c r="L1571" s="11">
        <f>F1571*Controls!$B$6</f>
        <v>13</v>
      </c>
      <c r="M1571" s="11">
        <f>G1571*Controls!$B$6</f>
        <v>1625</v>
      </c>
      <c r="N1571" s="12">
        <f>IF(L1571=0,0,SUMIFS('PSI Plan'!$N$6:$N$173,'PSI Plan'!$B$6:$B$173,B1571,'PSI Plan'!$C$6:$C$173,I1571))</f>
        <v>0</v>
      </c>
      <c r="O1571" s="11">
        <f t="shared" si="48"/>
        <v>0</v>
      </c>
      <c r="P1571" s="11">
        <f t="shared" si="49"/>
        <v>0</v>
      </c>
      <c r="Q1571" s="6"/>
      <c r="R1571" s="6"/>
      <c r="S1571" s="6"/>
      <c r="T1571" s="6"/>
    </row>
    <row r="1572" spans="1:20">
      <c r="A1572" s="6" t="s">
        <v>1725</v>
      </c>
      <c r="B1572" s="6" t="s">
        <v>69</v>
      </c>
      <c r="C1572" s="6" t="s">
        <v>90</v>
      </c>
      <c r="D1572" s="6" t="s">
        <v>119</v>
      </c>
      <c r="E1572" s="6" t="s">
        <v>120</v>
      </c>
      <c r="F1572" s="7">
        <v>13</v>
      </c>
      <c r="G1572" s="7">
        <v>1625</v>
      </c>
      <c r="H1572" s="16">
        <v>45245</v>
      </c>
      <c r="I1572" s="6">
        <v>46</v>
      </c>
      <c r="J1572" s="6" t="s">
        <v>121</v>
      </c>
      <c r="K1572" s="6" t="s">
        <v>171</v>
      </c>
      <c r="L1572" s="11">
        <f>F1572*Controls!$B$6</f>
        <v>13</v>
      </c>
      <c r="M1572" s="11">
        <f>G1572*Controls!$B$6</f>
        <v>1625</v>
      </c>
      <c r="N1572" s="12">
        <f>IF(L1572=0,0,SUMIFS('PSI Plan'!$N$6:$N$173,'PSI Plan'!$B$6:$B$173,B1572,'PSI Plan'!$C$6:$C$173,I1572))</f>
        <v>0</v>
      </c>
      <c r="O1572" s="11">
        <f t="shared" si="48"/>
        <v>0</v>
      </c>
      <c r="P1572" s="11">
        <f t="shared" si="49"/>
        <v>0</v>
      </c>
      <c r="Q1572" s="6"/>
      <c r="R1572" s="6"/>
      <c r="S1572" s="6"/>
      <c r="T1572" s="6"/>
    </row>
    <row r="1573" spans="1:20">
      <c r="A1573" s="6" t="s">
        <v>1726</v>
      </c>
      <c r="B1573" s="6" t="s">
        <v>66</v>
      </c>
      <c r="C1573" s="6" t="s">
        <v>90</v>
      </c>
      <c r="D1573" s="6" t="s">
        <v>119</v>
      </c>
      <c r="E1573" s="6" t="s">
        <v>120</v>
      </c>
      <c r="F1573" s="7">
        <v>39</v>
      </c>
      <c r="G1573" s="7">
        <v>4875</v>
      </c>
      <c r="H1573" s="16">
        <v>45224</v>
      </c>
      <c r="I1573" s="6">
        <v>43</v>
      </c>
      <c r="J1573" s="6" t="s">
        <v>121</v>
      </c>
      <c r="K1573" s="6" t="s">
        <v>171</v>
      </c>
      <c r="L1573" s="11">
        <f>F1573*Controls!$B$6</f>
        <v>39</v>
      </c>
      <c r="M1573" s="11">
        <f>G1573*Controls!$B$6</f>
        <v>4875</v>
      </c>
      <c r="N1573" s="12">
        <f>IF(L1573=0,0,SUMIFS('PSI Plan'!$N$6:$N$173,'PSI Plan'!$B$6:$B$173,B1573,'PSI Plan'!$C$6:$C$173,I1573))</f>
        <v>0</v>
      </c>
      <c r="O1573" s="11">
        <f t="shared" si="48"/>
        <v>0</v>
      </c>
      <c r="P1573" s="11">
        <f t="shared" si="49"/>
        <v>0</v>
      </c>
      <c r="Q1573" s="6"/>
      <c r="R1573" s="6"/>
      <c r="S1573" s="6"/>
      <c r="T1573" s="6"/>
    </row>
    <row r="1574" spans="1:20">
      <c r="A1574" s="6" t="s">
        <v>1727</v>
      </c>
      <c r="B1574" s="6" t="s">
        <v>69</v>
      </c>
      <c r="C1574" s="6" t="s">
        <v>99</v>
      </c>
      <c r="D1574" s="6" t="s">
        <v>119</v>
      </c>
      <c r="E1574" s="6" t="s">
        <v>120</v>
      </c>
      <c r="F1574" s="7">
        <v>52</v>
      </c>
      <c r="G1574" s="7">
        <v>6500</v>
      </c>
      <c r="H1574" s="16">
        <v>45227</v>
      </c>
      <c r="I1574" s="6">
        <v>43</v>
      </c>
      <c r="J1574" s="6" t="s">
        <v>121</v>
      </c>
      <c r="K1574" s="6" t="s">
        <v>298</v>
      </c>
      <c r="L1574" s="11">
        <f>F1574*Controls!$B$6</f>
        <v>52</v>
      </c>
      <c r="M1574" s="11">
        <f>G1574*Controls!$B$6</f>
        <v>6500</v>
      </c>
      <c r="N1574" s="12">
        <f>IF(L1574=0,0,SUMIFS('PSI Plan'!$N$6:$N$173,'PSI Plan'!$B$6:$B$173,B1574,'PSI Plan'!$C$6:$C$173,I1574))</f>
        <v>0</v>
      </c>
      <c r="O1574" s="11">
        <f t="shared" si="48"/>
        <v>0</v>
      </c>
      <c r="P1574" s="11">
        <f t="shared" si="49"/>
        <v>0</v>
      </c>
      <c r="Q1574" s="6"/>
      <c r="R1574" s="6"/>
      <c r="S1574" s="6"/>
      <c r="T1574" s="6"/>
    </row>
    <row r="1575" spans="1:20">
      <c r="A1575" s="6" t="s">
        <v>1728</v>
      </c>
      <c r="B1575" s="6" t="s">
        <v>69</v>
      </c>
      <c r="C1575" s="6" t="s">
        <v>99</v>
      </c>
      <c r="D1575" s="6" t="s">
        <v>119</v>
      </c>
      <c r="E1575" s="6" t="s">
        <v>120</v>
      </c>
      <c r="F1575" s="7">
        <v>52</v>
      </c>
      <c r="G1575" s="7">
        <v>6500</v>
      </c>
      <c r="H1575" s="16">
        <v>45222</v>
      </c>
      <c r="I1575" s="6">
        <v>43</v>
      </c>
      <c r="J1575" s="6" t="s">
        <v>121</v>
      </c>
      <c r="K1575" s="6" t="s">
        <v>122</v>
      </c>
      <c r="L1575" s="11">
        <f>F1575*Controls!$B$6</f>
        <v>52</v>
      </c>
      <c r="M1575" s="11">
        <f>G1575*Controls!$B$6</f>
        <v>6500</v>
      </c>
      <c r="N1575" s="12">
        <f>IF(L1575=0,0,SUMIFS('PSI Plan'!$N$6:$N$173,'PSI Plan'!$B$6:$B$173,B1575,'PSI Plan'!$C$6:$C$173,I1575))</f>
        <v>0</v>
      </c>
      <c r="O1575" s="11">
        <f t="shared" si="48"/>
        <v>0</v>
      </c>
      <c r="P1575" s="11">
        <f t="shared" si="49"/>
        <v>0</v>
      </c>
      <c r="Q1575" s="6"/>
      <c r="R1575" s="6"/>
      <c r="S1575" s="6"/>
      <c r="T1575" s="6"/>
    </row>
    <row r="1576" spans="1:20">
      <c r="A1576" s="6" t="s">
        <v>1729</v>
      </c>
      <c r="B1576" s="6" t="s">
        <v>77</v>
      </c>
      <c r="C1576" s="6" t="s">
        <v>99</v>
      </c>
      <c r="D1576" s="6" t="s">
        <v>119</v>
      </c>
      <c r="E1576" s="6" t="s">
        <v>120</v>
      </c>
      <c r="F1576" s="7">
        <v>52</v>
      </c>
      <c r="G1576" s="7">
        <v>6500</v>
      </c>
      <c r="H1576" s="16">
        <v>45265</v>
      </c>
      <c r="I1576" s="6">
        <v>49</v>
      </c>
      <c r="J1576" s="6" t="s">
        <v>121</v>
      </c>
      <c r="K1576" s="6" t="s">
        <v>122</v>
      </c>
      <c r="L1576" s="11">
        <f>F1576*Controls!$B$6</f>
        <v>52</v>
      </c>
      <c r="M1576" s="11">
        <f>G1576*Controls!$B$6</f>
        <v>6500</v>
      </c>
      <c r="N1576" s="12">
        <f>IF(L1576=0,0,SUMIFS('PSI Plan'!$N$6:$N$173,'PSI Plan'!$B$6:$B$173,B1576,'PSI Plan'!$C$6:$C$173,I1576))</f>
        <v>0</v>
      </c>
      <c r="O1576" s="11">
        <f t="shared" si="48"/>
        <v>0</v>
      </c>
      <c r="P1576" s="11">
        <f t="shared" si="49"/>
        <v>0</v>
      </c>
      <c r="Q1576" s="6"/>
      <c r="R1576" s="6"/>
      <c r="S1576" s="6"/>
      <c r="T1576" s="6"/>
    </row>
    <row r="1577" spans="1:20">
      <c r="A1577" s="6" t="s">
        <v>1730</v>
      </c>
      <c r="B1577" s="6" t="s">
        <v>66</v>
      </c>
      <c r="C1577" s="6" t="s">
        <v>99</v>
      </c>
      <c r="D1577" s="6" t="s">
        <v>319</v>
      </c>
      <c r="E1577" s="6" t="s">
        <v>120</v>
      </c>
      <c r="F1577" s="7">
        <v>22</v>
      </c>
      <c r="G1577" s="7">
        <v>2750</v>
      </c>
      <c r="H1577" s="16">
        <v>45285</v>
      </c>
      <c r="I1577" s="6">
        <v>52</v>
      </c>
      <c r="J1577" s="6" t="s">
        <v>121</v>
      </c>
      <c r="K1577" s="6" t="s">
        <v>1576</v>
      </c>
      <c r="L1577" s="11">
        <f>F1577*Controls!$B$6</f>
        <v>22</v>
      </c>
      <c r="M1577" s="11">
        <f>G1577*Controls!$B$6</f>
        <v>2750</v>
      </c>
      <c r="N1577" s="12">
        <f>IF(L1577=0,0,SUMIFS('PSI Plan'!$N$6:$N$173,'PSI Plan'!$B$6:$B$173,B1577,'PSI Plan'!$C$6:$C$173,I1577))</f>
        <v>0</v>
      </c>
      <c r="O1577" s="11">
        <f t="shared" si="48"/>
        <v>0</v>
      </c>
      <c r="P1577" s="11">
        <f t="shared" si="49"/>
        <v>0</v>
      </c>
      <c r="Q1577" s="6"/>
      <c r="R1577" s="6"/>
      <c r="S1577" s="6"/>
      <c r="T1577" s="6"/>
    </row>
    <row r="1578" spans="1:20">
      <c r="A1578" s="6" t="s">
        <v>1731</v>
      </c>
      <c r="B1578" s="6" t="s">
        <v>77</v>
      </c>
      <c r="C1578" s="6" t="s">
        <v>99</v>
      </c>
      <c r="D1578" s="6" t="s">
        <v>319</v>
      </c>
      <c r="E1578" s="6" t="s">
        <v>120</v>
      </c>
      <c r="F1578" s="7">
        <v>10</v>
      </c>
      <c r="G1578" s="7">
        <v>1250</v>
      </c>
      <c r="H1578" s="16">
        <v>45287</v>
      </c>
      <c r="I1578" s="6">
        <v>52</v>
      </c>
      <c r="J1578" s="6" t="s">
        <v>121</v>
      </c>
      <c r="K1578" s="6" t="s">
        <v>1576</v>
      </c>
      <c r="L1578" s="11">
        <f>F1578*Controls!$B$6</f>
        <v>10</v>
      </c>
      <c r="M1578" s="11">
        <f>G1578*Controls!$B$6</f>
        <v>1250</v>
      </c>
      <c r="N1578" s="12">
        <f>IF(L1578=0,0,SUMIFS('PSI Plan'!$N$6:$N$173,'PSI Plan'!$B$6:$B$173,B1578,'PSI Plan'!$C$6:$C$173,I1578))</f>
        <v>0</v>
      </c>
      <c r="O1578" s="11">
        <f t="shared" si="48"/>
        <v>0</v>
      </c>
      <c r="P1578" s="11">
        <f t="shared" si="49"/>
        <v>0</v>
      </c>
      <c r="Q1578" s="6"/>
      <c r="R1578" s="6"/>
      <c r="S1578" s="6"/>
      <c r="T1578" s="6"/>
    </row>
    <row r="1579" spans="1:20">
      <c r="A1579" s="6" t="s">
        <v>1732</v>
      </c>
      <c r="B1579" s="6" t="s">
        <v>69</v>
      </c>
      <c r="C1579" s="6" t="s">
        <v>99</v>
      </c>
      <c r="D1579" s="6" t="s">
        <v>319</v>
      </c>
      <c r="E1579" s="6" t="s">
        <v>120</v>
      </c>
      <c r="F1579" s="7">
        <v>28</v>
      </c>
      <c r="G1579" s="7">
        <v>3500</v>
      </c>
      <c r="H1579" s="16">
        <v>45255</v>
      </c>
      <c r="I1579" s="6">
        <v>47</v>
      </c>
      <c r="J1579" s="6" t="s">
        <v>121</v>
      </c>
      <c r="K1579" s="6" t="s">
        <v>1576</v>
      </c>
      <c r="L1579" s="11">
        <f>F1579*Controls!$B$6</f>
        <v>28</v>
      </c>
      <c r="M1579" s="11">
        <f>G1579*Controls!$B$6</f>
        <v>3500</v>
      </c>
      <c r="N1579" s="12">
        <f>IF(L1579=0,0,SUMIFS('PSI Plan'!$N$6:$N$173,'PSI Plan'!$B$6:$B$173,B1579,'PSI Plan'!$C$6:$C$173,I1579))</f>
        <v>0</v>
      </c>
      <c r="O1579" s="11">
        <f t="shared" si="48"/>
        <v>0</v>
      </c>
      <c r="P1579" s="11">
        <f t="shared" si="49"/>
        <v>0</v>
      </c>
      <c r="Q1579" s="6"/>
      <c r="R1579" s="6"/>
      <c r="S1579" s="6"/>
      <c r="T1579" s="6"/>
    </row>
    <row r="1580" spans="1:20">
      <c r="A1580" s="6" t="s">
        <v>1733</v>
      </c>
      <c r="B1580" s="6" t="s">
        <v>66</v>
      </c>
      <c r="C1580" s="6" t="s">
        <v>99</v>
      </c>
      <c r="D1580" s="6" t="s">
        <v>319</v>
      </c>
      <c r="E1580" s="6" t="s">
        <v>120</v>
      </c>
      <c r="F1580" s="7">
        <v>6</v>
      </c>
      <c r="G1580" s="7">
        <v>750</v>
      </c>
      <c r="H1580" s="16">
        <v>45244</v>
      </c>
      <c r="I1580" s="6">
        <v>46</v>
      </c>
      <c r="J1580" s="6" t="s">
        <v>121</v>
      </c>
      <c r="K1580" s="6" t="s">
        <v>459</v>
      </c>
      <c r="L1580" s="11">
        <f>F1580*Controls!$B$6</f>
        <v>6</v>
      </c>
      <c r="M1580" s="11">
        <f>G1580*Controls!$B$6</f>
        <v>750</v>
      </c>
      <c r="N1580" s="12">
        <f>IF(L1580=0,0,SUMIFS('PSI Plan'!$N$6:$N$173,'PSI Plan'!$B$6:$B$173,B1580,'PSI Plan'!$C$6:$C$173,I1580))</f>
        <v>0</v>
      </c>
      <c r="O1580" s="11">
        <f t="shared" si="48"/>
        <v>0</v>
      </c>
      <c r="P1580" s="11">
        <f t="shared" si="49"/>
        <v>0</v>
      </c>
      <c r="Q1580" s="6"/>
      <c r="R1580" s="6"/>
      <c r="S1580" s="6"/>
      <c r="T1580" s="6"/>
    </row>
    <row r="1581" spans="1:20">
      <c r="A1581" s="6" t="s">
        <v>1734</v>
      </c>
      <c r="B1581" s="6" t="s">
        <v>77</v>
      </c>
      <c r="C1581" s="6" t="s">
        <v>99</v>
      </c>
      <c r="D1581" s="6" t="s">
        <v>319</v>
      </c>
      <c r="E1581" s="6" t="s">
        <v>120</v>
      </c>
      <c r="F1581" s="7">
        <v>40</v>
      </c>
      <c r="G1581" s="7">
        <v>5000</v>
      </c>
      <c r="H1581" s="16">
        <v>45227</v>
      </c>
      <c r="I1581" s="6">
        <v>43</v>
      </c>
      <c r="J1581" s="6" t="s">
        <v>121</v>
      </c>
      <c r="K1581" s="6" t="s">
        <v>459</v>
      </c>
      <c r="L1581" s="11">
        <f>F1581*Controls!$B$6</f>
        <v>40</v>
      </c>
      <c r="M1581" s="11">
        <f>G1581*Controls!$B$6</f>
        <v>5000</v>
      </c>
      <c r="N1581" s="12">
        <f>IF(L1581=0,0,SUMIFS('PSI Plan'!$N$6:$N$173,'PSI Plan'!$B$6:$B$173,B1581,'PSI Plan'!$C$6:$C$173,I1581))</f>
        <v>0</v>
      </c>
      <c r="O1581" s="11">
        <f t="shared" si="48"/>
        <v>0</v>
      </c>
      <c r="P1581" s="11">
        <f t="shared" si="49"/>
        <v>0</v>
      </c>
      <c r="Q1581" s="6"/>
      <c r="R1581" s="6"/>
      <c r="S1581" s="6"/>
      <c r="T1581" s="6"/>
    </row>
    <row r="1582" spans="1:20">
      <c r="A1582" s="6" t="s">
        <v>1735</v>
      </c>
      <c r="B1582" s="6" t="s">
        <v>67</v>
      </c>
      <c r="C1582" s="6" t="s">
        <v>99</v>
      </c>
      <c r="D1582" s="6" t="s">
        <v>319</v>
      </c>
      <c r="E1582" s="6" t="s">
        <v>120</v>
      </c>
      <c r="F1582" s="7">
        <v>36</v>
      </c>
      <c r="G1582" s="7">
        <v>4500</v>
      </c>
      <c r="H1582" s="16">
        <v>45206</v>
      </c>
      <c r="I1582" s="6">
        <v>40</v>
      </c>
      <c r="J1582" s="6" t="s">
        <v>121</v>
      </c>
      <c r="K1582" s="6" t="s">
        <v>459</v>
      </c>
      <c r="L1582" s="11">
        <f>F1582*Controls!$B$6</f>
        <v>36</v>
      </c>
      <c r="M1582" s="11">
        <f>G1582*Controls!$B$6</f>
        <v>4500</v>
      </c>
      <c r="N1582" s="12">
        <f>IF(L1582=0,0,SUMIFS('PSI Plan'!$N$6:$N$173,'PSI Plan'!$B$6:$B$173,B1582,'PSI Plan'!$C$6:$C$173,I1582))</f>
        <v>0</v>
      </c>
      <c r="O1582" s="11">
        <f t="shared" si="48"/>
        <v>0</v>
      </c>
      <c r="P1582" s="11">
        <f t="shared" si="49"/>
        <v>0</v>
      </c>
      <c r="Q1582" s="6"/>
      <c r="R1582" s="6"/>
      <c r="S1582" s="6"/>
      <c r="T1582" s="6"/>
    </row>
    <row r="1583" spans="1:20">
      <c r="A1583" s="6" t="s">
        <v>1736</v>
      </c>
      <c r="B1583" s="6" t="s">
        <v>66</v>
      </c>
      <c r="C1583" s="6" t="s">
        <v>99</v>
      </c>
      <c r="D1583" s="6" t="s">
        <v>319</v>
      </c>
      <c r="E1583" s="6" t="s">
        <v>120</v>
      </c>
      <c r="F1583" s="7">
        <v>52</v>
      </c>
      <c r="G1583" s="7">
        <v>6500</v>
      </c>
      <c r="H1583" s="16">
        <v>45285</v>
      </c>
      <c r="I1583" s="6">
        <v>52</v>
      </c>
      <c r="J1583" s="6" t="s">
        <v>121</v>
      </c>
      <c r="K1583" s="6" t="s">
        <v>324</v>
      </c>
      <c r="L1583" s="11">
        <f>F1583*Controls!$B$6</f>
        <v>52</v>
      </c>
      <c r="M1583" s="11">
        <f>G1583*Controls!$B$6</f>
        <v>6500</v>
      </c>
      <c r="N1583" s="12">
        <f>IF(L1583=0,0,SUMIFS('PSI Plan'!$N$6:$N$173,'PSI Plan'!$B$6:$B$173,B1583,'PSI Plan'!$C$6:$C$173,I1583))</f>
        <v>0</v>
      </c>
      <c r="O1583" s="11">
        <f t="shared" si="48"/>
        <v>0</v>
      </c>
      <c r="P1583" s="11">
        <f t="shared" si="49"/>
        <v>0</v>
      </c>
      <c r="Q1583" s="6"/>
      <c r="R1583" s="6"/>
      <c r="S1583" s="6"/>
      <c r="T1583" s="6"/>
    </row>
    <row r="1584" spans="1:20">
      <c r="A1584" s="6" t="s">
        <v>1737</v>
      </c>
      <c r="B1584" s="6" t="s">
        <v>77</v>
      </c>
      <c r="C1584" s="6" t="s">
        <v>99</v>
      </c>
      <c r="D1584" s="6" t="s">
        <v>319</v>
      </c>
      <c r="E1584" s="6" t="s">
        <v>120</v>
      </c>
      <c r="F1584" s="7">
        <v>52</v>
      </c>
      <c r="G1584" s="7">
        <v>6500</v>
      </c>
      <c r="H1584" s="16">
        <v>45217</v>
      </c>
      <c r="I1584" s="6">
        <v>42</v>
      </c>
      <c r="J1584" s="6" t="s">
        <v>121</v>
      </c>
      <c r="K1584" s="6" t="s">
        <v>324</v>
      </c>
      <c r="L1584" s="11">
        <f>F1584*Controls!$B$6</f>
        <v>52</v>
      </c>
      <c r="M1584" s="11">
        <f>G1584*Controls!$B$6</f>
        <v>6500</v>
      </c>
      <c r="N1584" s="12">
        <f>IF(L1584=0,0,SUMIFS('PSI Plan'!$N$6:$N$173,'PSI Plan'!$B$6:$B$173,B1584,'PSI Plan'!$C$6:$C$173,I1584))</f>
        <v>0</v>
      </c>
      <c r="O1584" s="11">
        <f t="shared" si="48"/>
        <v>0</v>
      </c>
      <c r="P1584" s="11">
        <f t="shared" si="49"/>
        <v>0</v>
      </c>
      <c r="Q1584" s="6"/>
      <c r="R1584" s="6"/>
      <c r="S1584" s="6"/>
      <c r="T1584" s="6"/>
    </row>
    <row r="1585" spans="1:20">
      <c r="A1585" s="6" t="s">
        <v>1738</v>
      </c>
      <c r="B1585" s="6" t="s">
        <v>69</v>
      </c>
      <c r="C1585" s="6" t="s">
        <v>99</v>
      </c>
      <c r="D1585" s="6" t="s">
        <v>319</v>
      </c>
      <c r="E1585" s="6" t="s">
        <v>120</v>
      </c>
      <c r="F1585" s="7">
        <v>52</v>
      </c>
      <c r="G1585" s="7">
        <v>6500</v>
      </c>
      <c r="H1585" s="16">
        <v>45277</v>
      </c>
      <c r="I1585" s="6">
        <v>51</v>
      </c>
      <c r="J1585" s="6" t="s">
        <v>121</v>
      </c>
      <c r="K1585" s="6" t="s">
        <v>324</v>
      </c>
      <c r="L1585" s="11">
        <f>F1585*Controls!$B$6</f>
        <v>52</v>
      </c>
      <c r="M1585" s="11">
        <f>G1585*Controls!$B$6</f>
        <v>6500</v>
      </c>
      <c r="N1585" s="12">
        <f>IF(L1585=0,0,SUMIFS('PSI Plan'!$N$6:$N$173,'PSI Plan'!$B$6:$B$173,B1585,'PSI Plan'!$C$6:$C$173,I1585))</f>
        <v>0</v>
      </c>
      <c r="O1585" s="11">
        <f t="shared" si="48"/>
        <v>0</v>
      </c>
      <c r="P1585" s="11">
        <f t="shared" si="49"/>
        <v>0</v>
      </c>
      <c r="Q1585" s="6"/>
      <c r="R1585" s="6"/>
      <c r="S1585" s="6"/>
      <c r="T1585" s="6"/>
    </row>
    <row r="1586" spans="1:20">
      <c r="A1586" s="6" t="s">
        <v>1739</v>
      </c>
      <c r="B1586" s="6" t="s">
        <v>66</v>
      </c>
      <c r="C1586" s="6" t="s">
        <v>102</v>
      </c>
      <c r="D1586" s="6" t="s">
        <v>567</v>
      </c>
      <c r="E1586" s="6" t="s">
        <v>120</v>
      </c>
      <c r="F1586" s="7">
        <v>60</v>
      </c>
      <c r="G1586" s="7">
        <v>7500</v>
      </c>
      <c r="H1586" s="16">
        <v>45288</v>
      </c>
      <c r="I1586" s="6">
        <v>52</v>
      </c>
      <c r="J1586" s="6" t="s">
        <v>121</v>
      </c>
      <c r="K1586" s="6" t="s">
        <v>1740</v>
      </c>
      <c r="L1586" s="11">
        <f>F1586*Controls!$B$6</f>
        <v>60</v>
      </c>
      <c r="M1586" s="11">
        <f>G1586*Controls!$B$6</f>
        <v>7500</v>
      </c>
      <c r="N1586" s="12">
        <f>IF(L1586=0,0,SUMIFS('PSI Plan'!$N$6:$N$173,'PSI Plan'!$B$6:$B$173,B1586,'PSI Plan'!$C$6:$C$173,I1586))</f>
        <v>0</v>
      </c>
      <c r="O1586" s="11">
        <f t="shared" si="48"/>
        <v>0</v>
      </c>
      <c r="P1586" s="11">
        <f t="shared" si="49"/>
        <v>0</v>
      </c>
      <c r="Q1586" s="6"/>
      <c r="R1586" s="6"/>
      <c r="S1586" s="6"/>
      <c r="T1586" s="6"/>
    </row>
    <row r="1587" spans="1:20">
      <c r="A1587" s="6" t="s">
        <v>1741</v>
      </c>
      <c r="B1587" s="6" t="s">
        <v>77</v>
      </c>
      <c r="C1587" s="6" t="s">
        <v>102</v>
      </c>
      <c r="D1587" s="6" t="s">
        <v>567</v>
      </c>
      <c r="E1587" s="6" t="s">
        <v>120</v>
      </c>
      <c r="F1587" s="7">
        <v>50</v>
      </c>
      <c r="G1587" s="7">
        <v>6250</v>
      </c>
      <c r="H1587" s="16">
        <v>45233</v>
      </c>
      <c r="I1587" s="6">
        <v>44</v>
      </c>
      <c r="J1587" s="6" t="s">
        <v>121</v>
      </c>
      <c r="K1587" s="6" t="s">
        <v>1740</v>
      </c>
      <c r="L1587" s="11">
        <f>F1587*Controls!$B$6</f>
        <v>50</v>
      </c>
      <c r="M1587" s="11">
        <f>G1587*Controls!$B$6</f>
        <v>6250</v>
      </c>
      <c r="N1587" s="12">
        <f>IF(L1587=0,0,SUMIFS('PSI Plan'!$N$6:$N$173,'PSI Plan'!$B$6:$B$173,B1587,'PSI Plan'!$C$6:$C$173,I1587))</f>
        <v>0</v>
      </c>
      <c r="O1587" s="11">
        <f t="shared" si="48"/>
        <v>0</v>
      </c>
      <c r="P1587" s="11">
        <f t="shared" si="49"/>
        <v>0</v>
      </c>
      <c r="Q1587" s="6"/>
      <c r="R1587" s="6"/>
      <c r="S1587" s="6"/>
      <c r="T1587" s="6"/>
    </row>
    <row r="1588" spans="1:20">
      <c r="A1588" s="6" t="s">
        <v>1742</v>
      </c>
      <c r="B1588" s="6" t="s">
        <v>67</v>
      </c>
      <c r="C1588" s="6" t="s">
        <v>102</v>
      </c>
      <c r="D1588" s="6" t="s">
        <v>567</v>
      </c>
      <c r="E1588" s="6" t="s">
        <v>120</v>
      </c>
      <c r="F1588" s="7">
        <v>40</v>
      </c>
      <c r="G1588" s="7">
        <v>5000</v>
      </c>
      <c r="H1588" s="16">
        <v>45252</v>
      </c>
      <c r="I1588" s="6">
        <v>47</v>
      </c>
      <c r="J1588" s="6" t="s">
        <v>121</v>
      </c>
      <c r="K1588" s="6" t="s">
        <v>1740</v>
      </c>
      <c r="L1588" s="11">
        <f>F1588*Controls!$B$6</f>
        <v>40</v>
      </c>
      <c r="M1588" s="11">
        <f>G1588*Controls!$B$6</f>
        <v>5000</v>
      </c>
      <c r="N1588" s="12">
        <f>IF(L1588=0,0,SUMIFS('PSI Plan'!$N$6:$N$173,'PSI Plan'!$B$6:$B$173,B1588,'PSI Plan'!$C$6:$C$173,I1588))</f>
        <v>0</v>
      </c>
      <c r="O1588" s="11">
        <f t="shared" si="48"/>
        <v>0</v>
      </c>
      <c r="P1588" s="11">
        <f t="shared" si="49"/>
        <v>0</v>
      </c>
      <c r="Q1588" s="6"/>
      <c r="R1588" s="6"/>
      <c r="S1588" s="6"/>
      <c r="T1588" s="6"/>
    </row>
    <row r="1589" spans="1:20">
      <c r="A1589" s="6" t="s">
        <v>1743</v>
      </c>
      <c r="B1589" s="6" t="s">
        <v>69</v>
      </c>
      <c r="C1589" s="6" t="s">
        <v>102</v>
      </c>
      <c r="D1589" s="6" t="s">
        <v>567</v>
      </c>
      <c r="E1589" s="6" t="s">
        <v>120</v>
      </c>
      <c r="F1589" s="7">
        <v>60</v>
      </c>
      <c r="G1589" s="7">
        <v>7500</v>
      </c>
      <c r="H1589" s="16">
        <v>45246</v>
      </c>
      <c r="I1589" s="6">
        <v>46</v>
      </c>
      <c r="J1589" s="6" t="s">
        <v>121</v>
      </c>
      <c r="K1589" s="6" t="s">
        <v>1740</v>
      </c>
      <c r="L1589" s="11">
        <f>F1589*Controls!$B$6</f>
        <v>60</v>
      </c>
      <c r="M1589" s="11">
        <f>G1589*Controls!$B$6</f>
        <v>7500</v>
      </c>
      <c r="N1589" s="12">
        <f>IF(L1589=0,0,SUMIFS('PSI Plan'!$N$6:$N$173,'PSI Plan'!$B$6:$B$173,B1589,'PSI Plan'!$C$6:$C$173,I1589))</f>
        <v>0</v>
      </c>
      <c r="O1589" s="11">
        <f t="shared" si="48"/>
        <v>0</v>
      </c>
      <c r="P1589" s="11">
        <f t="shared" si="49"/>
        <v>0</v>
      </c>
      <c r="Q1589" s="6"/>
      <c r="R1589" s="6"/>
      <c r="S1589" s="6"/>
      <c r="T1589" s="6"/>
    </row>
    <row r="1590" spans="1:20">
      <c r="A1590" s="6" t="s">
        <v>1744</v>
      </c>
      <c r="B1590" s="6" t="s">
        <v>77</v>
      </c>
      <c r="C1590" s="6" t="s">
        <v>90</v>
      </c>
      <c r="D1590" s="6" t="s">
        <v>119</v>
      </c>
      <c r="E1590" s="6" t="s">
        <v>120</v>
      </c>
      <c r="F1590" s="7">
        <v>2</v>
      </c>
      <c r="G1590" s="7">
        <v>250</v>
      </c>
      <c r="H1590" s="16">
        <v>45251</v>
      </c>
      <c r="I1590" s="6">
        <v>47</v>
      </c>
      <c r="J1590" s="6" t="s">
        <v>121</v>
      </c>
      <c r="K1590" s="6" t="s">
        <v>725</v>
      </c>
      <c r="L1590" s="11">
        <f>F1590*Controls!$B$6</f>
        <v>2</v>
      </c>
      <c r="M1590" s="11">
        <f>G1590*Controls!$B$6</f>
        <v>250</v>
      </c>
      <c r="N1590" s="12">
        <f>IF(L1590=0,0,SUMIFS('PSI Plan'!$N$6:$N$173,'PSI Plan'!$B$6:$B$173,B1590,'PSI Plan'!$C$6:$C$173,I1590))</f>
        <v>0</v>
      </c>
      <c r="O1590" s="11">
        <f t="shared" si="48"/>
        <v>0</v>
      </c>
      <c r="P1590" s="11">
        <f t="shared" si="49"/>
        <v>0</v>
      </c>
      <c r="Q1590" s="6"/>
      <c r="R1590" s="6"/>
      <c r="S1590" s="6"/>
      <c r="T1590" s="6"/>
    </row>
    <row r="1591" spans="1:20">
      <c r="A1591" s="6" t="s">
        <v>1745</v>
      </c>
      <c r="B1591" s="6" t="s">
        <v>69</v>
      </c>
      <c r="C1591" s="6" t="s">
        <v>90</v>
      </c>
      <c r="D1591" s="6" t="s">
        <v>119</v>
      </c>
      <c r="E1591" s="6" t="s">
        <v>120</v>
      </c>
      <c r="F1591" s="7">
        <v>78</v>
      </c>
      <c r="G1591" s="7">
        <v>9750</v>
      </c>
      <c r="H1591" s="16">
        <v>45266</v>
      </c>
      <c r="I1591" s="6">
        <v>49</v>
      </c>
      <c r="J1591" s="6" t="s">
        <v>121</v>
      </c>
      <c r="K1591" s="6" t="s">
        <v>725</v>
      </c>
      <c r="L1591" s="11">
        <f>F1591*Controls!$B$6</f>
        <v>78</v>
      </c>
      <c r="M1591" s="11">
        <f>G1591*Controls!$B$6</f>
        <v>9750</v>
      </c>
      <c r="N1591" s="12">
        <f>IF(L1591=0,0,SUMIFS('PSI Plan'!$N$6:$N$173,'PSI Plan'!$B$6:$B$173,B1591,'PSI Plan'!$C$6:$C$173,I1591))</f>
        <v>0</v>
      </c>
      <c r="O1591" s="11">
        <f t="shared" si="48"/>
        <v>0</v>
      </c>
      <c r="P1591" s="11">
        <f t="shared" si="49"/>
        <v>0</v>
      </c>
      <c r="Q1591" s="6"/>
      <c r="R1591" s="6"/>
      <c r="S1591" s="6"/>
      <c r="T1591" s="6"/>
    </row>
    <row r="1592" spans="1:20">
      <c r="A1592" s="6" t="s">
        <v>1746</v>
      </c>
      <c r="B1592" s="6" t="s">
        <v>66</v>
      </c>
      <c r="C1592" s="6" t="s">
        <v>90</v>
      </c>
      <c r="D1592" s="6" t="s">
        <v>119</v>
      </c>
      <c r="E1592" s="6" t="s">
        <v>120</v>
      </c>
      <c r="F1592" s="7">
        <v>65</v>
      </c>
      <c r="G1592" s="7">
        <v>8125</v>
      </c>
      <c r="H1592" s="16">
        <v>45267</v>
      </c>
      <c r="I1592" s="6">
        <v>49</v>
      </c>
      <c r="J1592" s="6" t="s">
        <v>121</v>
      </c>
      <c r="K1592" s="6" t="s">
        <v>122</v>
      </c>
      <c r="L1592" s="11">
        <f>F1592*Controls!$B$6</f>
        <v>65</v>
      </c>
      <c r="M1592" s="11">
        <f>G1592*Controls!$B$6</f>
        <v>8125</v>
      </c>
      <c r="N1592" s="12">
        <f>IF(L1592=0,0,SUMIFS('PSI Plan'!$N$6:$N$173,'PSI Plan'!$B$6:$B$173,B1592,'PSI Plan'!$C$6:$C$173,I1592))</f>
        <v>0</v>
      </c>
      <c r="O1592" s="11">
        <f t="shared" si="48"/>
        <v>0</v>
      </c>
      <c r="P1592" s="11">
        <f t="shared" si="49"/>
        <v>0</v>
      </c>
      <c r="Q1592" s="6"/>
      <c r="R1592" s="6"/>
      <c r="S1592" s="6"/>
      <c r="T1592" s="6"/>
    </row>
    <row r="1593" spans="1:20">
      <c r="A1593" s="6" t="s">
        <v>1747</v>
      </c>
      <c r="B1593" s="6" t="s">
        <v>77</v>
      </c>
      <c r="C1593" s="6" t="s">
        <v>90</v>
      </c>
      <c r="D1593" s="6" t="s">
        <v>119</v>
      </c>
      <c r="E1593" s="6" t="s">
        <v>120</v>
      </c>
      <c r="F1593" s="7">
        <v>26</v>
      </c>
      <c r="G1593" s="7">
        <v>3250</v>
      </c>
      <c r="H1593" s="16">
        <v>45283</v>
      </c>
      <c r="I1593" s="6">
        <v>51</v>
      </c>
      <c r="J1593" s="6" t="s">
        <v>121</v>
      </c>
      <c r="K1593" s="6" t="s">
        <v>122</v>
      </c>
      <c r="L1593" s="11">
        <f>F1593*Controls!$B$6</f>
        <v>26</v>
      </c>
      <c r="M1593" s="11">
        <f>G1593*Controls!$B$6</f>
        <v>3250</v>
      </c>
      <c r="N1593" s="12">
        <f>IF(L1593=0,0,SUMIFS('PSI Plan'!$N$6:$N$173,'PSI Plan'!$B$6:$B$173,B1593,'PSI Plan'!$C$6:$C$173,I1593))</f>
        <v>0</v>
      </c>
      <c r="O1593" s="11">
        <f t="shared" si="48"/>
        <v>0</v>
      </c>
      <c r="P1593" s="11">
        <f t="shared" si="49"/>
        <v>0</v>
      </c>
      <c r="Q1593" s="6"/>
      <c r="R1593" s="6"/>
      <c r="S1593" s="6"/>
      <c r="T1593" s="6"/>
    </row>
    <row r="1594" spans="1:20">
      <c r="A1594" s="6" t="s">
        <v>1748</v>
      </c>
      <c r="B1594" s="6" t="s">
        <v>76</v>
      </c>
      <c r="C1594" s="6" t="s">
        <v>90</v>
      </c>
      <c r="D1594" s="6" t="s">
        <v>119</v>
      </c>
      <c r="E1594" s="6" t="s">
        <v>120</v>
      </c>
      <c r="F1594" s="7">
        <v>26</v>
      </c>
      <c r="G1594" s="7">
        <v>3250</v>
      </c>
      <c r="H1594" s="16">
        <v>45205</v>
      </c>
      <c r="I1594" s="6">
        <v>40</v>
      </c>
      <c r="J1594" s="6" t="s">
        <v>121</v>
      </c>
      <c r="K1594" s="6" t="s">
        <v>122</v>
      </c>
      <c r="L1594" s="11">
        <f>F1594*Controls!$B$6</f>
        <v>26</v>
      </c>
      <c r="M1594" s="11">
        <f>G1594*Controls!$B$6</f>
        <v>3250</v>
      </c>
      <c r="N1594" s="12">
        <f>IF(L1594=0,0,SUMIFS('PSI Plan'!$N$6:$N$173,'PSI Plan'!$B$6:$B$173,B1594,'PSI Plan'!$C$6:$C$173,I1594))</f>
        <v>0</v>
      </c>
      <c r="O1594" s="11">
        <f t="shared" si="48"/>
        <v>0</v>
      </c>
      <c r="P1594" s="11">
        <f t="shared" si="49"/>
        <v>0</v>
      </c>
      <c r="Q1594" s="6"/>
      <c r="R1594" s="6"/>
      <c r="S1594" s="6"/>
      <c r="T1594" s="6"/>
    </row>
    <row r="1595" spans="1:20">
      <c r="A1595" s="6" t="s">
        <v>1749</v>
      </c>
      <c r="B1595" s="6" t="s">
        <v>67</v>
      </c>
      <c r="C1595" s="6" t="s">
        <v>90</v>
      </c>
      <c r="D1595" s="6" t="s">
        <v>119</v>
      </c>
      <c r="E1595" s="6" t="s">
        <v>120</v>
      </c>
      <c r="F1595" s="7">
        <v>13</v>
      </c>
      <c r="G1595" s="7">
        <v>1625</v>
      </c>
      <c r="H1595" s="16">
        <v>45235</v>
      </c>
      <c r="I1595" s="6">
        <v>45</v>
      </c>
      <c r="J1595" s="6" t="s">
        <v>121</v>
      </c>
      <c r="K1595" s="6" t="s">
        <v>122</v>
      </c>
      <c r="L1595" s="11">
        <f>F1595*Controls!$B$6</f>
        <v>13</v>
      </c>
      <c r="M1595" s="11">
        <f>G1595*Controls!$B$6</f>
        <v>1625</v>
      </c>
      <c r="N1595" s="12">
        <f>IF(L1595=0,0,SUMIFS('PSI Plan'!$N$6:$N$173,'PSI Plan'!$B$6:$B$173,B1595,'PSI Plan'!$C$6:$C$173,I1595))</f>
        <v>0</v>
      </c>
      <c r="O1595" s="11">
        <f t="shared" si="48"/>
        <v>0</v>
      </c>
      <c r="P1595" s="11">
        <f t="shared" si="49"/>
        <v>0</v>
      </c>
      <c r="Q1595" s="6"/>
      <c r="R1595" s="6"/>
      <c r="S1595" s="6"/>
      <c r="T1595" s="6"/>
    </row>
    <row r="1596" spans="1:20">
      <c r="A1596" s="6" t="s">
        <v>1750</v>
      </c>
      <c r="B1596" s="6" t="s">
        <v>69</v>
      </c>
      <c r="C1596" s="6" t="s">
        <v>90</v>
      </c>
      <c r="D1596" s="6" t="s">
        <v>119</v>
      </c>
      <c r="E1596" s="6" t="s">
        <v>120</v>
      </c>
      <c r="F1596" s="7">
        <v>52</v>
      </c>
      <c r="G1596" s="7">
        <v>6500</v>
      </c>
      <c r="H1596" s="16">
        <v>45252</v>
      </c>
      <c r="I1596" s="6">
        <v>47</v>
      </c>
      <c r="J1596" s="6" t="s">
        <v>121</v>
      </c>
      <c r="K1596" s="6" t="s">
        <v>122</v>
      </c>
      <c r="L1596" s="11">
        <f>F1596*Controls!$B$6</f>
        <v>52</v>
      </c>
      <c r="M1596" s="11">
        <f>G1596*Controls!$B$6</f>
        <v>6500</v>
      </c>
      <c r="N1596" s="12">
        <f>IF(L1596=0,0,SUMIFS('PSI Plan'!$N$6:$N$173,'PSI Plan'!$B$6:$B$173,B1596,'PSI Plan'!$C$6:$C$173,I1596))</f>
        <v>0</v>
      </c>
      <c r="O1596" s="11">
        <f t="shared" si="48"/>
        <v>0</v>
      </c>
      <c r="P1596" s="11">
        <f t="shared" si="49"/>
        <v>0</v>
      </c>
      <c r="Q1596" s="6"/>
      <c r="R1596" s="6"/>
      <c r="S1596" s="6"/>
      <c r="T1596" s="6"/>
    </row>
    <row r="1597" spans="1:20">
      <c r="A1597" s="6" t="s">
        <v>1751</v>
      </c>
      <c r="B1597" s="6" t="s">
        <v>77</v>
      </c>
      <c r="C1597" s="6" t="s">
        <v>90</v>
      </c>
      <c r="D1597" s="6" t="s">
        <v>119</v>
      </c>
      <c r="E1597" s="6" t="s">
        <v>120</v>
      </c>
      <c r="F1597" s="7">
        <v>13</v>
      </c>
      <c r="G1597" s="7">
        <v>1625</v>
      </c>
      <c r="H1597" s="16">
        <v>45249</v>
      </c>
      <c r="I1597" s="6">
        <v>47</v>
      </c>
      <c r="J1597" s="6" t="s">
        <v>121</v>
      </c>
      <c r="K1597" s="6" t="s">
        <v>855</v>
      </c>
      <c r="L1597" s="11">
        <f>F1597*Controls!$B$6</f>
        <v>13</v>
      </c>
      <c r="M1597" s="11">
        <f>G1597*Controls!$B$6</f>
        <v>1625</v>
      </c>
      <c r="N1597" s="12">
        <f>IF(L1597=0,0,SUMIFS('PSI Plan'!$N$6:$N$173,'PSI Plan'!$B$6:$B$173,B1597,'PSI Plan'!$C$6:$C$173,I1597))</f>
        <v>0</v>
      </c>
      <c r="O1597" s="11">
        <f t="shared" si="48"/>
        <v>0</v>
      </c>
      <c r="P1597" s="11">
        <f t="shared" si="49"/>
        <v>0</v>
      </c>
      <c r="Q1597" s="6"/>
      <c r="R1597" s="6"/>
      <c r="S1597" s="6"/>
      <c r="T1597" s="6"/>
    </row>
    <row r="1598" spans="1:20">
      <c r="A1598" s="6" t="s">
        <v>1752</v>
      </c>
      <c r="B1598" s="6" t="s">
        <v>76</v>
      </c>
      <c r="C1598" s="6" t="s">
        <v>90</v>
      </c>
      <c r="D1598" s="6" t="s">
        <v>119</v>
      </c>
      <c r="E1598" s="6" t="s">
        <v>120</v>
      </c>
      <c r="F1598" s="7">
        <v>26</v>
      </c>
      <c r="G1598" s="7">
        <v>3250</v>
      </c>
      <c r="H1598" s="16">
        <v>45220</v>
      </c>
      <c r="I1598" s="6">
        <v>42</v>
      </c>
      <c r="J1598" s="6" t="s">
        <v>121</v>
      </c>
      <c r="K1598" s="6" t="s">
        <v>855</v>
      </c>
      <c r="L1598" s="11">
        <f>F1598*Controls!$B$6</f>
        <v>26</v>
      </c>
      <c r="M1598" s="11">
        <f>G1598*Controls!$B$6</f>
        <v>3250</v>
      </c>
      <c r="N1598" s="12">
        <f>IF(L1598=0,0,SUMIFS('PSI Plan'!$N$6:$N$173,'PSI Plan'!$B$6:$B$173,B1598,'PSI Plan'!$C$6:$C$173,I1598))</f>
        <v>0</v>
      </c>
      <c r="O1598" s="11">
        <f t="shared" si="48"/>
        <v>0</v>
      </c>
      <c r="P1598" s="11">
        <f t="shared" si="49"/>
        <v>0</v>
      </c>
      <c r="Q1598" s="6"/>
      <c r="R1598" s="6"/>
      <c r="S1598" s="6"/>
      <c r="T1598" s="6"/>
    </row>
    <row r="1599" spans="1:20">
      <c r="A1599" s="6" t="s">
        <v>1753</v>
      </c>
      <c r="B1599" s="6" t="s">
        <v>69</v>
      </c>
      <c r="C1599" s="6" t="s">
        <v>90</v>
      </c>
      <c r="D1599" s="6" t="s">
        <v>119</v>
      </c>
      <c r="E1599" s="6" t="s">
        <v>120</v>
      </c>
      <c r="F1599" s="7">
        <v>13</v>
      </c>
      <c r="G1599" s="7">
        <v>1625</v>
      </c>
      <c r="H1599" s="16">
        <v>45257</v>
      </c>
      <c r="I1599" s="6">
        <v>48</v>
      </c>
      <c r="J1599" s="6" t="s">
        <v>121</v>
      </c>
      <c r="K1599" s="6" t="s">
        <v>855</v>
      </c>
      <c r="L1599" s="11">
        <f>F1599*Controls!$B$6</f>
        <v>13</v>
      </c>
      <c r="M1599" s="11">
        <f>G1599*Controls!$B$6</f>
        <v>1625</v>
      </c>
      <c r="N1599" s="12">
        <f>IF(L1599=0,0,SUMIFS('PSI Plan'!$N$6:$N$173,'PSI Plan'!$B$6:$B$173,B1599,'PSI Plan'!$C$6:$C$173,I1599))</f>
        <v>0</v>
      </c>
      <c r="O1599" s="11">
        <f t="shared" si="48"/>
        <v>0</v>
      </c>
      <c r="P1599" s="11">
        <f t="shared" si="49"/>
        <v>0</v>
      </c>
      <c r="Q1599" s="6"/>
      <c r="R1599" s="6"/>
      <c r="S1599" s="6"/>
      <c r="T1599" s="6"/>
    </row>
    <row r="1600" spans="1:20">
      <c r="A1600" s="6" t="s">
        <v>1754</v>
      </c>
      <c r="B1600" s="6" t="s">
        <v>66</v>
      </c>
      <c r="C1600" s="6" t="s">
        <v>90</v>
      </c>
      <c r="D1600" s="6" t="s">
        <v>119</v>
      </c>
      <c r="E1600" s="6" t="s">
        <v>120</v>
      </c>
      <c r="F1600" s="7">
        <v>6</v>
      </c>
      <c r="G1600" s="7">
        <v>750</v>
      </c>
      <c r="H1600" s="16">
        <v>45261</v>
      </c>
      <c r="I1600" s="6">
        <v>48</v>
      </c>
      <c r="J1600" s="6" t="s">
        <v>121</v>
      </c>
      <c r="K1600" s="6" t="s">
        <v>139</v>
      </c>
      <c r="L1600" s="11">
        <f>F1600*Controls!$B$6</f>
        <v>6</v>
      </c>
      <c r="M1600" s="11">
        <f>G1600*Controls!$B$6</f>
        <v>750</v>
      </c>
      <c r="N1600" s="12">
        <f>IF(L1600=0,0,SUMIFS('PSI Plan'!$N$6:$N$173,'PSI Plan'!$B$6:$B$173,B1600,'PSI Plan'!$C$6:$C$173,I1600))</f>
        <v>0</v>
      </c>
      <c r="O1600" s="11">
        <f t="shared" si="48"/>
        <v>0</v>
      </c>
      <c r="P1600" s="11">
        <f t="shared" si="49"/>
        <v>0</v>
      </c>
      <c r="Q1600" s="6"/>
      <c r="R1600" s="6"/>
      <c r="S1600" s="6"/>
      <c r="T1600" s="6"/>
    </row>
    <row r="1601" spans="1:20">
      <c r="A1601" s="6" t="s">
        <v>1755</v>
      </c>
      <c r="B1601" s="6" t="s">
        <v>77</v>
      </c>
      <c r="C1601" s="6" t="s">
        <v>90</v>
      </c>
      <c r="D1601" s="6" t="s">
        <v>119</v>
      </c>
      <c r="E1601" s="6" t="s">
        <v>120</v>
      </c>
      <c r="F1601" s="7">
        <v>13</v>
      </c>
      <c r="G1601" s="7">
        <v>1625</v>
      </c>
      <c r="H1601" s="16">
        <v>45228</v>
      </c>
      <c r="I1601" s="6">
        <v>44</v>
      </c>
      <c r="J1601" s="6" t="s">
        <v>121</v>
      </c>
      <c r="K1601" s="6" t="s">
        <v>139</v>
      </c>
      <c r="L1601" s="11">
        <f>F1601*Controls!$B$6</f>
        <v>13</v>
      </c>
      <c r="M1601" s="11">
        <f>G1601*Controls!$B$6</f>
        <v>1625</v>
      </c>
      <c r="N1601" s="12">
        <f>IF(L1601=0,0,SUMIFS('PSI Plan'!$N$6:$N$173,'PSI Plan'!$B$6:$B$173,B1601,'PSI Plan'!$C$6:$C$173,I1601))</f>
        <v>0</v>
      </c>
      <c r="O1601" s="11">
        <f t="shared" si="48"/>
        <v>0</v>
      </c>
      <c r="P1601" s="11">
        <f t="shared" si="49"/>
        <v>0</v>
      </c>
      <c r="Q1601" s="6"/>
      <c r="R1601" s="6"/>
      <c r="S1601" s="6"/>
      <c r="T1601" s="6"/>
    </row>
    <row r="1602" spans="1:20">
      <c r="A1602" s="6" t="s">
        <v>1756</v>
      </c>
      <c r="B1602" s="6" t="s">
        <v>76</v>
      </c>
      <c r="C1602" s="6" t="s">
        <v>90</v>
      </c>
      <c r="D1602" s="6" t="s">
        <v>119</v>
      </c>
      <c r="E1602" s="6" t="s">
        <v>120</v>
      </c>
      <c r="F1602" s="7">
        <v>7</v>
      </c>
      <c r="G1602" s="7">
        <v>875</v>
      </c>
      <c r="H1602" s="16">
        <v>45210</v>
      </c>
      <c r="I1602" s="6">
        <v>41</v>
      </c>
      <c r="J1602" s="6" t="s">
        <v>121</v>
      </c>
      <c r="K1602" s="6" t="s">
        <v>139</v>
      </c>
      <c r="L1602" s="11">
        <f>F1602*Controls!$B$6</f>
        <v>7</v>
      </c>
      <c r="M1602" s="11">
        <f>G1602*Controls!$B$6</f>
        <v>875</v>
      </c>
      <c r="N1602" s="12">
        <f>IF(L1602=0,0,SUMIFS('PSI Plan'!$N$6:$N$173,'PSI Plan'!$B$6:$B$173,B1602,'PSI Plan'!$C$6:$C$173,I1602))</f>
        <v>0</v>
      </c>
      <c r="O1602" s="11">
        <f t="shared" ref="O1602:O1665" si="50">L1602*N1602</f>
        <v>0</v>
      </c>
      <c r="P1602" s="11">
        <f t="shared" ref="P1602:P1665" si="51">M1602*N1602</f>
        <v>0</v>
      </c>
      <c r="Q1602" s="6"/>
      <c r="R1602" s="6"/>
      <c r="S1602" s="6"/>
      <c r="T1602" s="6"/>
    </row>
    <row r="1603" spans="1:20">
      <c r="A1603" s="6" t="s">
        <v>1757</v>
      </c>
      <c r="B1603" s="6" t="s">
        <v>69</v>
      </c>
      <c r="C1603" s="6" t="s">
        <v>90</v>
      </c>
      <c r="D1603" s="6" t="s">
        <v>119</v>
      </c>
      <c r="E1603" s="6" t="s">
        <v>120</v>
      </c>
      <c r="F1603" s="7">
        <v>13</v>
      </c>
      <c r="G1603" s="7">
        <v>1625</v>
      </c>
      <c r="H1603" s="16">
        <v>45234</v>
      </c>
      <c r="I1603" s="6">
        <v>44</v>
      </c>
      <c r="J1603" s="6" t="s">
        <v>121</v>
      </c>
      <c r="K1603" s="6" t="s">
        <v>139</v>
      </c>
      <c r="L1603" s="11">
        <f>F1603*Controls!$B$6</f>
        <v>13</v>
      </c>
      <c r="M1603" s="11">
        <f>G1603*Controls!$B$6</f>
        <v>1625</v>
      </c>
      <c r="N1603" s="12">
        <f>IF(L1603=0,0,SUMIFS('PSI Plan'!$N$6:$N$173,'PSI Plan'!$B$6:$B$173,B1603,'PSI Plan'!$C$6:$C$173,I1603))</f>
        <v>0</v>
      </c>
      <c r="O1603" s="11">
        <f t="shared" si="50"/>
        <v>0</v>
      </c>
      <c r="P1603" s="11">
        <f t="shared" si="51"/>
        <v>0</v>
      </c>
      <c r="Q1603" s="6"/>
      <c r="R1603" s="6"/>
      <c r="S1603" s="6"/>
      <c r="T1603" s="6"/>
    </row>
    <row r="1604" spans="1:20">
      <c r="A1604" s="6" t="s">
        <v>1758</v>
      </c>
      <c r="B1604" s="6" t="s">
        <v>66</v>
      </c>
      <c r="C1604" s="6" t="s">
        <v>90</v>
      </c>
      <c r="D1604" s="6" t="s">
        <v>119</v>
      </c>
      <c r="E1604" s="6" t="s">
        <v>120</v>
      </c>
      <c r="F1604" s="7">
        <v>13</v>
      </c>
      <c r="G1604" s="7">
        <v>1625</v>
      </c>
      <c r="H1604" s="16">
        <v>45276</v>
      </c>
      <c r="I1604" s="6">
        <v>50</v>
      </c>
      <c r="J1604" s="6" t="s">
        <v>121</v>
      </c>
      <c r="K1604" s="6" t="s">
        <v>171</v>
      </c>
      <c r="L1604" s="11">
        <f>F1604*Controls!$B$6</f>
        <v>13</v>
      </c>
      <c r="M1604" s="11">
        <f>G1604*Controls!$B$6</f>
        <v>1625</v>
      </c>
      <c r="N1604" s="12">
        <f>IF(L1604=0,0,SUMIFS('PSI Plan'!$N$6:$N$173,'PSI Plan'!$B$6:$B$173,B1604,'PSI Plan'!$C$6:$C$173,I1604))</f>
        <v>0</v>
      </c>
      <c r="O1604" s="11">
        <f t="shared" si="50"/>
        <v>0</v>
      </c>
      <c r="P1604" s="11">
        <f t="shared" si="51"/>
        <v>0</v>
      </c>
      <c r="Q1604" s="6"/>
      <c r="R1604" s="6"/>
      <c r="S1604" s="6"/>
      <c r="T1604" s="6"/>
    </row>
    <row r="1605" spans="1:20">
      <c r="A1605" s="6" t="s">
        <v>1759</v>
      </c>
      <c r="B1605" s="6" t="s">
        <v>77</v>
      </c>
      <c r="C1605" s="6" t="s">
        <v>90</v>
      </c>
      <c r="D1605" s="6" t="s">
        <v>119</v>
      </c>
      <c r="E1605" s="6" t="s">
        <v>120</v>
      </c>
      <c r="F1605" s="7">
        <v>13</v>
      </c>
      <c r="G1605" s="7">
        <v>1625</v>
      </c>
      <c r="H1605" s="16">
        <v>45275</v>
      </c>
      <c r="I1605" s="6">
        <v>50</v>
      </c>
      <c r="J1605" s="6" t="s">
        <v>121</v>
      </c>
      <c r="K1605" s="6" t="s">
        <v>171</v>
      </c>
      <c r="L1605" s="11">
        <f>F1605*Controls!$B$6</f>
        <v>13</v>
      </c>
      <c r="M1605" s="11">
        <f>G1605*Controls!$B$6</f>
        <v>1625</v>
      </c>
      <c r="N1605" s="12">
        <f>IF(L1605=0,0,SUMIFS('PSI Plan'!$N$6:$N$173,'PSI Plan'!$B$6:$B$173,B1605,'PSI Plan'!$C$6:$C$173,I1605))</f>
        <v>0</v>
      </c>
      <c r="O1605" s="11">
        <f t="shared" si="50"/>
        <v>0</v>
      </c>
      <c r="P1605" s="11">
        <f t="shared" si="51"/>
        <v>0</v>
      </c>
      <c r="Q1605" s="6"/>
      <c r="R1605" s="6"/>
      <c r="S1605" s="6"/>
      <c r="T1605" s="6"/>
    </row>
    <row r="1606" spans="1:20">
      <c r="A1606" s="6" t="s">
        <v>1760</v>
      </c>
      <c r="B1606" s="6" t="s">
        <v>66</v>
      </c>
      <c r="C1606" s="6" t="s">
        <v>90</v>
      </c>
      <c r="D1606" s="6" t="s">
        <v>119</v>
      </c>
      <c r="E1606" s="6" t="s">
        <v>120</v>
      </c>
      <c r="F1606" s="7">
        <v>28</v>
      </c>
      <c r="G1606" s="7">
        <v>3500</v>
      </c>
      <c r="H1606" s="16">
        <v>45209</v>
      </c>
      <c r="I1606" s="6">
        <v>41</v>
      </c>
      <c r="J1606" s="6" t="s">
        <v>121</v>
      </c>
      <c r="K1606" s="6" t="s">
        <v>122</v>
      </c>
      <c r="L1606" s="11">
        <f>F1606*Controls!$B$6</f>
        <v>28</v>
      </c>
      <c r="M1606" s="11">
        <f>G1606*Controls!$B$6</f>
        <v>3500</v>
      </c>
      <c r="N1606" s="12">
        <f>IF(L1606=0,0,SUMIFS('PSI Plan'!$N$6:$N$173,'PSI Plan'!$B$6:$B$173,B1606,'PSI Plan'!$C$6:$C$173,I1606))</f>
        <v>0.22897465437788017</v>
      </c>
      <c r="O1606" s="11">
        <f t="shared" si="50"/>
        <v>6.411290322580645</v>
      </c>
      <c r="P1606" s="11">
        <f t="shared" si="51"/>
        <v>801.41129032258061</v>
      </c>
      <c r="Q1606" s="6"/>
      <c r="R1606" s="6"/>
      <c r="S1606" s="6"/>
      <c r="T1606" s="6"/>
    </row>
    <row r="1607" spans="1:20">
      <c r="A1607" s="6" t="s">
        <v>1761</v>
      </c>
      <c r="B1607" s="6" t="s">
        <v>77</v>
      </c>
      <c r="C1607" s="6" t="s">
        <v>90</v>
      </c>
      <c r="D1607" s="6" t="s">
        <v>119</v>
      </c>
      <c r="E1607" s="6" t="s">
        <v>120</v>
      </c>
      <c r="F1607" s="7">
        <v>26</v>
      </c>
      <c r="G1607" s="7">
        <v>3250</v>
      </c>
      <c r="H1607" s="16">
        <v>45284</v>
      </c>
      <c r="I1607" s="6">
        <v>52</v>
      </c>
      <c r="J1607" s="6" t="s">
        <v>121</v>
      </c>
      <c r="K1607" s="6" t="s">
        <v>122</v>
      </c>
      <c r="L1607" s="11">
        <f>F1607*Controls!$B$6</f>
        <v>26</v>
      </c>
      <c r="M1607" s="11">
        <f>G1607*Controls!$B$6</f>
        <v>3250</v>
      </c>
      <c r="N1607" s="12">
        <f>IF(L1607=0,0,SUMIFS('PSI Plan'!$N$6:$N$173,'PSI Plan'!$B$6:$B$173,B1607,'PSI Plan'!$C$6:$C$173,I1607))</f>
        <v>0</v>
      </c>
      <c r="O1607" s="11">
        <f t="shared" si="50"/>
        <v>0</v>
      </c>
      <c r="P1607" s="11">
        <f t="shared" si="51"/>
        <v>0</v>
      </c>
      <c r="Q1607" s="6"/>
      <c r="R1607" s="6"/>
      <c r="S1607" s="6"/>
      <c r="T1607" s="6"/>
    </row>
    <row r="1608" spans="1:20">
      <c r="A1608" s="6" t="s">
        <v>1762</v>
      </c>
      <c r="B1608" s="6" t="s">
        <v>76</v>
      </c>
      <c r="C1608" s="6" t="s">
        <v>90</v>
      </c>
      <c r="D1608" s="6" t="s">
        <v>119</v>
      </c>
      <c r="E1608" s="6" t="s">
        <v>120</v>
      </c>
      <c r="F1608" s="7">
        <v>26</v>
      </c>
      <c r="G1608" s="7">
        <v>3250</v>
      </c>
      <c r="H1608" s="16">
        <v>45212</v>
      </c>
      <c r="I1608" s="6">
        <v>41</v>
      </c>
      <c r="J1608" s="6" t="s">
        <v>121</v>
      </c>
      <c r="K1608" s="6" t="s">
        <v>122</v>
      </c>
      <c r="L1608" s="11">
        <f>F1608*Controls!$B$6</f>
        <v>26</v>
      </c>
      <c r="M1608" s="11">
        <f>G1608*Controls!$B$6</f>
        <v>3250</v>
      </c>
      <c r="N1608" s="12">
        <f>IF(L1608=0,0,SUMIFS('PSI Plan'!$N$6:$N$173,'PSI Plan'!$B$6:$B$173,B1608,'PSI Plan'!$C$6:$C$173,I1608))</f>
        <v>0</v>
      </c>
      <c r="O1608" s="11">
        <f t="shared" si="50"/>
        <v>0</v>
      </c>
      <c r="P1608" s="11">
        <f t="shared" si="51"/>
        <v>0</v>
      </c>
      <c r="Q1608" s="6"/>
      <c r="R1608" s="6"/>
      <c r="S1608" s="6"/>
      <c r="T1608" s="6"/>
    </row>
    <row r="1609" spans="1:20">
      <c r="A1609" s="6" t="s">
        <v>1763</v>
      </c>
      <c r="B1609" s="6" t="s">
        <v>67</v>
      </c>
      <c r="C1609" s="6" t="s">
        <v>90</v>
      </c>
      <c r="D1609" s="6" t="s">
        <v>119</v>
      </c>
      <c r="E1609" s="6" t="s">
        <v>120</v>
      </c>
      <c r="F1609" s="7">
        <v>52</v>
      </c>
      <c r="G1609" s="7">
        <v>6500</v>
      </c>
      <c r="H1609" s="16">
        <v>45212</v>
      </c>
      <c r="I1609" s="6">
        <v>41</v>
      </c>
      <c r="J1609" s="6" t="s">
        <v>121</v>
      </c>
      <c r="K1609" s="6" t="s">
        <v>122</v>
      </c>
      <c r="L1609" s="11">
        <f>F1609*Controls!$B$6</f>
        <v>52</v>
      </c>
      <c r="M1609" s="11">
        <f>G1609*Controls!$B$6</f>
        <v>6500</v>
      </c>
      <c r="N1609" s="12">
        <f>IF(L1609=0,0,SUMIFS('PSI Plan'!$N$6:$N$173,'PSI Plan'!$B$6:$B$173,B1609,'PSI Plan'!$C$6:$C$173,I1609))</f>
        <v>0</v>
      </c>
      <c r="O1609" s="11">
        <f t="shared" si="50"/>
        <v>0</v>
      </c>
      <c r="P1609" s="11">
        <f t="shared" si="51"/>
        <v>0</v>
      </c>
      <c r="Q1609" s="6"/>
      <c r="R1609" s="6"/>
      <c r="S1609" s="6"/>
      <c r="T1609" s="6"/>
    </row>
    <row r="1610" spans="1:20">
      <c r="A1610" s="6" t="s">
        <v>1764</v>
      </c>
      <c r="B1610" s="6" t="s">
        <v>66</v>
      </c>
      <c r="C1610" s="6" t="s">
        <v>99</v>
      </c>
      <c r="D1610" s="6" t="s">
        <v>319</v>
      </c>
      <c r="E1610" s="6" t="s">
        <v>120</v>
      </c>
      <c r="F1610" s="7">
        <v>88</v>
      </c>
      <c r="G1610" s="7">
        <v>11000</v>
      </c>
      <c r="H1610" s="16">
        <v>45221</v>
      </c>
      <c r="I1610" s="6">
        <v>43</v>
      </c>
      <c r="J1610" s="6" t="s">
        <v>121</v>
      </c>
      <c r="K1610" s="6" t="s">
        <v>347</v>
      </c>
      <c r="L1610" s="11">
        <f>F1610*Controls!$B$6</f>
        <v>88</v>
      </c>
      <c r="M1610" s="11">
        <f>G1610*Controls!$B$6</f>
        <v>11000</v>
      </c>
      <c r="N1610" s="12">
        <f>IF(L1610=0,0,SUMIFS('PSI Plan'!$N$6:$N$173,'PSI Plan'!$B$6:$B$173,B1610,'PSI Plan'!$C$6:$C$173,I1610))</f>
        <v>0</v>
      </c>
      <c r="O1610" s="11">
        <f t="shared" si="50"/>
        <v>0</v>
      </c>
      <c r="P1610" s="11">
        <f t="shared" si="51"/>
        <v>0</v>
      </c>
      <c r="Q1610" s="6"/>
      <c r="R1610" s="6"/>
      <c r="S1610" s="6"/>
      <c r="T1610" s="6"/>
    </row>
    <row r="1611" spans="1:20">
      <c r="A1611" s="6" t="s">
        <v>1765</v>
      </c>
      <c r="B1611" s="6" t="s">
        <v>77</v>
      </c>
      <c r="C1611" s="6" t="s">
        <v>99</v>
      </c>
      <c r="D1611" s="6" t="s">
        <v>319</v>
      </c>
      <c r="E1611" s="6" t="s">
        <v>120</v>
      </c>
      <c r="F1611" s="7">
        <v>56</v>
      </c>
      <c r="G1611" s="7">
        <v>7000</v>
      </c>
      <c r="H1611" s="16">
        <v>45220</v>
      </c>
      <c r="I1611" s="6">
        <v>42</v>
      </c>
      <c r="J1611" s="6" t="s">
        <v>121</v>
      </c>
      <c r="K1611" s="6" t="s">
        <v>347</v>
      </c>
      <c r="L1611" s="11">
        <f>F1611*Controls!$B$6</f>
        <v>56</v>
      </c>
      <c r="M1611" s="11">
        <f>G1611*Controls!$B$6</f>
        <v>7000</v>
      </c>
      <c r="N1611" s="12">
        <f>IF(L1611=0,0,SUMIFS('PSI Plan'!$N$6:$N$173,'PSI Plan'!$B$6:$B$173,B1611,'PSI Plan'!$C$6:$C$173,I1611))</f>
        <v>0</v>
      </c>
      <c r="O1611" s="11">
        <f t="shared" si="50"/>
        <v>0</v>
      </c>
      <c r="P1611" s="11">
        <f t="shared" si="51"/>
        <v>0</v>
      </c>
      <c r="Q1611" s="6"/>
      <c r="R1611" s="6"/>
      <c r="S1611" s="6"/>
      <c r="T1611" s="6"/>
    </row>
    <row r="1612" spans="1:20">
      <c r="A1612" s="6" t="s">
        <v>1766</v>
      </c>
      <c r="B1612" s="6" t="s">
        <v>76</v>
      </c>
      <c r="C1612" s="6" t="s">
        <v>99</v>
      </c>
      <c r="D1612" s="6" t="s">
        <v>319</v>
      </c>
      <c r="E1612" s="6" t="s">
        <v>120</v>
      </c>
      <c r="F1612" s="7">
        <v>8</v>
      </c>
      <c r="G1612" s="7">
        <v>1000</v>
      </c>
      <c r="H1612" s="16">
        <v>45257</v>
      </c>
      <c r="I1612" s="6">
        <v>48</v>
      </c>
      <c r="J1612" s="6" t="s">
        <v>121</v>
      </c>
      <c r="K1612" s="6" t="s">
        <v>347</v>
      </c>
      <c r="L1612" s="11">
        <f>F1612*Controls!$B$6</f>
        <v>8</v>
      </c>
      <c r="M1612" s="11">
        <f>G1612*Controls!$B$6</f>
        <v>1000</v>
      </c>
      <c r="N1612" s="12">
        <f>IF(L1612=0,0,SUMIFS('PSI Plan'!$N$6:$N$173,'PSI Plan'!$B$6:$B$173,B1612,'PSI Plan'!$C$6:$C$173,I1612))</f>
        <v>0</v>
      </c>
      <c r="O1612" s="11">
        <f t="shared" si="50"/>
        <v>0</v>
      </c>
      <c r="P1612" s="11">
        <f t="shared" si="51"/>
        <v>0</v>
      </c>
      <c r="Q1612" s="6"/>
      <c r="R1612" s="6"/>
      <c r="S1612" s="6"/>
      <c r="T1612" s="6"/>
    </row>
    <row r="1613" spans="1:20">
      <c r="A1613" s="6" t="s">
        <v>1767</v>
      </c>
      <c r="B1613" s="6" t="s">
        <v>67</v>
      </c>
      <c r="C1613" s="6" t="s">
        <v>99</v>
      </c>
      <c r="D1613" s="6" t="s">
        <v>319</v>
      </c>
      <c r="E1613" s="6" t="s">
        <v>120</v>
      </c>
      <c r="F1613" s="7">
        <v>74</v>
      </c>
      <c r="G1613" s="7">
        <v>9250</v>
      </c>
      <c r="H1613" s="16">
        <v>45233</v>
      </c>
      <c r="I1613" s="6">
        <v>44</v>
      </c>
      <c r="J1613" s="6" t="s">
        <v>121</v>
      </c>
      <c r="K1613" s="6" t="s">
        <v>347</v>
      </c>
      <c r="L1613" s="11">
        <f>F1613*Controls!$B$6</f>
        <v>74</v>
      </c>
      <c r="M1613" s="11">
        <f>G1613*Controls!$B$6</f>
        <v>9250</v>
      </c>
      <c r="N1613" s="12">
        <f>IF(L1613=0,0,SUMIFS('PSI Plan'!$N$6:$N$173,'PSI Plan'!$B$6:$B$173,B1613,'PSI Plan'!$C$6:$C$173,I1613))</f>
        <v>0</v>
      </c>
      <c r="O1613" s="11">
        <f t="shared" si="50"/>
        <v>0</v>
      </c>
      <c r="P1613" s="11">
        <f t="shared" si="51"/>
        <v>0</v>
      </c>
      <c r="Q1613" s="6"/>
      <c r="R1613" s="6"/>
      <c r="S1613" s="6"/>
      <c r="T1613" s="6"/>
    </row>
    <row r="1614" spans="1:20">
      <c r="A1614" s="6" t="s">
        <v>1768</v>
      </c>
      <c r="B1614" s="6" t="s">
        <v>69</v>
      </c>
      <c r="C1614" s="6" t="s">
        <v>99</v>
      </c>
      <c r="D1614" s="6" t="s">
        <v>319</v>
      </c>
      <c r="E1614" s="6" t="s">
        <v>120</v>
      </c>
      <c r="F1614" s="7">
        <v>104</v>
      </c>
      <c r="G1614" s="7">
        <v>13000</v>
      </c>
      <c r="H1614" s="16">
        <v>45231</v>
      </c>
      <c r="I1614" s="6">
        <v>44</v>
      </c>
      <c r="J1614" s="6" t="s">
        <v>121</v>
      </c>
      <c r="K1614" s="6" t="s">
        <v>347</v>
      </c>
      <c r="L1614" s="11">
        <f>F1614*Controls!$B$6</f>
        <v>104</v>
      </c>
      <c r="M1614" s="11">
        <f>G1614*Controls!$B$6</f>
        <v>13000</v>
      </c>
      <c r="N1614" s="12">
        <f>IF(L1614=0,0,SUMIFS('PSI Plan'!$N$6:$N$173,'PSI Plan'!$B$6:$B$173,B1614,'PSI Plan'!$C$6:$C$173,I1614))</f>
        <v>0</v>
      </c>
      <c r="O1614" s="11">
        <f t="shared" si="50"/>
        <v>0</v>
      </c>
      <c r="P1614" s="11">
        <f t="shared" si="51"/>
        <v>0</v>
      </c>
      <c r="Q1614" s="6"/>
      <c r="R1614" s="6"/>
      <c r="S1614" s="6"/>
      <c r="T1614" s="6"/>
    </row>
    <row r="1615" spans="1:20">
      <c r="A1615" s="6" t="s">
        <v>1769</v>
      </c>
      <c r="B1615" s="6" t="s">
        <v>66</v>
      </c>
      <c r="C1615" s="6" t="s">
        <v>99</v>
      </c>
      <c r="D1615" s="6" t="s">
        <v>319</v>
      </c>
      <c r="E1615" s="6" t="s">
        <v>120</v>
      </c>
      <c r="F1615" s="7">
        <v>52</v>
      </c>
      <c r="G1615" s="7">
        <v>6500</v>
      </c>
      <c r="H1615" s="16">
        <v>45204</v>
      </c>
      <c r="I1615" s="6">
        <v>40</v>
      </c>
      <c r="J1615" s="6" t="s">
        <v>121</v>
      </c>
      <c r="K1615" s="6" t="s">
        <v>344</v>
      </c>
      <c r="L1615" s="11">
        <f>F1615*Controls!$B$6</f>
        <v>52</v>
      </c>
      <c r="M1615" s="11">
        <f>G1615*Controls!$B$6</f>
        <v>6500</v>
      </c>
      <c r="N1615" s="12">
        <f>IF(L1615=0,0,SUMIFS('PSI Plan'!$N$6:$N$173,'PSI Plan'!$B$6:$B$173,B1615,'PSI Plan'!$C$6:$C$173,I1615))</f>
        <v>0</v>
      </c>
      <c r="O1615" s="11">
        <f t="shared" si="50"/>
        <v>0</v>
      </c>
      <c r="P1615" s="11">
        <f t="shared" si="51"/>
        <v>0</v>
      </c>
      <c r="Q1615" s="6"/>
      <c r="R1615" s="6"/>
      <c r="S1615" s="6"/>
      <c r="T1615" s="6"/>
    </row>
    <row r="1616" spans="1:20">
      <c r="A1616" s="6" t="s">
        <v>1770</v>
      </c>
      <c r="B1616" s="6" t="s">
        <v>77</v>
      </c>
      <c r="C1616" s="6" t="s">
        <v>99</v>
      </c>
      <c r="D1616" s="6" t="s">
        <v>319</v>
      </c>
      <c r="E1616" s="6" t="s">
        <v>120</v>
      </c>
      <c r="F1616" s="7">
        <v>52</v>
      </c>
      <c r="G1616" s="7">
        <v>6500</v>
      </c>
      <c r="H1616" s="16">
        <v>45255</v>
      </c>
      <c r="I1616" s="6">
        <v>47</v>
      </c>
      <c r="J1616" s="6" t="s">
        <v>121</v>
      </c>
      <c r="K1616" s="6" t="s">
        <v>344</v>
      </c>
      <c r="L1616" s="11">
        <f>F1616*Controls!$B$6</f>
        <v>52</v>
      </c>
      <c r="M1616" s="11">
        <f>G1616*Controls!$B$6</f>
        <v>6500</v>
      </c>
      <c r="N1616" s="12">
        <f>IF(L1616=0,0,SUMIFS('PSI Plan'!$N$6:$N$173,'PSI Plan'!$B$6:$B$173,B1616,'PSI Plan'!$C$6:$C$173,I1616))</f>
        <v>0</v>
      </c>
      <c r="O1616" s="11">
        <f t="shared" si="50"/>
        <v>0</v>
      </c>
      <c r="P1616" s="11">
        <f t="shared" si="51"/>
        <v>0</v>
      </c>
      <c r="Q1616" s="6"/>
      <c r="R1616" s="6"/>
      <c r="S1616" s="6"/>
      <c r="T1616" s="6"/>
    </row>
    <row r="1617" spans="1:20">
      <c r="A1617" s="6" t="s">
        <v>1771</v>
      </c>
      <c r="B1617" s="6" t="s">
        <v>67</v>
      </c>
      <c r="C1617" s="6" t="s">
        <v>99</v>
      </c>
      <c r="D1617" s="6" t="s">
        <v>319</v>
      </c>
      <c r="E1617" s="6" t="s">
        <v>120</v>
      </c>
      <c r="F1617" s="7">
        <v>52</v>
      </c>
      <c r="G1617" s="7">
        <v>6500</v>
      </c>
      <c r="H1617" s="16">
        <v>45242</v>
      </c>
      <c r="I1617" s="6">
        <v>46</v>
      </c>
      <c r="J1617" s="6" t="s">
        <v>121</v>
      </c>
      <c r="K1617" s="6" t="s">
        <v>344</v>
      </c>
      <c r="L1617" s="11">
        <f>F1617*Controls!$B$6</f>
        <v>52</v>
      </c>
      <c r="M1617" s="11">
        <f>G1617*Controls!$B$6</f>
        <v>6500</v>
      </c>
      <c r="N1617" s="12">
        <f>IF(L1617=0,0,SUMIFS('PSI Plan'!$N$6:$N$173,'PSI Plan'!$B$6:$B$173,B1617,'PSI Plan'!$C$6:$C$173,I1617))</f>
        <v>0</v>
      </c>
      <c r="O1617" s="11">
        <f t="shared" si="50"/>
        <v>0</v>
      </c>
      <c r="P1617" s="11">
        <f t="shared" si="51"/>
        <v>0</v>
      </c>
      <c r="Q1617" s="6"/>
      <c r="R1617" s="6"/>
      <c r="S1617" s="6"/>
      <c r="T1617" s="6"/>
    </row>
    <row r="1618" spans="1:20">
      <c r="A1618" s="6" t="s">
        <v>1772</v>
      </c>
      <c r="B1618" s="6" t="s">
        <v>69</v>
      </c>
      <c r="C1618" s="6" t="s">
        <v>99</v>
      </c>
      <c r="D1618" s="6" t="s">
        <v>319</v>
      </c>
      <c r="E1618" s="6" t="s">
        <v>120</v>
      </c>
      <c r="F1618" s="7">
        <v>52</v>
      </c>
      <c r="G1618" s="7">
        <v>6500</v>
      </c>
      <c r="H1618" s="16">
        <v>45283</v>
      </c>
      <c r="I1618" s="6">
        <v>51</v>
      </c>
      <c r="J1618" s="6" t="s">
        <v>121</v>
      </c>
      <c r="K1618" s="6" t="s">
        <v>344</v>
      </c>
      <c r="L1618" s="11">
        <f>F1618*Controls!$B$6</f>
        <v>52</v>
      </c>
      <c r="M1618" s="11">
        <f>G1618*Controls!$B$6</f>
        <v>6500</v>
      </c>
      <c r="N1618" s="12">
        <f>IF(L1618=0,0,SUMIFS('PSI Plan'!$N$6:$N$173,'PSI Plan'!$B$6:$B$173,B1618,'PSI Plan'!$C$6:$C$173,I1618))</f>
        <v>0</v>
      </c>
      <c r="O1618" s="11">
        <f t="shared" si="50"/>
        <v>0</v>
      </c>
      <c r="P1618" s="11">
        <f t="shared" si="51"/>
        <v>0</v>
      </c>
      <c r="Q1618" s="6"/>
      <c r="R1618" s="6"/>
      <c r="S1618" s="6"/>
      <c r="T1618" s="6"/>
    </row>
    <row r="1619" spans="1:20">
      <c r="A1619" s="6" t="s">
        <v>1773</v>
      </c>
      <c r="B1619" s="6" t="s">
        <v>66</v>
      </c>
      <c r="C1619" s="6" t="s">
        <v>100</v>
      </c>
      <c r="D1619" s="6" t="s">
        <v>567</v>
      </c>
      <c r="E1619" s="6" t="s">
        <v>120</v>
      </c>
      <c r="F1619" s="7">
        <v>3</v>
      </c>
      <c r="G1619" s="7">
        <v>375</v>
      </c>
      <c r="H1619" s="16">
        <v>45224</v>
      </c>
      <c r="I1619" s="6">
        <v>43</v>
      </c>
      <c r="J1619" s="6" t="s">
        <v>121</v>
      </c>
      <c r="K1619" s="6" t="s">
        <v>781</v>
      </c>
      <c r="L1619" s="11">
        <f>F1619*Controls!$B$6</f>
        <v>3</v>
      </c>
      <c r="M1619" s="11">
        <f>G1619*Controls!$B$6</f>
        <v>375</v>
      </c>
      <c r="N1619" s="12">
        <f>IF(L1619=0,0,SUMIFS('PSI Plan'!$N$6:$N$173,'PSI Plan'!$B$6:$B$173,B1619,'PSI Plan'!$C$6:$C$173,I1619))</f>
        <v>0</v>
      </c>
      <c r="O1619" s="11">
        <f t="shared" si="50"/>
        <v>0</v>
      </c>
      <c r="P1619" s="11">
        <f t="shared" si="51"/>
        <v>0</v>
      </c>
      <c r="Q1619" s="6"/>
      <c r="R1619" s="6"/>
      <c r="S1619" s="6"/>
      <c r="T1619" s="6"/>
    </row>
    <row r="1620" spans="1:20">
      <c r="A1620" s="6" t="s">
        <v>1774</v>
      </c>
      <c r="B1620" s="6" t="s">
        <v>77</v>
      </c>
      <c r="C1620" s="6" t="s">
        <v>100</v>
      </c>
      <c r="D1620" s="6" t="s">
        <v>567</v>
      </c>
      <c r="E1620" s="6" t="s">
        <v>120</v>
      </c>
      <c r="F1620" s="7">
        <v>45</v>
      </c>
      <c r="G1620" s="7">
        <v>5625</v>
      </c>
      <c r="H1620" s="16">
        <v>45207</v>
      </c>
      <c r="I1620" s="6">
        <v>41</v>
      </c>
      <c r="J1620" s="6" t="s">
        <v>121</v>
      </c>
      <c r="K1620" s="6" t="s">
        <v>781</v>
      </c>
      <c r="L1620" s="11">
        <f>F1620*Controls!$B$6</f>
        <v>45</v>
      </c>
      <c r="M1620" s="11">
        <f>G1620*Controls!$B$6</f>
        <v>5625</v>
      </c>
      <c r="N1620" s="12">
        <f>IF(L1620=0,0,SUMIFS('PSI Plan'!$N$6:$N$173,'PSI Plan'!$B$6:$B$173,B1620,'PSI Plan'!$C$6:$C$173,I1620))</f>
        <v>0</v>
      </c>
      <c r="O1620" s="11">
        <f t="shared" si="50"/>
        <v>0</v>
      </c>
      <c r="P1620" s="11">
        <f t="shared" si="51"/>
        <v>0</v>
      </c>
      <c r="Q1620" s="6"/>
      <c r="R1620" s="6"/>
      <c r="S1620" s="6"/>
      <c r="T1620" s="6"/>
    </row>
    <row r="1621" spans="1:20">
      <c r="A1621" s="6" t="s">
        <v>1775</v>
      </c>
      <c r="B1621" s="6" t="s">
        <v>76</v>
      </c>
      <c r="C1621" s="6" t="s">
        <v>100</v>
      </c>
      <c r="D1621" s="6" t="s">
        <v>567</v>
      </c>
      <c r="E1621" s="6" t="s">
        <v>120</v>
      </c>
      <c r="F1621" s="7">
        <v>25</v>
      </c>
      <c r="G1621" s="7">
        <v>3125</v>
      </c>
      <c r="H1621" s="16">
        <v>45286</v>
      </c>
      <c r="I1621" s="6">
        <v>52</v>
      </c>
      <c r="J1621" s="6" t="s">
        <v>121</v>
      </c>
      <c r="K1621" s="6" t="s">
        <v>781</v>
      </c>
      <c r="L1621" s="11">
        <f>F1621*Controls!$B$6</f>
        <v>25</v>
      </c>
      <c r="M1621" s="11">
        <f>G1621*Controls!$B$6</f>
        <v>3125</v>
      </c>
      <c r="N1621" s="12">
        <f>IF(L1621=0,0,SUMIFS('PSI Plan'!$N$6:$N$173,'PSI Plan'!$B$6:$B$173,B1621,'PSI Plan'!$C$6:$C$173,I1621))</f>
        <v>0</v>
      </c>
      <c r="O1621" s="11">
        <f t="shared" si="50"/>
        <v>0</v>
      </c>
      <c r="P1621" s="11">
        <f t="shared" si="51"/>
        <v>0</v>
      </c>
      <c r="Q1621" s="6"/>
      <c r="R1621" s="6"/>
      <c r="S1621" s="6"/>
      <c r="T1621" s="6"/>
    </row>
    <row r="1622" spans="1:20">
      <c r="A1622" s="6" t="s">
        <v>1776</v>
      </c>
      <c r="B1622" s="6" t="s">
        <v>66</v>
      </c>
      <c r="C1622" s="6" t="s">
        <v>102</v>
      </c>
      <c r="D1622" s="6" t="s">
        <v>567</v>
      </c>
      <c r="E1622" s="6" t="s">
        <v>120</v>
      </c>
      <c r="F1622" s="7">
        <v>30</v>
      </c>
      <c r="G1622" s="7">
        <v>3750</v>
      </c>
      <c r="H1622" s="16">
        <v>45289</v>
      </c>
      <c r="I1622" s="6">
        <v>52</v>
      </c>
      <c r="J1622" s="6" t="s">
        <v>121</v>
      </c>
      <c r="K1622" s="6" t="s">
        <v>1777</v>
      </c>
      <c r="L1622" s="11">
        <f>F1622*Controls!$B$6</f>
        <v>30</v>
      </c>
      <c r="M1622" s="11">
        <f>G1622*Controls!$B$6</f>
        <v>3750</v>
      </c>
      <c r="N1622" s="12">
        <f>IF(L1622=0,0,SUMIFS('PSI Plan'!$N$6:$N$173,'PSI Plan'!$B$6:$B$173,B1622,'PSI Plan'!$C$6:$C$173,I1622))</f>
        <v>0</v>
      </c>
      <c r="O1622" s="11">
        <f t="shared" si="50"/>
        <v>0</v>
      </c>
      <c r="P1622" s="11">
        <f t="shared" si="51"/>
        <v>0</v>
      </c>
      <c r="Q1622" s="6"/>
      <c r="R1622" s="6"/>
      <c r="S1622" s="6"/>
      <c r="T1622" s="6"/>
    </row>
    <row r="1623" spans="1:20">
      <c r="A1623" s="6" t="s">
        <v>1778</v>
      </c>
      <c r="B1623" s="6" t="s">
        <v>77</v>
      </c>
      <c r="C1623" s="6" t="s">
        <v>102</v>
      </c>
      <c r="D1623" s="6" t="s">
        <v>567</v>
      </c>
      <c r="E1623" s="6" t="s">
        <v>120</v>
      </c>
      <c r="F1623" s="7">
        <v>30</v>
      </c>
      <c r="G1623" s="7">
        <v>3750</v>
      </c>
      <c r="H1623" s="16">
        <v>45249</v>
      </c>
      <c r="I1623" s="6">
        <v>47</v>
      </c>
      <c r="J1623" s="6" t="s">
        <v>121</v>
      </c>
      <c r="K1623" s="6" t="s">
        <v>1777</v>
      </c>
      <c r="L1623" s="11">
        <f>F1623*Controls!$B$6</f>
        <v>30</v>
      </c>
      <c r="M1623" s="11">
        <f>G1623*Controls!$B$6</f>
        <v>3750</v>
      </c>
      <c r="N1623" s="12">
        <f>IF(L1623=0,0,SUMIFS('PSI Plan'!$N$6:$N$173,'PSI Plan'!$B$6:$B$173,B1623,'PSI Plan'!$C$6:$C$173,I1623))</f>
        <v>0</v>
      </c>
      <c r="O1623" s="11">
        <f t="shared" si="50"/>
        <v>0</v>
      </c>
      <c r="P1623" s="11">
        <f t="shared" si="51"/>
        <v>0</v>
      </c>
      <c r="Q1623" s="6"/>
      <c r="R1623" s="6"/>
      <c r="S1623" s="6"/>
      <c r="T1623" s="6"/>
    </row>
    <row r="1624" spans="1:20">
      <c r="A1624" s="6" t="s">
        <v>1779</v>
      </c>
      <c r="B1624" s="6" t="s">
        <v>76</v>
      </c>
      <c r="C1624" s="6" t="s">
        <v>102</v>
      </c>
      <c r="D1624" s="6" t="s">
        <v>567</v>
      </c>
      <c r="E1624" s="6" t="s">
        <v>120</v>
      </c>
      <c r="F1624" s="7">
        <v>30</v>
      </c>
      <c r="G1624" s="7">
        <v>3750</v>
      </c>
      <c r="H1624" s="16">
        <v>45249</v>
      </c>
      <c r="I1624" s="6">
        <v>47</v>
      </c>
      <c r="J1624" s="6" t="s">
        <v>121</v>
      </c>
      <c r="K1624" s="6" t="s">
        <v>1777</v>
      </c>
      <c r="L1624" s="11">
        <f>F1624*Controls!$B$6</f>
        <v>30</v>
      </c>
      <c r="M1624" s="11">
        <f>G1624*Controls!$B$6</f>
        <v>3750</v>
      </c>
      <c r="N1624" s="12">
        <f>IF(L1624=0,0,SUMIFS('PSI Plan'!$N$6:$N$173,'PSI Plan'!$B$6:$B$173,B1624,'PSI Plan'!$C$6:$C$173,I1624))</f>
        <v>0</v>
      </c>
      <c r="O1624" s="11">
        <f t="shared" si="50"/>
        <v>0</v>
      </c>
      <c r="P1624" s="11">
        <f t="shared" si="51"/>
        <v>0</v>
      </c>
      <c r="Q1624" s="6"/>
      <c r="R1624" s="6"/>
      <c r="S1624" s="6"/>
      <c r="T1624" s="6"/>
    </row>
    <row r="1625" spans="1:20">
      <c r="A1625" s="6" t="s">
        <v>1780</v>
      </c>
      <c r="B1625" s="6" t="s">
        <v>67</v>
      </c>
      <c r="C1625" s="6" t="s">
        <v>102</v>
      </c>
      <c r="D1625" s="6" t="s">
        <v>567</v>
      </c>
      <c r="E1625" s="6" t="s">
        <v>120</v>
      </c>
      <c r="F1625" s="7">
        <v>30</v>
      </c>
      <c r="G1625" s="7">
        <v>3750</v>
      </c>
      <c r="H1625" s="16">
        <v>45259</v>
      </c>
      <c r="I1625" s="6">
        <v>48</v>
      </c>
      <c r="J1625" s="6" t="s">
        <v>121</v>
      </c>
      <c r="K1625" s="6" t="s">
        <v>1777</v>
      </c>
      <c r="L1625" s="11">
        <f>F1625*Controls!$B$6</f>
        <v>30</v>
      </c>
      <c r="M1625" s="11">
        <f>G1625*Controls!$B$6</f>
        <v>3750</v>
      </c>
      <c r="N1625" s="12">
        <f>IF(L1625=0,0,SUMIFS('PSI Plan'!$N$6:$N$173,'PSI Plan'!$B$6:$B$173,B1625,'PSI Plan'!$C$6:$C$173,I1625))</f>
        <v>0</v>
      </c>
      <c r="O1625" s="11">
        <f t="shared" si="50"/>
        <v>0</v>
      </c>
      <c r="P1625" s="11">
        <f t="shared" si="51"/>
        <v>0</v>
      </c>
      <c r="Q1625" s="6"/>
      <c r="R1625" s="6"/>
      <c r="S1625" s="6"/>
      <c r="T1625" s="6"/>
    </row>
    <row r="1626" spans="1:20">
      <c r="A1626" s="6" t="s">
        <v>1781</v>
      </c>
      <c r="B1626" s="6" t="s">
        <v>69</v>
      </c>
      <c r="C1626" s="6" t="s">
        <v>102</v>
      </c>
      <c r="D1626" s="6" t="s">
        <v>567</v>
      </c>
      <c r="E1626" s="6" t="s">
        <v>120</v>
      </c>
      <c r="F1626" s="7">
        <v>30</v>
      </c>
      <c r="G1626" s="7">
        <v>3750</v>
      </c>
      <c r="H1626" s="16">
        <v>45241</v>
      </c>
      <c r="I1626" s="6">
        <v>45</v>
      </c>
      <c r="J1626" s="6" t="s">
        <v>121</v>
      </c>
      <c r="K1626" s="6" t="s">
        <v>1777</v>
      </c>
      <c r="L1626" s="11">
        <f>F1626*Controls!$B$6</f>
        <v>30</v>
      </c>
      <c r="M1626" s="11">
        <f>G1626*Controls!$B$6</f>
        <v>3750</v>
      </c>
      <c r="N1626" s="12">
        <f>IF(L1626=0,0,SUMIFS('PSI Plan'!$N$6:$N$173,'PSI Plan'!$B$6:$B$173,B1626,'PSI Plan'!$C$6:$C$173,I1626))</f>
        <v>0</v>
      </c>
      <c r="O1626" s="11">
        <f t="shared" si="50"/>
        <v>0</v>
      </c>
      <c r="P1626" s="11">
        <f t="shared" si="51"/>
        <v>0</v>
      </c>
      <c r="Q1626" s="6"/>
      <c r="R1626" s="6"/>
      <c r="S1626" s="6"/>
      <c r="T1626" s="6"/>
    </row>
    <row r="1627" spans="1:20">
      <c r="A1627" s="6" t="s">
        <v>1782</v>
      </c>
      <c r="B1627" s="6" t="s">
        <v>77</v>
      </c>
      <c r="C1627" s="6" t="s">
        <v>99</v>
      </c>
      <c r="D1627" s="6" t="s">
        <v>319</v>
      </c>
      <c r="E1627" s="6" t="s">
        <v>120</v>
      </c>
      <c r="F1627" s="7">
        <v>16</v>
      </c>
      <c r="G1627" s="7">
        <v>2000</v>
      </c>
      <c r="H1627" s="16">
        <v>45230</v>
      </c>
      <c r="I1627" s="6">
        <v>44</v>
      </c>
      <c r="J1627" s="6" t="s">
        <v>121</v>
      </c>
      <c r="K1627" s="6" t="s">
        <v>374</v>
      </c>
      <c r="L1627" s="11">
        <f>F1627*Controls!$B$6</f>
        <v>16</v>
      </c>
      <c r="M1627" s="11">
        <f>G1627*Controls!$B$6</f>
        <v>2000</v>
      </c>
      <c r="N1627" s="12">
        <f>IF(L1627=0,0,SUMIFS('PSI Plan'!$N$6:$N$173,'PSI Plan'!$B$6:$B$173,B1627,'PSI Plan'!$C$6:$C$173,I1627))</f>
        <v>0</v>
      </c>
      <c r="O1627" s="11">
        <f t="shared" si="50"/>
        <v>0</v>
      </c>
      <c r="P1627" s="11">
        <f t="shared" si="51"/>
        <v>0</v>
      </c>
      <c r="Q1627" s="6"/>
      <c r="R1627" s="6"/>
      <c r="S1627" s="6"/>
      <c r="T1627" s="6"/>
    </row>
    <row r="1628" spans="1:20">
      <c r="A1628" s="6" t="s">
        <v>1783</v>
      </c>
      <c r="B1628" s="6" t="s">
        <v>76</v>
      </c>
      <c r="C1628" s="6" t="s">
        <v>99</v>
      </c>
      <c r="D1628" s="6" t="s">
        <v>319</v>
      </c>
      <c r="E1628" s="6" t="s">
        <v>120</v>
      </c>
      <c r="F1628" s="7">
        <v>8</v>
      </c>
      <c r="G1628" s="7">
        <v>1000</v>
      </c>
      <c r="H1628" s="16">
        <v>45240</v>
      </c>
      <c r="I1628" s="6">
        <v>45</v>
      </c>
      <c r="J1628" s="6" t="s">
        <v>121</v>
      </c>
      <c r="K1628" s="6" t="s">
        <v>374</v>
      </c>
      <c r="L1628" s="11">
        <f>F1628*Controls!$B$6</f>
        <v>8</v>
      </c>
      <c r="M1628" s="11">
        <f>G1628*Controls!$B$6</f>
        <v>1000</v>
      </c>
      <c r="N1628" s="12">
        <f>IF(L1628=0,0,SUMIFS('PSI Plan'!$N$6:$N$173,'PSI Plan'!$B$6:$B$173,B1628,'PSI Plan'!$C$6:$C$173,I1628))</f>
        <v>0</v>
      </c>
      <c r="O1628" s="11">
        <f t="shared" si="50"/>
        <v>0</v>
      </c>
      <c r="P1628" s="11">
        <f t="shared" si="51"/>
        <v>0</v>
      </c>
      <c r="Q1628" s="6"/>
      <c r="R1628" s="6"/>
      <c r="S1628" s="6"/>
      <c r="T1628" s="6"/>
    </row>
    <row r="1629" spans="1:20">
      <c r="A1629" s="6" t="s">
        <v>1784</v>
      </c>
      <c r="B1629" s="6" t="s">
        <v>67</v>
      </c>
      <c r="C1629" s="6" t="s">
        <v>99</v>
      </c>
      <c r="D1629" s="6" t="s">
        <v>319</v>
      </c>
      <c r="E1629" s="6" t="s">
        <v>120</v>
      </c>
      <c r="F1629" s="7">
        <v>20</v>
      </c>
      <c r="G1629" s="7">
        <v>2500</v>
      </c>
      <c r="H1629" s="16">
        <v>45274</v>
      </c>
      <c r="I1629" s="6">
        <v>50</v>
      </c>
      <c r="J1629" s="6" t="s">
        <v>121</v>
      </c>
      <c r="K1629" s="6" t="s">
        <v>374</v>
      </c>
      <c r="L1629" s="11">
        <f>F1629*Controls!$B$6</f>
        <v>20</v>
      </c>
      <c r="M1629" s="11">
        <f>G1629*Controls!$B$6</f>
        <v>2500</v>
      </c>
      <c r="N1629" s="12">
        <f>IF(L1629=0,0,SUMIFS('PSI Plan'!$N$6:$N$173,'PSI Plan'!$B$6:$B$173,B1629,'PSI Plan'!$C$6:$C$173,I1629))</f>
        <v>0</v>
      </c>
      <c r="O1629" s="11">
        <f t="shared" si="50"/>
        <v>0</v>
      </c>
      <c r="P1629" s="11">
        <f t="shared" si="51"/>
        <v>0</v>
      </c>
      <c r="Q1629" s="6"/>
      <c r="R1629" s="6"/>
      <c r="S1629" s="6"/>
      <c r="T1629" s="6"/>
    </row>
    <row r="1630" spans="1:20">
      <c r="A1630" s="6" t="s">
        <v>1785</v>
      </c>
      <c r="B1630" s="6" t="s">
        <v>69</v>
      </c>
      <c r="C1630" s="6" t="s">
        <v>99</v>
      </c>
      <c r="D1630" s="6" t="s">
        <v>319</v>
      </c>
      <c r="E1630" s="6" t="s">
        <v>120</v>
      </c>
      <c r="F1630" s="7">
        <v>16</v>
      </c>
      <c r="G1630" s="7">
        <v>2000</v>
      </c>
      <c r="H1630" s="16">
        <v>45214</v>
      </c>
      <c r="I1630" s="6">
        <v>42</v>
      </c>
      <c r="J1630" s="6" t="s">
        <v>121</v>
      </c>
      <c r="K1630" s="6" t="s">
        <v>374</v>
      </c>
      <c r="L1630" s="11">
        <f>F1630*Controls!$B$6</f>
        <v>16</v>
      </c>
      <c r="M1630" s="11">
        <f>G1630*Controls!$B$6</f>
        <v>2000</v>
      </c>
      <c r="N1630" s="12">
        <f>IF(L1630=0,0,SUMIFS('PSI Plan'!$N$6:$N$173,'PSI Plan'!$B$6:$B$173,B1630,'PSI Plan'!$C$6:$C$173,I1630))</f>
        <v>0</v>
      </c>
      <c r="O1630" s="11">
        <f t="shared" si="50"/>
        <v>0</v>
      </c>
      <c r="P1630" s="11">
        <f t="shared" si="51"/>
        <v>0</v>
      </c>
      <c r="Q1630" s="6"/>
      <c r="R1630" s="6"/>
      <c r="S1630" s="6"/>
      <c r="T1630" s="6"/>
    </row>
    <row r="1631" spans="1:20">
      <c r="A1631" s="6" t="s">
        <v>1786</v>
      </c>
      <c r="B1631" s="6" t="s">
        <v>66</v>
      </c>
      <c r="C1631" s="6" t="s">
        <v>100</v>
      </c>
      <c r="D1631" s="6" t="s">
        <v>567</v>
      </c>
      <c r="E1631" s="6" t="s">
        <v>120</v>
      </c>
      <c r="F1631" s="7">
        <v>8</v>
      </c>
      <c r="G1631" s="7">
        <v>1000</v>
      </c>
      <c r="H1631" s="16">
        <v>45218</v>
      </c>
      <c r="I1631" s="6">
        <v>42</v>
      </c>
      <c r="J1631" s="6" t="s">
        <v>121</v>
      </c>
      <c r="K1631" s="6" t="s">
        <v>568</v>
      </c>
      <c r="L1631" s="11">
        <f>F1631*Controls!$B$6</f>
        <v>8</v>
      </c>
      <c r="M1631" s="11">
        <f>G1631*Controls!$B$6</f>
        <v>1000</v>
      </c>
      <c r="N1631" s="12">
        <f>IF(L1631=0,0,SUMIFS('PSI Plan'!$N$6:$N$173,'PSI Plan'!$B$6:$B$173,B1631,'PSI Plan'!$C$6:$C$173,I1631))</f>
        <v>0.59807073954983925</v>
      </c>
      <c r="O1631" s="11">
        <f t="shared" si="50"/>
        <v>4.784565916398714</v>
      </c>
      <c r="P1631" s="11">
        <f t="shared" si="51"/>
        <v>598.07073954983923</v>
      </c>
      <c r="Q1631" s="6"/>
      <c r="R1631" s="6"/>
      <c r="S1631" s="6"/>
      <c r="T1631" s="6"/>
    </row>
    <row r="1632" spans="1:20">
      <c r="A1632" s="6" t="s">
        <v>1787</v>
      </c>
      <c r="B1632" s="6" t="s">
        <v>77</v>
      </c>
      <c r="C1632" s="6" t="s">
        <v>100</v>
      </c>
      <c r="D1632" s="6" t="s">
        <v>567</v>
      </c>
      <c r="E1632" s="6" t="s">
        <v>120</v>
      </c>
      <c r="F1632" s="7">
        <v>6</v>
      </c>
      <c r="G1632" s="7">
        <v>750</v>
      </c>
      <c r="H1632" s="16">
        <v>45232</v>
      </c>
      <c r="I1632" s="6">
        <v>44</v>
      </c>
      <c r="J1632" s="6" t="s">
        <v>121</v>
      </c>
      <c r="K1632" s="6" t="s">
        <v>568</v>
      </c>
      <c r="L1632" s="11">
        <f>F1632*Controls!$B$6</f>
        <v>6</v>
      </c>
      <c r="M1632" s="11">
        <f>G1632*Controls!$B$6</f>
        <v>750</v>
      </c>
      <c r="N1632" s="12">
        <f>IF(L1632=0,0,SUMIFS('PSI Plan'!$N$6:$N$173,'PSI Plan'!$B$6:$B$173,B1632,'PSI Plan'!$C$6:$C$173,I1632))</f>
        <v>0</v>
      </c>
      <c r="O1632" s="11">
        <f t="shared" si="50"/>
        <v>0</v>
      </c>
      <c r="P1632" s="11">
        <f t="shared" si="51"/>
        <v>0</v>
      </c>
      <c r="Q1632" s="6"/>
      <c r="R1632" s="6"/>
      <c r="S1632" s="6"/>
      <c r="T1632" s="6"/>
    </row>
    <row r="1633" spans="1:20">
      <c r="A1633" s="6" t="s">
        <v>1788</v>
      </c>
      <c r="B1633" s="6" t="s">
        <v>67</v>
      </c>
      <c r="C1633" s="6" t="s">
        <v>100</v>
      </c>
      <c r="D1633" s="6" t="s">
        <v>567</v>
      </c>
      <c r="E1633" s="6" t="s">
        <v>120</v>
      </c>
      <c r="F1633" s="7">
        <v>2</v>
      </c>
      <c r="G1633" s="7">
        <v>250</v>
      </c>
      <c r="H1633" s="16">
        <v>45261</v>
      </c>
      <c r="I1633" s="6">
        <v>48</v>
      </c>
      <c r="J1633" s="6" t="s">
        <v>121</v>
      </c>
      <c r="K1633" s="6" t="s">
        <v>568</v>
      </c>
      <c r="L1633" s="11">
        <f>F1633*Controls!$B$6</f>
        <v>2</v>
      </c>
      <c r="M1633" s="11">
        <f>G1633*Controls!$B$6</f>
        <v>250</v>
      </c>
      <c r="N1633" s="12">
        <f>IF(L1633=0,0,SUMIFS('PSI Plan'!$N$6:$N$173,'PSI Plan'!$B$6:$B$173,B1633,'PSI Plan'!$C$6:$C$173,I1633))</f>
        <v>0</v>
      </c>
      <c r="O1633" s="11">
        <f t="shared" si="50"/>
        <v>0</v>
      </c>
      <c r="P1633" s="11">
        <f t="shared" si="51"/>
        <v>0</v>
      </c>
      <c r="Q1633" s="6"/>
      <c r="R1633" s="6"/>
      <c r="S1633" s="6"/>
      <c r="T1633" s="6"/>
    </row>
    <row r="1634" spans="1:20">
      <c r="A1634" s="6" t="s">
        <v>1789</v>
      </c>
      <c r="B1634" s="6" t="s">
        <v>69</v>
      </c>
      <c r="C1634" s="6" t="s">
        <v>100</v>
      </c>
      <c r="D1634" s="6" t="s">
        <v>567</v>
      </c>
      <c r="E1634" s="6" t="s">
        <v>120</v>
      </c>
      <c r="F1634" s="7">
        <v>8</v>
      </c>
      <c r="G1634" s="7">
        <v>1000</v>
      </c>
      <c r="H1634" s="16">
        <v>45201</v>
      </c>
      <c r="I1634" s="6">
        <v>40</v>
      </c>
      <c r="J1634" s="6" t="s">
        <v>121</v>
      </c>
      <c r="K1634" s="6" t="s">
        <v>568</v>
      </c>
      <c r="L1634" s="11">
        <f>F1634*Controls!$B$6</f>
        <v>8</v>
      </c>
      <c r="M1634" s="11">
        <f>G1634*Controls!$B$6</f>
        <v>1000</v>
      </c>
      <c r="N1634" s="12">
        <f>IF(L1634=0,0,SUMIFS('PSI Plan'!$N$6:$N$173,'PSI Plan'!$B$6:$B$173,B1634,'PSI Plan'!$C$6:$C$173,I1634))</f>
        <v>0</v>
      </c>
      <c r="O1634" s="11">
        <f t="shared" si="50"/>
        <v>0</v>
      </c>
      <c r="P1634" s="11">
        <f t="shared" si="51"/>
        <v>0</v>
      </c>
      <c r="Q1634" s="6"/>
      <c r="R1634" s="6"/>
      <c r="S1634" s="6"/>
      <c r="T1634" s="6"/>
    </row>
    <row r="1635" spans="1:20">
      <c r="A1635" s="6" t="s">
        <v>1790</v>
      </c>
      <c r="B1635" s="6" t="s">
        <v>66</v>
      </c>
      <c r="C1635" s="6" t="s">
        <v>102</v>
      </c>
      <c r="D1635" s="6" t="s">
        <v>567</v>
      </c>
      <c r="E1635" s="6" t="s">
        <v>120</v>
      </c>
      <c r="F1635" s="7">
        <v>13</v>
      </c>
      <c r="G1635" s="7">
        <v>1625</v>
      </c>
      <c r="H1635" s="16">
        <v>45268</v>
      </c>
      <c r="I1635" s="6">
        <v>49</v>
      </c>
      <c r="J1635" s="6" t="s">
        <v>1791</v>
      </c>
      <c r="K1635" s="6" t="s">
        <v>1792</v>
      </c>
      <c r="L1635" s="11">
        <f>F1635*Controls!$B$6</f>
        <v>13</v>
      </c>
      <c r="M1635" s="11">
        <f>G1635*Controls!$B$6</f>
        <v>1625</v>
      </c>
      <c r="N1635" s="12">
        <f>IF(L1635=0,0,SUMIFS('PSI Plan'!$N$6:$N$173,'PSI Plan'!$B$6:$B$173,B1635,'PSI Plan'!$C$6:$C$173,I1635))</f>
        <v>0</v>
      </c>
      <c r="O1635" s="11">
        <f t="shared" si="50"/>
        <v>0</v>
      </c>
      <c r="P1635" s="11">
        <f t="shared" si="51"/>
        <v>0</v>
      </c>
      <c r="Q1635" s="6"/>
      <c r="R1635" s="6"/>
      <c r="S1635" s="6"/>
      <c r="T1635" s="6"/>
    </row>
    <row r="1636" spans="1:20">
      <c r="A1636" s="6" t="s">
        <v>1793</v>
      </c>
      <c r="B1636" s="6" t="s">
        <v>77</v>
      </c>
      <c r="C1636" s="6" t="s">
        <v>102</v>
      </c>
      <c r="D1636" s="6" t="s">
        <v>567</v>
      </c>
      <c r="E1636" s="6" t="s">
        <v>120</v>
      </c>
      <c r="F1636" s="7">
        <v>13</v>
      </c>
      <c r="G1636" s="7">
        <v>1625</v>
      </c>
      <c r="H1636" s="16">
        <v>45236</v>
      </c>
      <c r="I1636" s="6">
        <v>45</v>
      </c>
      <c r="J1636" s="6" t="s">
        <v>1791</v>
      </c>
      <c r="K1636" s="6" t="s">
        <v>1792</v>
      </c>
      <c r="L1636" s="11">
        <f>F1636*Controls!$B$6</f>
        <v>13</v>
      </c>
      <c r="M1636" s="11">
        <f>G1636*Controls!$B$6</f>
        <v>1625</v>
      </c>
      <c r="N1636" s="12">
        <f>IF(L1636=0,0,SUMIFS('PSI Plan'!$N$6:$N$173,'PSI Plan'!$B$6:$B$173,B1636,'PSI Plan'!$C$6:$C$173,I1636))</f>
        <v>0</v>
      </c>
      <c r="O1636" s="11">
        <f t="shared" si="50"/>
        <v>0</v>
      </c>
      <c r="P1636" s="11">
        <f t="shared" si="51"/>
        <v>0</v>
      </c>
      <c r="Q1636" s="6"/>
      <c r="R1636" s="6"/>
      <c r="S1636" s="6"/>
      <c r="T1636" s="6"/>
    </row>
    <row r="1637" spans="1:20">
      <c r="A1637" s="6" t="s">
        <v>1794</v>
      </c>
      <c r="B1637" s="6" t="s">
        <v>76</v>
      </c>
      <c r="C1637" s="6" t="s">
        <v>102</v>
      </c>
      <c r="D1637" s="6" t="s">
        <v>567</v>
      </c>
      <c r="E1637" s="6" t="s">
        <v>120</v>
      </c>
      <c r="F1637" s="7">
        <v>13</v>
      </c>
      <c r="G1637" s="7">
        <v>1625</v>
      </c>
      <c r="H1637" s="16">
        <v>45216</v>
      </c>
      <c r="I1637" s="6">
        <v>42</v>
      </c>
      <c r="J1637" s="6" t="s">
        <v>1791</v>
      </c>
      <c r="K1637" s="6" t="s">
        <v>1792</v>
      </c>
      <c r="L1637" s="11">
        <f>F1637*Controls!$B$6</f>
        <v>13</v>
      </c>
      <c r="M1637" s="11">
        <f>G1637*Controls!$B$6</f>
        <v>1625</v>
      </c>
      <c r="N1637" s="12">
        <f>IF(L1637=0,0,SUMIFS('PSI Plan'!$N$6:$N$173,'PSI Plan'!$B$6:$B$173,B1637,'PSI Plan'!$C$6:$C$173,I1637))</f>
        <v>0</v>
      </c>
      <c r="O1637" s="11">
        <f t="shared" si="50"/>
        <v>0</v>
      </c>
      <c r="P1637" s="11">
        <f t="shared" si="51"/>
        <v>0</v>
      </c>
      <c r="Q1637" s="6"/>
      <c r="R1637" s="6"/>
      <c r="S1637" s="6"/>
      <c r="T1637" s="6"/>
    </row>
    <row r="1638" spans="1:20">
      <c r="A1638" s="6" t="s">
        <v>1795</v>
      </c>
      <c r="B1638" s="6" t="s">
        <v>67</v>
      </c>
      <c r="C1638" s="6" t="s">
        <v>102</v>
      </c>
      <c r="D1638" s="6" t="s">
        <v>567</v>
      </c>
      <c r="E1638" s="6" t="s">
        <v>120</v>
      </c>
      <c r="F1638" s="7">
        <v>13</v>
      </c>
      <c r="G1638" s="7">
        <v>1625</v>
      </c>
      <c r="H1638" s="16">
        <v>45200</v>
      </c>
      <c r="I1638" s="6">
        <v>40</v>
      </c>
      <c r="J1638" s="6" t="s">
        <v>1791</v>
      </c>
      <c r="K1638" s="6" t="s">
        <v>1792</v>
      </c>
      <c r="L1638" s="11">
        <f>F1638*Controls!$B$6</f>
        <v>13</v>
      </c>
      <c r="M1638" s="11">
        <f>G1638*Controls!$B$6</f>
        <v>1625</v>
      </c>
      <c r="N1638" s="12">
        <f>IF(L1638=0,0,SUMIFS('PSI Plan'!$N$6:$N$173,'PSI Plan'!$B$6:$B$173,B1638,'PSI Plan'!$C$6:$C$173,I1638))</f>
        <v>0</v>
      </c>
      <c r="O1638" s="11">
        <f t="shared" si="50"/>
        <v>0</v>
      </c>
      <c r="P1638" s="11">
        <f t="shared" si="51"/>
        <v>0</v>
      </c>
      <c r="Q1638" s="6"/>
      <c r="R1638" s="6"/>
      <c r="S1638" s="6"/>
      <c r="T1638" s="6"/>
    </row>
    <row r="1639" spans="1:20">
      <c r="A1639" s="6" t="s">
        <v>1796</v>
      </c>
      <c r="B1639" s="6" t="s">
        <v>69</v>
      </c>
      <c r="C1639" s="6" t="s">
        <v>102</v>
      </c>
      <c r="D1639" s="6" t="s">
        <v>567</v>
      </c>
      <c r="E1639" s="6" t="s">
        <v>120</v>
      </c>
      <c r="F1639" s="7">
        <v>26</v>
      </c>
      <c r="G1639" s="7">
        <v>3250</v>
      </c>
      <c r="H1639" s="16">
        <v>45276</v>
      </c>
      <c r="I1639" s="6">
        <v>50</v>
      </c>
      <c r="J1639" s="6" t="s">
        <v>1791</v>
      </c>
      <c r="K1639" s="6" t="s">
        <v>1792</v>
      </c>
      <c r="L1639" s="11">
        <f>F1639*Controls!$B$6</f>
        <v>26</v>
      </c>
      <c r="M1639" s="11">
        <f>G1639*Controls!$B$6</f>
        <v>3250</v>
      </c>
      <c r="N1639" s="12">
        <f>IF(L1639=0,0,SUMIFS('PSI Plan'!$N$6:$N$173,'PSI Plan'!$B$6:$B$173,B1639,'PSI Plan'!$C$6:$C$173,I1639))</f>
        <v>0</v>
      </c>
      <c r="O1639" s="11">
        <f t="shared" si="50"/>
        <v>0</v>
      </c>
      <c r="P1639" s="11">
        <f t="shared" si="51"/>
        <v>0</v>
      </c>
      <c r="Q1639" s="6"/>
      <c r="R1639" s="6"/>
      <c r="S1639" s="6"/>
      <c r="T1639" s="6"/>
    </row>
    <row r="1640" spans="1:20">
      <c r="A1640" s="6" t="s">
        <v>1797</v>
      </c>
      <c r="B1640" s="6" t="s">
        <v>76</v>
      </c>
      <c r="C1640" s="6" t="s">
        <v>90</v>
      </c>
      <c r="D1640" s="6" t="s">
        <v>119</v>
      </c>
      <c r="E1640" s="6" t="s">
        <v>120</v>
      </c>
      <c r="F1640" s="7">
        <v>26</v>
      </c>
      <c r="G1640" s="7">
        <v>3250</v>
      </c>
      <c r="H1640" s="16">
        <v>45274</v>
      </c>
      <c r="I1640" s="6">
        <v>50</v>
      </c>
      <c r="J1640" s="6" t="s">
        <v>121</v>
      </c>
      <c r="K1640" s="6" t="s">
        <v>122</v>
      </c>
      <c r="L1640" s="11">
        <f>F1640*Controls!$B$6</f>
        <v>26</v>
      </c>
      <c r="M1640" s="11">
        <f>G1640*Controls!$B$6</f>
        <v>3250</v>
      </c>
      <c r="N1640" s="12">
        <f>IF(L1640=0,0,SUMIFS('PSI Plan'!$N$6:$N$173,'PSI Plan'!$B$6:$B$173,B1640,'PSI Plan'!$C$6:$C$173,I1640))</f>
        <v>0</v>
      </c>
      <c r="O1640" s="11">
        <f t="shared" si="50"/>
        <v>0</v>
      </c>
      <c r="P1640" s="11">
        <f t="shared" si="51"/>
        <v>0</v>
      </c>
      <c r="Q1640" s="6"/>
      <c r="R1640" s="6"/>
      <c r="S1640" s="6"/>
      <c r="T1640" s="6"/>
    </row>
    <row r="1641" spans="1:20">
      <c r="A1641" s="6" t="s">
        <v>1798</v>
      </c>
      <c r="B1641" s="6" t="s">
        <v>67</v>
      </c>
      <c r="C1641" s="6" t="s">
        <v>90</v>
      </c>
      <c r="D1641" s="6" t="s">
        <v>119</v>
      </c>
      <c r="E1641" s="6" t="s">
        <v>120</v>
      </c>
      <c r="F1641" s="7">
        <v>13</v>
      </c>
      <c r="G1641" s="7">
        <v>1625</v>
      </c>
      <c r="H1641" s="16">
        <v>45212</v>
      </c>
      <c r="I1641" s="6">
        <v>41</v>
      </c>
      <c r="J1641" s="6" t="s">
        <v>121</v>
      </c>
      <c r="K1641" s="6" t="s">
        <v>122</v>
      </c>
      <c r="L1641" s="11">
        <f>F1641*Controls!$B$6</f>
        <v>13</v>
      </c>
      <c r="M1641" s="11">
        <f>G1641*Controls!$B$6</f>
        <v>1625</v>
      </c>
      <c r="N1641" s="12">
        <f>IF(L1641=0,0,SUMIFS('PSI Plan'!$N$6:$N$173,'PSI Plan'!$B$6:$B$173,B1641,'PSI Plan'!$C$6:$C$173,I1641))</f>
        <v>0</v>
      </c>
      <c r="O1641" s="11">
        <f t="shared" si="50"/>
        <v>0</v>
      </c>
      <c r="P1641" s="11">
        <f t="shared" si="51"/>
        <v>0</v>
      </c>
      <c r="Q1641" s="6"/>
      <c r="R1641" s="6"/>
      <c r="S1641" s="6"/>
      <c r="T1641" s="6"/>
    </row>
    <row r="1642" spans="1:20">
      <c r="A1642" s="6" t="s">
        <v>1799</v>
      </c>
      <c r="B1642" s="6" t="s">
        <v>77</v>
      </c>
      <c r="C1642" s="6" t="s">
        <v>90</v>
      </c>
      <c r="D1642" s="6" t="s">
        <v>119</v>
      </c>
      <c r="E1642" s="6" t="s">
        <v>120</v>
      </c>
      <c r="F1642" s="7">
        <v>13</v>
      </c>
      <c r="G1642" s="7">
        <v>1625</v>
      </c>
      <c r="H1642" s="16">
        <v>45276</v>
      </c>
      <c r="I1642" s="6">
        <v>50</v>
      </c>
      <c r="J1642" s="6" t="s">
        <v>121</v>
      </c>
      <c r="K1642" s="6" t="s">
        <v>855</v>
      </c>
      <c r="L1642" s="11">
        <f>F1642*Controls!$B$6</f>
        <v>13</v>
      </c>
      <c r="M1642" s="11">
        <f>G1642*Controls!$B$6</f>
        <v>1625</v>
      </c>
      <c r="N1642" s="12">
        <f>IF(L1642=0,0,SUMIFS('PSI Plan'!$N$6:$N$173,'PSI Plan'!$B$6:$B$173,B1642,'PSI Plan'!$C$6:$C$173,I1642))</f>
        <v>0</v>
      </c>
      <c r="O1642" s="11">
        <f t="shared" si="50"/>
        <v>0</v>
      </c>
      <c r="P1642" s="11">
        <f t="shared" si="51"/>
        <v>0</v>
      </c>
      <c r="Q1642" s="6"/>
      <c r="R1642" s="6"/>
      <c r="S1642" s="6"/>
      <c r="T1642" s="6"/>
    </row>
    <row r="1643" spans="1:20">
      <c r="A1643" s="6" t="s">
        <v>1800</v>
      </c>
      <c r="B1643" s="6" t="s">
        <v>69</v>
      </c>
      <c r="C1643" s="6" t="s">
        <v>90</v>
      </c>
      <c r="D1643" s="6" t="s">
        <v>119</v>
      </c>
      <c r="E1643" s="6" t="s">
        <v>120</v>
      </c>
      <c r="F1643" s="7">
        <v>26</v>
      </c>
      <c r="G1643" s="7">
        <v>3250</v>
      </c>
      <c r="H1643" s="16">
        <v>45271</v>
      </c>
      <c r="I1643" s="6">
        <v>50</v>
      </c>
      <c r="J1643" s="6" t="s">
        <v>121</v>
      </c>
      <c r="K1643" s="6" t="s">
        <v>855</v>
      </c>
      <c r="L1643" s="11">
        <f>F1643*Controls!$B$6</f>
        <v>26</v>
      </c>
      <c r="M1643" s="11">
        <f>G1643*Controls!$B$6</f>
        <v>3250</v>
      </c>
      <c r="N1643" s="12">
        <f>IF(L1643=0,0,SUMIFS('PSI Plan'!$N$6:$N$173,'PSI Plan'!$B$6:$B$173,B1643,'PSI Plan'!$C$6:$C$173,I1643))</f>
        <v>0</v>
      </c>
      <c r="O1643" s="11">
        <f t="shared" si="50"/>
        <v>0</v>
      </c>
      <c r="P1643" s="11">
        <f t="shared" si="51"/>
        <v>0</v>
      </c>
      <c r="Q1643" s="6"/>
      <c r="R1643" s="6"/>
      <c r="S1643" s="6"/>
      <c r="T1643" s="6"/>
    </row>
    <row r="1644" spans="1:20">
      <c r="A1644" s="6" t="s">
        <v>1801</v>
      </c>
      <c r="B1644" s="6" t="s">
        <v>77</v>
      </c>
      <c r="C1644" s="6" t="s">
        <v>90</v>
      </c>
      <c r="D1644" s="6" t="s">
        <v>119</v>
      </c>
      <c r="E1644" s="6" t="s">
        <v>120</v>
      </c>
      <c r="F1644" s="7">
        <v>13</v>
      </c>
      <c r="G1644" s="7">
        <v>1625</v>
      </c>
      <c r="H1644" s="16">
        <v>45207</v>
      </c>
      <c r="I1644" s="6">
        <v>41</v>
      </c>
      <c r="J1644" s="6" t="s">
        <v>121</v>
      </c>
      <c r="K1644" s="6" t="s">
        <v>171</v>
      </c>
      <c r="L1644" s="11">
        <f>F1644*Controls!$B$6</f>
        <v>13</v>
      </c>
      <c r="M1644" s="11">
        <f>G1644*Controls!$B$6</f>
        <v>1625</v>
      </c>
      <c r="N1644" s="12">
        <f>IF(L1644=0,0,SUMIFS('PSI Plan'!$N$6:$N$173,'PSI Plan'!$B$6:$B$173,B1644,'PSI Plan'!$C$6:$C$173,I1644))</f>
        <v>0</v>
      </c>
      <c r="O1644" s="11">
        <f t="shared" si="50"/>
        <v>0</v>
      </c>
      <c r="P1644" s="11">
        <f t="shared" si="51"/>
        <v>0</v>
      </c>
      <c r="Q1644" s="6"/>
      <c r="R1644" s="6"/>
      <c r="S1644" s="6"/>
      <c r="T1644" s="6"/>
    </row>
    <row r="1645" spans="1:20">
      <c r="A1645" s="6" t="s">
        <v>1802</v>
      </c>
      <c r="B1645" s="6" t="s">
        <v>69</v>
      </c>
      <c r="C1645" s="6" t="s">
        <v>90</v>
      </c>
      <c r="D1645" s="6" t="s">
        <v>119</v>
      </c>
      <c r="E1645" s="6" t="s">
        <v>120</v>
      </c>
      <c r="F1645" s="7">
        <v>13</v>
      </c>
      <c r="G1645" s="7">
        <v>1625</v>
      </c>
      <c r="H1645" s="16">
        <v>45219</v>
      </c>
      <c r="I1645" s="6">
        <v>42</v>
      </c>
      <c r="J1645" s="6" t="s">
        <v>121</v>
      </c>
      <c r="K1645" s="6" t="s">
        <v>171</v>
      </c>
      <c r="L1645" s="11">
        <f>F1645*Controls!$B$6</f>
        <v>13</v>
      </c>
      <c r="M1645" s="11">
        <f>G1645*Controls!$B$6</f>
        <v>1625</v>
      </c>
      <c r="N1645" s="12">
        <f>IF(L1645=0,0,SUMIFS('PSI Plan'!$N$6:$N$173,'PSI Plan'!$B$6:$B$173,B1645,'PSI Plan'!$C$6:$C$173,I1645))</f>
        <v>0</v>
      </c>
      <c r="O1645" s="11">
        <f t="shared" si="50"/>
        <v>0</v>
      </c>
      <c r="P1645" s="11">
        <f t="shared" si="51"/>
        <v>0</v>
      </c>
      <c r="Q1645" s="6"/>
      <c r="R1645" s="6"/>
      <c r="S1645" s="6"/>
      <c r="T1645" s="6"/>
    </row>
    <row r="1646" spans="1:20">
      <c r="A1646" s="6" t="s">
        <v>1803</v>
      </c>
      <c r="B1646" s="6" t="s">
        <v>66</v>
      </c>
      <c r="C1646" s="6" t="s">
        <v>90</v>
      </c>
      <c r="D1646" s="6" t="s">
        <v>119</v>
      </c>
      <c r="E1646" s="6" t="s">
        <v>120</v>
      </c>
      <c r="F1646" s="7">
        <v>13</v>
      </c>
      <c r="G1646" s="7">
        <v>1625</v>
      </c>
      <c r="H1646" s="16">
        <v>45252</v>
      </c>
      <c r="I1646" s="6">
        <v>47</v>
      </c>
      <c r="J1646" s="6" t="s">
        <v>121</v>
      </c>
      <c r="K1646" s="6" t="s">
        <v>171</v>
      </c>
      <c r="L1646" s="11">
        <f>F1646*Controls!$B$6</f>
        <v>13</v>
      </c>
      <c r="M1646" s="11">
        <f>G1646*Controls!$B$6</f>
        <v>1625</v>
      </c>
      <c r="N1646" s="12">
        <f>IF(L1646=0,0,SUMIFS('PSI Plan'!$N$6:$N$173,'PSI Plan'!$B$6:$B$173,B1646,'PSI Plan'!$C$6:$C$173,I1646))</f>
        <v>0</v>
      </c>
      <c r="O1646" s="11">
        <f t="shared" si="50"/>
        <v>0</v>
      </c>
      <c r="P1646" s="11">
        <f t="shared" si="51"/>
        <v>0</v>
      </c>
      <c r="Q1646" s="6"/>
      <c r="R1646" s="6"/>
      <c r="S1646" s="6"/>
      <c r="T1646" s="6"/>
    </row>
    <row r="1647" spans="1:20">
      <c r="A1647" s="6" t="s">
        <v>1804</v>
      </c>
      <c r="B1647" s="6" t="s">
        <v>66</v>
      </c>
      <c r="C1647" s="6" t="s">
        <v>99</v>
      </c>
      <c r="D1647" s="6" t="s">
        <v>319</v>
      </c>
      <c r="E1647" s="6" t="s">
        <v>120</v>
      </c>
      <c r="F1647" s="7">
        <v>44</v>
      </c>
      <c r="G1647" s="7">
        <v>5500</v>
      </c>
      <c r="H1647" s="16">
        <v>45238</v>
      </c>
      <c r="I1647" s="6">
        <v>45</v>
      </c>
      <c r="J1647" s="6" t="s">
        <v>121</v>
      </c>
      <c r="K1647" s="6" t="s">
        <v>347</v>
      </c>
      <c r="L1647" s="11">
        <f>F1647*Controls!$B$6</f>
        <v>44</v>
      </c>
      <c r="M1647" s="11">
        <f>G1647*Controls!$B$6</f>
        <v>5500</v>
      </c>
      <c r="N1647" s="12">
        <f>IF(L1647=0,0,SUMIFS('PSI Plan'!$N$6:$N$173,'PSI Plan'!$B$6:$B$173,B1647,'PSI Plan'!$C$6:$C$173,I1647))</f>
        <v>0</v>
      </c>
      <c r="O1647" s="11">
        <f t="shared" si="50"/>
        <v>0</v>
      </c>
      <c r="P1647" s="11">
        <f t="shared" si="51"/>
        <v>0</v>
      </c>
      <c r="Q1647" s="6"/>
      <c r="R1647" s="6"/>
      <c r="S1647" s="6"/>
      <c r="T1647" s="6"/>
    </row>
    <row r="1648" spans="1:20">
      <c r="A1648" s="6" t="s">
        <v>1805</v>
      </c>
      <c r="B1648" s="6" t="s">
        <v>77</v>
      </c>
      <c r="C1648" s="6" t="s">
        <v>99</v>
      </c>
      <c r="D1648" s="6" t="s">
        <v>319</v>
      </c>
      <c r="E1648" s="6" t="s">
        <v>120</v>
      </c>
      <c r="F1648" s="7">
        <v>80</v>
      </c>
      <c r="G1648" s="7">
        <v>10000</v>
      </c>
      <c r="H1648" s="16">
        <v>45216</v>
      </c>
      <c r="I1648" s="6">
        <v>42</v>
      </c>
      <c r="J1648" s="6" t="s">
        <v>121</v>
      </c>
      <c r="K1648" s="6" t="s">
        <v>347</v>
      </c>
      <c r="L1648" s="11">
        <f>F1648*Controls!$B$6</f>
        <v>80</v>
      </c>
      <c r="M1648" s="11">
        <f>G1648*Controls!$B$6</f>
        <v>10000</v>
      </c>
      <c r="N1648" s="12">
        <f>IF(L1648=0,0,SUMIFS('PSI Plan'!$N$6:$N$173,'PSI Plan'!$B$6:$B$173,B1648,'PSI Plan'!$C$6:$C$173,I1648))</f>
        <v>0</v>
      </c>
      <c r="O1648" s="11">
        <f t="shared" si="50"/>
        <v>0</v>
      </c>
      <c r="P1648" s="11">
        <f t="shared" si="51"/>
        <v>0</v>
      </c>
      <c r="Q1648" s="6"/>
      <c r="R1648" s="6"/>
      <c r="S1648" s="6"/>
      <c r="T1648" s="6"/>
    </row>
    <row r="1649" spans="1:20">
      <c r="A1649" s="6" t="s">
        <v>1806</v>
      </c>
      <c r="B1649" s="6" t="s">
        <v>76</v>
      </c>
      <c r="C1649" s="6" t="s">
        <v>99</v>
      </c>
      <c r="D1649" s="6" t="s">
        <v>319</v>
      </c>
      <c r="E1649" s="6" t="s">
        <v>120</v>
      </c>
      <c r="F1649" s="7">
        <v>4</v>
      </c>
      <c r="G1649" s="7">
        <v>500</v>
      </c>
      <c r="H1649" s="16">
        <v>45216</v>
      </c>
      <c r="I1649" s="6">
        <v>42</v>
      </c>
      <c r="J1649" s="6" t="s">
        <v>121</v>
      </c>
      <c r="K1649" s="6" t="s">
        <v>347</v>
      </c>
      <c r="L1649" s="11">
        <f>F1649*Controls!$B$6</f>
        <v>4</v>
      </c>
      <c r="M1649" s="11">
        <f>G1649*Controls!$B$6</f>
        <v>500</v>
      </c>
      <c r="N1649" s="12">
        <f>IF(L1649=0,0,SUMIFS('PSI Plan'!$N$6:$N$173,'PSI Plan'!$B$6:$B$173,B1649,'PSI Plan'!$C$6:$C$173,I1649))</f>
        <v>0</v>
      </c>
      <c r="O1649" s="11">
        <f t="shared" si="50"/>
        <v>0</v>
      </c>
      <c r="P1649" s="11">
        <f t="shared" si="51"/>
        <v>0</v>
      </c>
      <c r="Q1649" s="6"/>
      <c r="R1649" s="6"/>
      <c r="S1649" s="6"/>
      <c r="T1649" s="6"/>
    </row>
    <row r="1650" spans="1:20">
      <c r="A1650" s="6" t="s">
        <v>1807</v>
      </c>
      <c r="B1650" s="6" t="s">
        <v>67</v>
      </c>
      <c r="C1650" s="6" t="s">
        <v>99</v>
      </c>
      <c r="D1650" s="6" t="s">
        <v>319</v>
      </c>
      <c r="E1650" s="6" t="s">
        <v>120</v>
      </c>
      <c r="F1650" s="7">
        <v>38</v>
      </c>
      <c r="G1650" s="7">
        <v>4750</v>
      </c>
      <c r="H1650" s="16">
        <v>45257</v>
      </c>
      <c r="I1650" s="6">
        <v>48</v>
      </c>
      <c r="J1650" s="6" t="s">
        <v>121</v>
      </c>
      <c r="K1650" s="6" t="s">
        <v>347</v>
      </c>
      <c r="L1650" s="11">
        <f>F1650*Controls!$B$6</f>
        <v>38</v>
      </c>
      <c r="M1650" s="11">
        <f>G1650*Controls!$B$6</f>
        <v>4750</v>
      </c>
      <c r="N1650" s="12">
        <f>IF(L1650=0,0,SUMIFS('PSI Plan'!$N$6:$N$173,'PSI Plan'!$B$6:$B$173,B1650,'PSI Plan'!$C$6:$C$173,I1650))</f>
        <v>0</v>
      </c>
      <c r="O1650" s="11">
        <f t="shared" si="50"/>
        <v>0</v>
      </c>
      <c r="P1650" s="11">
        <f t="shared" si="51"/>
        <v>0</v>
      </c>
      <c r="Q1650" s="6"/>
      <c r="R1650" s="6"/>
      <c r="S1650" s="6"/>
      <c r="T1650" s="6"/>
    </row>
    <row r="1651" spans="1:20">
      <c r="A1651" s="6" t="s">
        <v>1808</v>
      </c>
      <c r="B1651" s="6" t="s">
        <v>69</v>
      </c>
      <c r="C1651" s="6" t="s">
        <v>99</v>
      </c>
      <c r="D1651" s="6" t="s">
        <v>319</v>
      </c>
      <c r="E1651" s="6" t="s">
        <v>120</v>
      </c>
      <c r="F1651" s="7">
        <v>60</v>
      </c>
      <c r="G1651" s="7">
        <v>7500</v>
      </c>
      <c r="H1651" s="16">
        <v>45239</v>
      </c>
      <c r="I1651" s="6">
        <v>45</v>
      </c>
      <c r="J1651" s="6" t="s">
        <v>121</v>
      </c>
      <c r="K1651" s="6" t="s">
        <v>347</v>
      </c>
      <c r="L1651" s="11">
        <f>F1651*Controls!$B$6</f>
        <v>60</v>
      </c>
      <c r="M1651" s="11">
        <f>G1651*Controls!$B$6</f>
        <v>7500</v>
      </c>
      <c r="N1651" s="12">
        <f>IF(L1651=0,0,SUMIFS('PSI Plan'!$N$6:$N$173,'PSI Plan'!$B$6:$B$173,B1651,'PSI Plan'!$C$6:$C$173,I1651))</f>
        <v>0</v>
      </c>
      <c r="O1651" s="11">
        <f t="shared" si="50"/>
        <v>0</v>
      </c>
      <c r="P1651" s="11">
        <f t="shared" si="51"/>
        <v>0</v>
      </c>
      <c r="Q1651" s="6"/>
      <c r="R1651" s="6"/>
      <c r="S1651" s="6"/>
      <c r="T1651" s="6"/>
    </row>
    <row r="1652" spans="1:20">
      <c r="A1652" s="6" t="s">
        <v>1809</v>
      </c>
      <c r="B1652" s="6" t="s">
        <v>77</v>
      </c>
      <c r="C1652" s="6" t="s">
        <v>99</v>
      </c>
      <c r="D1652" s="6" t="s">
        <v>319</v>
      </c>
      <c r="E1652" s="6" t="s">
        <v>120</v>
      </c>
      <c r="F1652" s="7">
        <v>12</v>
      </c>
      <c r="G1652" s="7">
        <v>1500</v>
      </c>
      <c r="H1652" s="16">
        <v>45251</v>
      </c>
      <c r="I1652" s="6">
        <v>47</v>
      </c>
      <c r="J1652" s="6" t="s">
        <v>1791</v>
      </c>
      <c r="K1652" s="6" t="s">
        <v>1810</v>
      </c>
      <c r="L1652" s="11">
        <f>F1652*Controls!$B$6</f>
        <v>12</v>
      </c>
      <c r="M1652" s="11">
        <f>G1652*Controls!$B$6</f>
        <v>1500</v>
      </c>
      <c r="N1652" s="12">
        <f>IF(L1652=0,0,SUMIFS('PSI Plan'!$N$6:$N$173,'PSI Plan'!$B$6:$B$173,B1652,'PSI Plan'!$C$6:$C$173,I1652))</f>
        <v>0</v>
      </c>
      <c r="O1652" s="11">
        <f t="shared" si="50"/>
        <v>0</v>
      </c>
      <c r="P1652" s="11">
        <f t="shared" si="51"/>
        <v>0</v>
      </c>
      <c r="Q1652" s="6"/>
      <c r="R1652" s="6"/>
      <c r="S1652" s="6"/>
      <c r="T1652" s="6"/>
    </row>
    <row r="1653" spans="1:20">
      <c r="A1653" s="6" t="s">
        <v>1811</v>
      </c>
      <c r="B1653" s="6" t="s">
        <v>76</v>
      </c>
      <c r="C1653" s="6" t="s">
        <v>99</v>
      </c>
      <c r="D1653" s="6" t="s">
        <v>319</v>
      </c>
      <c r="E1653" s="6" t="s">
        <v>120</v>
      </c>
      <c r="F1653" s="7">
        <v>20</v>
      </c>
      <c r="G1653" s="7">
        <v>2500</v>
      </c>
      <c r="H1653" s="16">
        <v>45222</v>
      </c>
      <c r="I1653" s="6">
        <v>43</v>
      </c>
      <c r="J1653" s="6" t="s">
        <v>1791</v>
      </c>
      <c r="K1653" s="6" t="s">
        <v>1810</v>
      </c>
      <c r="L1653" s="11">
        <f>F1653*Controls!$B$6</f>
        <v>20</v>
      </c>
      <c r="M1653" s="11">
        <f>G1653*Controls!$B$6</f>
        <v>2500</v>
      </c>
      <c r="N1653" s="12">
        <f>IF(L1653=0,0,SUMIFS('PSI Plan'!$N$6:$N$173,'PSI Plan'!$B$6:$B$173,B1653,'PSI Plan'!$C$6:$C$173,I1653))</f>
        <v>0</v>
      </c>
      <c r="O1653" s="11">
        <f t="shared" si="50"/>
        <v>0</v>
      </c>
      <c r="P1653" s="11">
        <f t="shared" si="51"/>
        <v>0</v>
      </c>
      <c r="Q1653" s="6"/>
      <c r="R1653" s="6"/>
      <c r="S1653" s="6"/>
      <c r="T1653" s="6"/>
    </row>
    <row r="1654" spans="1:20">
      <c r="A1654" s="6" t="s">
        <v>1812</v>
      </c>
      <c r="B1654" s="6" t="s">
        <v>69</v>
      </c>
      <c r="C1654" s="6" t="s">
        <v>99</v>
      </c>
      <c r="D1654" s="6" t="s">
        <v>319</v>
      </c>
      <c r="E1654" s="6" t="s">
        <v>120</v>
      </c>
      <c r="F1654" s="7">
        <v>26</v>
      </c>
      <c r="G1654" s="7">
        <v>3250</v>
      </c>
      <c r="H1654" s="16">
        <v>45257</v>
      </c>
      <c r="I1654" s="6">
        <v>48</v>
      </c>
      <c r="J1654" s="6" t="s">
        <v>1791</v>
      </c>
      <c r="K1654" s="6" t="s">
        <v>1810</v>
      </c>
      <c r="L1654" s="11">
        <f>F1654*Controls!$B$6</f>
        <v>26</v>
      </c>
      <c r="M1654" s="11">
        <f>G1654*Controls!$B$6</f>
        <v>3250</v>
      </c>
      <c r="N1654" s="12">
        <f>IF(L1654=0,0,SUMIFS('PSI Plan'!$N$6:$N$173,'PSI Plan'!$B$6:$B$173,B1654,'PSI Plan'!$C$6:$C$173,I1654))</f>
        <v>0</v>
      </c>
      <c r="O1654" s="11">
        <f t="shared" si="50"/>
        <v>0</v>
      </c>
      <c r="P1654" s="11">
        <f t="shared" si="51"/>
        <v>0</v>
      </c>
      <c r="Q1654" s="6"/>
      <c r="R1654" s="6"/>
      <c r="S1654" s="6"/>
      <c r="T1654" s="6"/>
    </row>
    <row r="1655" spans="1:20">
      <c r="A1655" s="6" t="s">
        <v>1813</v>
      </c>
      <c r="B1655" s="6" t="s">
        <v>66</v>
      </c>
      <c r="C1655" s="6" t="s">
        <v>100</v>
      </c>
      <c r="D1655" s="6" t="s">
        <v>567</v>
      </c>
      <c r="E1655" s="6" t="s">
        <v>120</v>
      </c>
      <c r="F1655" s="7">
        <v>22</v>
      </c>
      <c r="G1655" s="7">
        <v>2750</v>
      </c>
      <c r="H1655" s="16">
        <v>45245</v>
      </c>
      <c r="I1655" s="6">
        <v>46</v>
      </c>
      <c r="J1655" s="6" t="s">
        <v>121</v>
      </c>
      <c r="K1655" s="6" t="s">
        <v>781</v>
      </c>
      <c r="L1655" s="11">
        <f>F1655*Controls!$B$6</f>
        <v>22</v>
      </c>
      <c r="M1655" s="11">
        <f>G1655*Controls!$B$6</f>
        <v>2750</v>
      </c>
      <c r="N1655" s="12">
        <f>IF(L1655=0,0,SUMIFS('PSI Plan'!$N$6:$N$173,'PSI Plan'!$B$6:$B$173,B1655,'PSI Plan'!$C$6:$C$173,I1655))</f>
        <v>0</v>
      </c>
      <c r="O1655" s="11">
        <f t="shared" si="50"/>
        <v>0</v>
      </c>
      <c r="P1655" s="11">
        <f t="shared" si="51"/>
        <v>0</v>
      </c>
      <c r="Q1655" s="6"/>
      <c r="R1655" s="6"/>
      <c r="S1655" s="6"/>
      <c r="T1655" s="6"/>
    </row>
    <row r="1656" spans="1:20">
      <c r="A1656" s="6" t="s">
        <v>1814</v>
      </c>
      <c r="B1656" s="6" t="s">
        <v>77</v>
      </c>
      <c r="C1656" s="6" t="s">
        <v>100</v>
      </c>
      <c r="D1656" s="6" t="s">
        <v>567</v>
      </c>
      <c r="E1656" s="6" t="s">
        <v>120</v>
      </c>
      <c r="F1656" s="7">
        <v>7</v>
      </c>
      <c r="G1656" s="7">
        <v>875</v>
      </c>
      <c r="H1656" s="16">
        <v>45278</v>
      </c>
      <c r="I1656" s="6">
        <v>51</v>
      </c>
      <c r="J1656" s="6" t="s">
        <v>121</v>
      </c>
      <c r="K1656" s="6" t="s">
        <v>781</v>
      </c>
      <c r="L1656" s="11">
        <f>F1656*Controls!$B$6</f>
        <v>7</v>
      </c>
      <c r="M1656" s="11">
        <f>G1656*Controls!$B$6</f>
        <v>875</v>
      </c>
      <c r="N1656" s="12">
        <f>IF(L1656=0,0,SUMIFS('PSI Plan'!$N$6:$N$173,'PSI Plan'!$B$6:$B$173,B1656,'PSI Plan'!$C$6:$C$173,I1656))</f>
        <v>0</v>
      </c>
      <c r="O1656" s="11">
        <f t="shared" si="50"/>
        <v>0</v>
      </c>
      <c r="P1656" s="11">
        <f t="shared" si="51"/>
        <v>0</v>
      </c>
      <c r="Q1656" s="6"/>
      <c r="R1656" s="6"/>
      <c r="S1656" s="6"/>
      <c r="T1656" s="6"/>
    </row>
    <row r="1657" spans="1:20">
      <c r="A1657" s="6" t="s">
        <v>1815</v>
      </c>
      <c r="B1657" s="6" t="s">
        <v>76</v>
      </c>
      <c r="C1657" s="6" t="s">
        <v>100</v>
      </c>
      <c r="D1657" s="6" t="s">
        <v>567</v>
      </c>
      <c r="E1657" s="6" t="s">
        <v>120</v>
      </c>
      <c r="F1657" s="7">
        <v>8</v>
      </c>
      <c r="G1657" s="7">
        <v>1000</v>
      </c>
      <c r="H1657" s="16">
        <v>45246</v>
      </c>
      <c r="I1657" s="6">
        <v>46</v>
      </c>
      <c r="J1657" s="6" t="s">
        <v>121</v>
      </c>
      <c r="K1657" s="6" t="s">
        <v>781</v>
      </c>
      <c r="L1657" s="11">
        <f>F1657*Controls!$B$6</f>
        <v>8</v>
      </c>
      <c r="M1657" s="11">
        <f>G1657*Controls!$B$6</f>
        <v>1000</v>
      </c>
      <c r="N1657" s="12">
        <f>IF(L1657=0,0,SUMIFS('PSI Plan'!$N$6:$N$173,'PSI Plan'!$B$6:$B$173,B1657,'PSI Plan'!$C$6:$C$173,I1657))</f>
        <v>0</v>
      </c>
      <c r="O1657" s="11">
        <f t="shared" si="50"/>
        <v>0</v>
      </c>
      <c r="P1657" s="11">
        <f t="shared" si="51"/>
        <v>0</v>
      </c>
      <c r="Q1657" s="6"/>
      <c r="R1657" s="6"/>
      <c r="S1657" s="6"/>
      <c r="T1657" s="6"/>
    </row>
    <row r="1658" spans="1:20">
      <c r="A1658" s="6" t="s">
        <v>1816</v>
      </c>
      <c r="B1658" s="6" t="s">
        <v>67</v>
      </c>
      <c r="C1658" s="6" t="s">
        <v>100</v>
      </c>
      <c r="D1658" s="6" t="s">
        <v>567</v>
      </c>
      <c r="E1658" s="6" t="s">
        <v>120</v>
      </c>
      <c r="F1658" s="7">
        <v>13</v>
      </c>
      <c r="G1658" s="7">
        <v>1625</v>
      </c>
      <c r="H1658" s="16">
        <v>45266</v>
      </c>
      <c r="I1658" s="6">
        <v>49</v>
      </c>
      <c r="J1658" s="6" t="s">
        <v>121</v>
      </c>
      <c r="K1658" s="6" t="s">
        <v>781</v>
      </c>
      <c r="L1658" s="11">
        <f>F1658*Controls!$B$6</f>
        <v>13</v>
      </c>
      <c r="M1658" s="11">
        <f>G1658*Controls!$B$6</f>
        <v>1625</v>
      </c>
      <c r="N1658" s="12">
        <f>IF(L1658=0,0,SUMIFS('PSI Plan'!$N$6:$N$173,'PSI Plan'!$B$6:$B$173,B1658,'PSI Plan'!$C$6:$C$173,I1658))</f>
        <v>0</v>
      </c>
      <c r="O1658" s="11">
        <f t="shared" si="50"/>
        <v>0</v>
      </c>
      <c r="P1658" s="11">
        <f t="shared" si="51"/>
        <v>0</v>
      </c>
      <c r="Q1658" s="6"/>
      <c r="R1658" s="6"/>
      <c r="S1658" s="6"/>
      <c r="T1658" s="6"/>
    </row>
    <row r="1659" spans="1:20">
      <c r="A1659" s="6" t="s">
        <v>1817</v>
      </c>
      <c r="B1659" s="6" t="s">
        <v>69</v>
      </c>
      <c r="C1659" s="6" t="s">
        <v>100</v>
      </c>
      <c r="D1659" s="6" t="s">
        <v>567</v>
      </c>
      <c r="E1659" s="6" t="s">
        <v>120</v>
      </c>
      <c r="F1659" s="7">
        <v>20</v>
      </c>
      <c r="G1659" s="7">
        <v>2500</v>
      </c>
      <c r="H1659" s="16">
        <v>45217</v>
      </c>
      <c r="I1659" s="6">
        <v>42</v>
      </c>
      <c r="J1659" s="6" t="s">
        <v>121</v>
      </c>
      <c r="K1659" s="6" t="s">
        <v>781</v>
      </c>
      <c r="L1659" s="11">
        <f>F1659*Controls!$B$6</f>
        <v>20</v>
      </c>
      <c r="M1659" s="11">
        <f>G1659*Controls!$B$6</f>
        <v>2500</v>
      </c>
      <c r="N1659" s="12">
        <f>IF(L1659=0,0,SUMIFS('PSI Plan'!$N$6:$N$173,'PSI Plan'!$B$6:$B$173,B1659,'PSI Plan'!$C$6:$C$173,I1659))</f>
        <v>0</v>
      </c>
      <c r="O1659" s="11">
        <f t="shared" si="50"/>
        <v>0</v>
      </c>
      <c r="P1659" s="11">
        <f t="shared" si="51"/>
        <v>0</v>
      </c>
      <c r="Q1659" s="6"/>
      <c r="R1659" s="6"/>
      <c r="S1659" s="6"/>
      <c r="T1659" s="6"/>
    </row>
    <row r="1660" spans="1:20">
      <c r="A1660" s="6" t="s">
        <v>1818</v>
      </c>
      <c r="B1660" s="6" t="s">
        <v>77</v>
      </c>
      <c r="C1660" s="6" t="s">
        <v>90</v>
      </c>
      <c r="D1660" s="6" t="s">
        <v>119</v>
      </c>
      <c r="E1660" s="6" t="s">
        <v>120</v>
      </c>
      <c r="F1660" s="7">
        <v>28</v>
      </c>
      <c r="G1660" s="7">
        <v>3500</v>
      </c>
      <c r="H1660" s="16">
        <v>45258</v>
      </c>
      <c r="I1660" s="6">
        <v>48</v>
      </c>
      <c r="J1660" s="6" t="s">
        <v>121</v>
      </c>
      <c r="K1660" s="6" t="s">
        <v>725</v>
      </c>
      <c r="L1660" s="11">
        <f>F1660*Controls!$B$6</f>
        <v>28</v>
      </c>
      <c r="M1660" s="11">
        <f>G1660*Controls!$B$6</f>
        <v>3500</v>
      </c>
      <c r="N1660" s="12">
        <f>IF(L1660=0,0,SUMIFS('PSI Plan'!$N$6:$N$173,'PSI Plan'!$B$6:$B$173,B1660,'PSI Plan'!$C$6:$C$173,I1660))</f>
        <v>0</v>
      </c>
      <c r="O1660" s="11">
        <f t="shared" si="50"/>
        <v>0</v>
      </c>
      <c r="P1660" s="11">
        <f t="shared" si="51"/>
        <v>0</v>
      </c>
      <c r="Q1660" s="6"/>
      <c r="R1660" s="6"/>
      <c r="S1660" s="6"/>
      <c r="T1660" s="6"/>
    </row>
    <row r="1661" spans="1:20">
      <c r="A1661" s="6" t="s">
        <v>1819</v>
      </c>
      <c r="B1661" s="6" t="s">
        <v>69</v>
      </c>
      <c r="C1661" s="6" t="s">
        <v>90</v>
      </c>
      <c r="D1661" s="6" t="s">
        <v>119</v>
      </c>
      <c r="E1661" s="6" t="s">
        <v>120</v>
      </c>
      <c r="F1661" s="7">
        <v>65</v>
      </c>
      <c r="G1661" s="7">
        <v>8125</v>
      </c>
      <c r="H1661" s="16">
        <v>45216</v>
      </c>
      <c r="I1661" s="6">
        <v>42</v>
      </c>
      <c r="J1661" s="6" t="s">
        <v>121</v>
      </c>
      <c r="K1661" s="6" t="s">
        <v>725</v>
      </c>
      <c r="L1661" s="11">
        <f>F1661*Controls!$B$6</f>
        <v>65</v>
      </c>
      <c r="M1661" s="11">
        <f>G1661*Controls!$B$6</f>
        <v>8125</v>
      </c>
      <c r="N1661" s="12">
        <f>IF(L1661=0,0,SUMIFS('PSI Plan'!$N$6:$N$173,'PSI Plan'!$B$6:$B$173,B1661,'PSI Plan'!$C$6:$C$173,I1661))</f>
        <v>0</v>
      </c>
      <c r="O1661" s="11">
        <f t="shared" si="50"/>
        <v>0</v>
      </c>
      <c r="P1661" s="11">
        <f t="shared" si="51"/>
        <v>0</v>
      </c>
      <c r="Q1661" s="6"/>
      <c r="R1661" s="6"/>
      <c r="S1661" s="6"/>
      <c r="T1661" s="6"/>
    </row>
    <row r="1662" spans="1:20">
      <c r="A1662" s="6" t="s">
        <v>1820</v>
      </c>
      <c r="B1662" s="6" t="s">
        <v>66</v>
      </c>
      <c r="C1662" s="6" t="s">
        <v>90</v>
      </c>
      <c r="D1662" s="6" t="s">
        <v>119</v>
      </c>
      <c r="E1662" s="6" t="s">
        <v>120</v>
      </c>
      <c r="F1662" s="7">
        <v>66</v>
      </c>
      <c r="G1662" s="7">
        <v>8250</v>
      </c>
      <c r="H1662" s="16">
        <v>45253</v>
      </c>
      <c r="I1662" s="6">
        <v>47</v>
      </c>
      <c r="J1662" s="6" t="s">
        <v>121</v>
      </c>
      <c r="K1662" s="6" t="s">
        <v>122</v>
      </c>
      <c r="L1662" s="11">
        <f>F1662*Controls!$B$6</f>
        <v>66</v>
      </c>
      <c r="M1662" s="11">
        <f>G1662*Controls!$B$6</f>
        <v>8250</v>
      </c>
      <c r="N1662" s="12">
        <f>IF(L1662=0,0,SUMIFS('PSI Plan'!$N$6:$N$173,'PSI Plan'!$B$6:$B$173,B1662,'PSI Plan'!$C$6:$C$173,I1662))</f>
        <v>0</v>
      </c>
      <c r="O1662" s="11">
        <f t="shared" si="50"/>
        <v>0</v>
      </c>
      <c r="P1662" s="11">
        <f t="shared" si="51"/>
        <v>0</v>
      </c>
      <c r="Q1662" s="6"/>
      <c r="R1662" s="6"/>
      <c r="S1662" s="6"/>
      <c r="T1662" s="6"/>
    </row>
    <row r="1663" spans="1:20">
      <c r="A1663" s="6" t="s">
        <v>1821</v>
      </c>
      <c r="B1663" s="6" t="s">
        <v>77</v>
      </c>
      <c r="C1663" s="6" t="s">
        <v>90</v>
      </c>
      <c r="D1663" s="6" t="s">
        <v>119</v>
      </c>
      <c r="E1663" s="6" t="s">
        <v>120</v>
      </c>
      <c r="F1663" s="7">
        <v>97</v>
      </c>
      <c r="G1663" s="7">
        <v>12125</v>
      </c>
      <c r="H1663" s="16">
        <v>45213</v>
      </c>
      <c r="I1663" s="6">
        <v>41</v>
      </c>
      <c r="J1663" s="6" t="s">
        <v>121</v>
      </c>
      <c r="K1663" s="6" t="s">
        <v>122</v>
      </c>
      <c r="L1663" s="11">
        <f>F1663*Controls!$B$6</f>
        <v>97</v>
      </c>
      <c r="M1663" s="11">
        <f>G1663*Controls!$B$6</f>
        <v>12125</v>
      </c>
      <c r="N1663" s="12">
        <f>IF(L1663=0,0,SUMIFS('PSI Plan'!$N$6:$N$173,'PSI Plan'!$B$6:$B$173,B1663,'PSI Plan'!$C$6:$C$173,I1663))</f>
        <v>0</v>
      </c>
      <c r="O1663" s="11">
        <f t="shared" si="50"/>
        <v>0</v>
      </c>
      <c r="P1663" s="11">
        <f t="shared" si="51"/>
        <v>0</v>
      </c>
      <c r="Q1663" s="6"/>
      <c r="R1663" s="6"/>
      <c r="S1663" s="6"/>
      <c r="T1663" s="6"/>
    </row>
    <row r="1664" spans="1:20">
      <c r="A1664" s="6" t="s">
        <v>1822</v>
      </c>
      <c r="B1664" s="6" t="s">
        <v>76</v>
      </c>
      <c r="C1664" s="6" t="s">
        <v>90</v>
      </c>
      <c r="D1664" s="6" t="s">
        <v>119</v>
      </c>
      <c r="E1664" s="6" t="s">
        <v>120</v>
      </c>
      <c r="F1664" s="7">
        <v>66</v>
      </c>
      <c r="G1664" s="7">
        <v>8250</v>
      </c>
      <c r="H1664" s="16">
        <v>45258</v>
      </c>
      <c r="I1664" s="6">
        <v>48</v>
      </c>
      <c r="J1664" s="6" t="s">
        <v>121</v>
      </c>
      <c r="K1664" s="6" t="s">
        <v>122</v>
      </c>
      <c r="L1664" s="11">
        <f>F1664*Controls!$B$6</f>
        <v>66</v>
      </c>
      <c r="M1664" s="11">
        <f>G1664*Controls!$B$6</f>
        <v>8250</v>
      </c>
      <c r="N1664" s="12">
        <f>IF(L1664=0,0,SUMIFS('PSI Plan'!$N$6:$N$173,'PSI Plan'!$B$6:$B$173,B1664,'PSI Plan'!$C$6:$C$173,I1664))</f>
        <v>0</v>
      </c>
      <c r="O1664" s="11">
        <f t="shared" si="50"/>
        <v>0</v>
      </c>
      <c r="P1664" s="11">
        <f t="shared" si="51"/>
        <v>0</v>
      </c>
      <c r="Q1664" s="6"/>
      <c r="R1664" s="6"/>
      <c r="S1664" s="6"/>
      <c r="T1664" s="6"/>
    </row>
    <row r="1665" spans="1:20">
      <c r="A1665" s="6" t="s">
        <v>1823</v>
      </c>
      <c r="B1665" s="6" t="s">
        <v>67</v>
      </c>
      <c r="C1665" s="6" t="s">
        <v>90</v>
      </c>
      <c r="D1665" s="6" t="s">
        <v>119</v>
      </c>
      <c r="E1665" s="6" t="s">
        <v>120</v>
      </c>
      <c r="F1665" s="7">
        <v>41</v>
      </c>
      <c r="G1665" s="7">
        <v>5125</v>
      </c>
      <c r="H1665" s="16">
        <v>45282</v>
      </c>
      <c r="I1665" s="6">
        <v>51</v>
      </c>
      <c r="J1665" s="6" t="s">
        <v>121</v>
      </c>
      <c r="K1665" s="6" t="s">
        <v>122</v>
      </c>
      <c r="L1665" s="11">
        <f>F1665*Controls!$B$6</f>
        <v>41</v>
      </c>
      <c r="M1665" s="11">
        <f>G1665*Controls!$B$6</f>
        <v>5125</v>
      </c>
      <c r="N1665" s="12">
        <f>IF(L1665=0,0,SUMIFS('PSI Plan'!$N$6:$N$173,'PSI Plan'!$B$6:$B$173,B1665,'PSI Plan'!$C$6:$C$173,I1665))</f>
        <v>0</v>
      </c>
      <c r="O1665" s="11">
        <f t="shared" si="50"/>
        <v>0</v>
      </c>
      <c r="P1665" s="11">
        <f t="shared" si="51"/>
        <v>0</v>
      </c>
      <c r="Q1665" s="6"/>
      <c r="R1665" s="6"/>
      <c r="S1665" s="6"/>
      <c r="T1665" s="6"/>
    </row>
    <row r="1666" spans="1:20">
      <c r="A1666" s="6" t="s">
        <v>1824</v>
      </c>
      <c r="B1666" s="6" t="s">
        <v>69</v>
      </c>
      <c r="C1666" s="6" t="s">
        <v>90</v>
      </c>
      <c r="D1666" s="6" t="s">
        <v>119</v>
      </c>
      <c r="E1666" s="6" t="s">
        <v>120</v>
      </c>
      <c r="F1666" s="7">
        <v>67</v>
      </c>
      <c r="G1666" s="7">
        <v>8375</v>
      </c>
      <c r="H1666" s="16">
        <v>45255</v>
      </c>
      <c r="I1666" s="6">
        <v>47</v>
      </c>
      <c r="J1666" s="6" t="s">
        <v>121</v>
      </c>
      <c r="K1666" s="6" t="s">
        <v>122</v>
      </c>
      <c r="L1666" s="11">
        <f>F1666*Controls!$B$6</f>
        <v>67</v>
      </c>
      <c r="M1666" s="11">
        <f>G1666*Controls!$B$6</f>
        <v>8375</v>
      </c>
      <c r="N1666" s="12">
        <f>IF(L1666=0,0,SUMIFS('PSI Plan'!$N$6:$N$173,'PSI Plan'!$B$6:$B$173,B1666,'PSI Plan'!$C$6:$C$173,I1666))</f>
        <v>0</v>
      </c>
      <c r="O1666" s="11">
        <f t="shared" ref="O1666:O1729" si="52">L1666*N1666</f>
        <v>0</v>
      </c>
      <c r="P1666" s="11">
        <f t="shared" ref="P1666:P1729" si="53">M1666*N1666</f>
        <v>0</v>
      </c>
      <c r="Q1666" s="6"/>
      <c r="R1666" s="6"/>
      <c r="S1666" s="6"/>
      <c r="T1666" s="6"/>
    </row>
    <row r="1667" spans="1:20">
      <c r="A1667" s="6" t="s">
        <v>1825</v>
      </c>
      <c r="B1667" s="6" t="s">
        <v>66</v>
      </c>
      <c r="C1667" s="6" t="s">
        <v>90</v>
      </c>
      <c r="D1667" s="6" t="s">
        <v>119</v>
      </c>
      <c r="E1667" s="6" t="s">
        <v>120</v>
      </c>
      <c r="F1667" s="7">
        <v>13</v>
      </c>
      <c r="G1667" s="7">
        <v>1625</v>
      </c>
      <c r="H1667" s="16">
        <v>45247</v>
      </c>
      <c r="I1667" s="6">
        <v>46</v>
      </c>
      <c r="J1667" s="6" t="s">
        <v>121</v>
      </c>
      <c r="K1667" s="6" t="s">
        <v>169</v>
      </c>
      <c r="L1667" s="11">
        <f>F1667*Controls!$B$6</f>
        <v>13</v>
      </c>
      <c r="M1667" s="11">
        <f>G1667*Controls!$B$6</f>
        <v>1625</v>
      </c>
      <c r="N1667" s="12">
        <f>IF(L1667=0,0,SUMIFS('PSI Plan'!$N$6:$N$173,'PSI Plan'!$B$6:$B$173,B1667,'PSI Plan'!$C$6:$C$173,I1667))</f>
        <v>0</v>
      </c>
      <c r="O1667" s="11">
        <f t="shared" si="52"/>
        <v>0</v>
      </c>
      <c r="P1667" s="11">
        <f t="shared" si="53"/>
        <v>0</v>
      </c>
      <c r="Q1667" s="6"/>
      <c r="R1667" s="6"/>
      <c r="S1667" s="6"/>
      <c r="T1667" s="6"/>
    </row>
    <row r="1668" spans="1:20">
      <c r="A1668" s="6" t="s">
        <v>1826</v>
      </c>
      <c r="B1668" s="6" t="s">
        <v>77</v>
      </c>
      <c r="C1668" s="6" t="s">
        <v>90</v>
      </c>
      <c r="D1668" s="6" t="s">
        <v>119</v>
      </c>
      <c r="E1668" s="6" t="s">
        <v>120</v>
      </c>
      <c r="F1668" s="7">
        <v>13</v>
      </c>
      <c r="G1668" s="7">
        <v>1625</v>
      </c>
      <c r="H1668" s="16">
        <v>45261</v>
      </c>
      <c r="I1668" s="6">
        <v>48</v>
      </c>
      <c r="J1668" s="6" t="s">
        <v>121</v>
      </c>
      <c r="K1668" s="6" t="s">
        <v>169</v>
      </c>
      <c r="L1668" s="11">
        <f>F1668*Controls!$B$6</f>
        <v>13</v>
      </c>
      <c r="M1668" s="11">
        <f>G1668*Controls!$B$6</f>
        <v>1625</v>
      </c>
      <c r="N1668" s="12">
        <f>IF(L1668=0,0,SUMIFS('PSI Plan'!$N$6:$N$173,'PSI Plan'!$B$6:$B$173,B1668,'PSI Plan'!$C$6:$C$173,I1668))</f>
        <v>0</v>
      </c>
      <c r="O1668" s="11">
        <f t="shared" si="52"/>
        <v>0</v>
      </c>
      <c r="P1668" s="11">
        <f t="shared" si="53"/>
        <v>0</v>
      </c>
      <c r="Q1668" s="6"/>
      <c r="R1668" s="6"/>
      <c r="S1668" s="6"/>
      <c r="T1668" s="6"/>
    </row>
    <row r="1669" spans="1:20">
      <c r="A1669" s="6" t="s">
        <v>1827</v>
      </c>
      <c r="B1669" s="6" t="s">
        <v>69</v>
      </c>
      <c r="C1669" s="6" t="s">
        <v>90</v>
      </c>
      <c r="D1669" s="6" t="s">
        <v>119</v>
      </c>
      <c r="E1669" s="6" t="s">
        <v>120</v>
      </c>
      <c r="F1669" s="7">
        <v>13</v>
      </c>
      <c r="G1669" s="7">
        <v>1625</v>
      </c>
      <c r="H1669" s="16">
        <v>45248</v>
      </c>
      <c r="I1669" s="6">
        <v>46</v>
      </c>
      <c r="J1669" s="6" t="s">
        <v>121</v>
      </c>
      <c r="K1669" s="6" t="s">
        <v>169</v>
      </c>
      <c r="L1669" s="11">
        <f>F1669*Controls!$B$6</f>
        <v>13</v>
      </c>
      <c r="M1669" s="11">
        <f>G1669*Controls!$B$6</f>
        <v>1625</v>
      </c>
      <c r="N1669" s="12">
        <f>IF(L1669=0,0,SUMIFS('PSI Plan'!$N$6:$N$173,'PSI Plan'!$B$6:$B$173,B1669,'PSI Plan'!$C$6:$C$173,I1669))</f>
        <v>0</v>
      </c>
      <c r="O1669" s="11">
        <f t="shared" si="52"/>
        <v>0</v>
      </c>
      <c r="P1669" s="11">
        <f t="shared" si="53"/>
        <v>0</v>
      </c>
      <c r="Q1669" s="6"/>
      <c r="R1669" s="6"/>
      <c r="S1669" s="6"/>
      <c r="T1669" s="6"/>
    </row>
    <row r="1670" spans="1:20">
      <c r="A1670" s="6" t="s">
        <v>1828</v>
      </c>
      <c r="B1670" s="6" t="s">
        <v>66</v>
      </c>
      <c r="C1670" s="6" t="s">
        <v>90</v>
      </c>
      <c r="D1670" s="6" t="s">
        <v>119</v>
      </c>
      <c r="E1670" s="6" t="s">
        <v>120</v>
      </c>
      <c r="F1670" s="7">
        <v>13</v>
      </c>
      <c r="G1670" s="7">
        <v>1625</v>
      </c>
      <c r="H1670" s="16">
        <v>45248</v>
      </c>
      <c r="I1670" s="6">
        <v>46</v>
      </c>
      <c r="J1670" s="6" t="s">
        <v>121</v>
      </c>
      <c r="K1670" s="6" t="s">
        <v>171</v>
      </c>
      <c r="L1670" s="11">
        <f>F1670*Controls!$B$6</f>
        <v>13</v>
      </c>
      <c r="M1670" s="11">
        <f>G1670*Controls!$B$6</f>
        <v>1625</v>
      </c>
      <c r="N1670" s="12">
        <f>IF(L1670=0,0,SUMIFS('PSI Plan'!$N$6:$N$173,'PSI Plan'!$B$6:$B$173,B1670,'PSI Plan'!$C$6:$C$173,I1670))</f>
        <v>0</v>
      </c>
      <c r="O1670" s="11">
        <f t="shared" si="52"/>
        <v>0</v>
      </c>
      <c r="P1670" s="11">
        <f t="shared" si="53"/>
        <v>0</v>
      </c>
      <c r="Q1670" s="6"/>
      <c r="R1670" s="6"/>
      <c r="S1670" s="6"/>
      <c r="T1670" s="6"/>
    </row>
    <row r="1671" spans="1:20">
      <c r="A1671" s="6" t="s">
        <v>1829</v>
      </c>
      <c r="B1671" s="6" t="s">
        <v>77</v>
      </c>
      <c r="C1671" s="6" t="s">
        <v>90</v>
      </c>
      <c r="D1671" s="6" t="s">
        <v>119</v>
      </c>
      <c r="E1671" s="6" t="s">
        <v>120</v>
      </c>
      <c r="F1671" s="7">
        <v>13</v>
      </c>
      <c r="G1671" s="7">
        <v>1625</v>
      </c>
      <c r="H1671" s="16">
        <v>45287</v>
      </c>
      <c r="I1671" s="6">
        <v>52</v>
      </c>
      <c r="J1671" s="6" t="s">
        <v>121</v>
      </c>
      <c r="K1671" s="6" t="s">
        <v>171</v>
      </c>
      <c r="L1671" s="11">
        <f>F1671*Controls!$B$6</f>
        <v>13</v>
      </c>
      <c r="M1671" s="11">
        <f>G1671*Controls!$B$6</f>
        <v>1625</v>
      </c>
      <c r="N1671" s="12">
        <f>IF(L1671=0,0,SUMIFS('PSI Plan'!$N$6:$N$173,'PSI Plan'!$B$6:$B$173,B1671,'PSI Plan'!$C$6:$C$173,I1671))</f>
        <v>0</v>
      </c>
      <c r="O1671" s="11">
        <f t="shared" si="52"/>
        <v>0</v>
      </c>
      <c r="P1671" s="11">
        <f t="shared" si="53"/>
        <v>0</v>
      </c>
      <c r="Q1671" s="6"/>
      <c r="R1671" s="6"/>
      <c r="S1671" s="6"/>
      <c r="T1671" s="6"/>
    </row>
    <row r="1672" spans="1:20">
      <c r="A1672" s="6" t="s">
        <v>1830</v>
      </c>
      <c r="B1672" s="6" t="s">
        <v>69</v>
      </c>
      <c r="C1672" s="6" t="s">
        <v>90</v>
      </c>
      <c r="D1672" s="6" t="s">
        <v>119</v>
      </c>
      <c r="E1672" s="6" t="s">
        <v>120</v>
      </c>
      <c r="F1672" s="7">
        <v>13</v>
      </c>
      <c r="G1672" s="7">
        <v>1625</v>
      </c>
      <c r="H1672" s="16">
        <v>45208</v>
      </c>
      <c r="I1672" s="6">
        <v>41</v>
      </c>
      <c r="J1672" s="6" t="s">
        <v>121</v>
      </c>
      <c r="K1672" s="6" t="s">
        <v>171</v>
      </c>
      <c r="L1672" s="11">
        <f>F1672*Controls!$B$6</f>
        <v>13</v>
      </c>
      <c r="M1672" s="11">
        <f>G1672*Controls!$B$6</f>
        <v>1625</v>
      </c>
      <c r="N1672" s="12">
        <f>IF(L1672=0,0,SUMIFS('PSI Plan'!$N$6:$N$173,'PSI Plan'!$B$6:$B$173,B1672,'PSI Plan'!$C$6:$C$173,I1672))</f>
        <v>0</v>
      </c>
      <c r="O1672" s="11">
        <f t="shared" si="52"/>
        <v>0</v>
      </c>
      <c r="P1672" s="11">
        <f t="shared" si="53"/>
        <v>0</v>
      </c>
      <c r="Q1672" s="6"/>
      <c r="R1672" s="6"/>
      <c r="S1672" s="6"/>
      <c r="T1672" s="6"/>
    </row>
    <row r="1673" spans="1:20">
      <c r="A1673" s="6" t="s">
        <v>1831</v>
      </c>
      <c r="B1673" s="6" t="s">
        <v>66</v>
      </c>
      <c r="C1673" s="6" t="s">
        <v>99</v>
      </c>
      <c r="D1673" s="6" t="s">
        <v>319</v>
      </c>
      <c r="E1673" s="6" t="s">
        <v>120</v>
      </c>
      <c r="F1673" s="7">
        <v>52</v>
      </c>
      <c r="G1673" s="7">
        <v>6500</v>
      </c>
      <c r="H1673" s="16">
        <v>45246</v>
      </c>
      <c r="I1673" s="6">
        <v>46</v>
      </c>
      <c r="J1673" s="6" t="s">
        <v>121</v>
      </c>
      <c r="K1673" s="6" t="s">
        <v>344</v>
      </c>
      <c r="L1673" s="11">
        <f>F1673*Controls!$B$6</f>
        <v>52</v>
      </c>
      <c r="M1673" s="11">
        <f>G1673*Controls!$B$6</f>
        <v>6500</v>
      </c>
      <c r="N1673" s="12">
        <f>IF(L1673=0,0,SUMIFS('PSI Plan'!$N$6:$N$173,'PSI Plan'!$B$6:$B$173,B1673,'PSI Plan'!$C$6:$C$173,I1673))</f>
        <v>0</v>
      </c>
      <c r="O1673" s="11">
        <f t="shared" si="52"/>
        <v>0</v>
      </c>
      <c r="P1673" s="11">
        <f t="shared" si="53"/>
        <v>0</v>
      </c>
      <c r="Q1673" s="6"/>
      <c r="R1673" s="6"/>
      <c r="S1673" s="6"/>
      <c r="T1673" s="6"/>
    </row>
    <row r="1674" spans="1:20">
      <c r="A1674" s="6" t="s">
        <v>1832</v>
      </c>
      <c r="B1674" s="6" t="s">
        <v>69</v>
      </c>
      <c r="C1674" s="6" t="s">
        <v>99</v>
      </c>
      <c r="D1674" s="6" t="s">
        <v>319</v>
      </c>
      <c r="E1674" s="6" t="s">
        <v>120</v>
      </c>
      <c r="F1674" s="7">
        <v>52</v>
      </c>
      <c r="G1674" s="7">
        <v>6500</v>
      </c>
      <c r="H1674" s="16">
        <v>45216</v>
      </c>
      <c r="I1674" s="6">
        <v>42</v>
      </c>
      <c r="J1674" s="6" t="s">
        <v>121</v>
      </c>
      <c r="K1674" s="6" t="s">
        <v>344</v>
      </c>
      <c r="L1674" s="11">
        <f>F1674*Controls!$B$6</f>
        <v>52</v>
      </c>
      <c r="M1674" s="11">
        <f>G1674*Controls!$B$6</f>
        <v>6500</v>
      </c>
      <c r="N1674" s="12">
        <f>IF(L1674=0,0,SUMIFS('PSI Plan'!$N$6:$N$173,'PSI Plan'!$B$6:$B$173,B1674,'PSI Plan'!$C$6:$C$173,I1674))</f>
        <v>0</v>
      </c>
      <c r="O1674" s="11">
        <f t="shared" si="52"/>
        <v>0</v>
      </c>
      <c r="P1674" s="11">
        <f t="shared" si="53"/>
        <v>0</v>
      </c>
      <c r="Q1674" s="6"/>
      <c r="R1674" s="6"/>
      <c r="S1674" s="6"/>
      <c r="T1674" s="6"/>
    </row>
    <row r="1675" spans="1:20">
      <c r="A1675" s="6" t="s">
        <v>1833</v>
      </c>
      <c r="B1675" s="6" t="s">
        <v>66</v>
      </c>
      <c r="C1675" s="6" t="s">
        <v>99</v>
      </c>
      <c r="D1675" s="6" t="s">
        <v>319</v>
      </c>
      <c r="E1675" s="6" t="s">
        <v>120</v>
      </c>
      <c r="F1675" s="7">
        <v>82</v>
      </c>
      <c r="G1675" s="7">
        <v>10250</v>
      </c>
      <c r="H1675" s="16">
        <v>45280</v>
      </c>
      <c r="I1675" s="6">
        <v>51</v>
      </c>
      <c r="J1675" s="6" t="s">
        <v>121</v>
      </c>
      <c r="K1675" s="6" t="s">
        <v>459</v>
      </c>
      <c r="L1675" s="11">
        <f>F1675*Controls!$B$6</f>
        <v>82</v>
      </c>
      <c r="M1675" s="11">
        <f>G1675*Controls!$B$6</f>
        <v>10250</v>
      </c>
      <c r="N1675" s="12">
        <f>IF(L1675=0,0,SUMIFS('PSI Plan'!$N$6:$N$173,'PSI Plan'!$B$6:$B$173,B1675,'PSI Plan'!$C$6:$C$173,I1675))</f>
        <v>0</v>
      </c>
      <c r="O1675" s="11">
        <f t="shared" si="52"/>
        <v>0</v>
      </c>
      <c r="P1675" s="11">
        <f t="shared" si="53"/>
        <v>0</v>
      </c>
      <c r="Q1675" s="6"/>
      <c r="R1675" s="6"/>
      <c r="S1675" s="6"/>
      <c r="T1675" s="6"/>
    </row>
    <row r="1676" spans="1:20">
      <c r="A1676" s="6" t="s">
        <v>1834</v>
      </c>
      <c r="B1676" s="6" t="s">
        <v>77</v>
      </c>
      <c r="C1676" s="6" t="s">
        <v>99</v>
      </c>
      <c r="D1676" s="6" t="s">
        <v>319</v>
      </c>
      <c r="E1676" s="6" t="s">
        <v>120</v>
      </c>
      <c r="F1676" s="7">
        <v>75</v>
      </c>
      <c r="G1676" s="7">
        <v>9375</v>
      </c>
      <c r="H1676" s="16">
        <v>45267</v>
      </c>
      <c r="I1676" s="6">
        <v>49</v>
      </c>
      <c r="J1676" s="6" t="s">
        <v>121</v>
      </c>
      <c r="K1676" s="6" t="s">
        <v>459</v>
      </c>
      <c r="L1676" s="11">
        <f>F1676*Controls!$B$6</f>
        <v>75</v>
      </c>
      <c r="M1676" s="11">
        <f>G1676*Controls!$B$6</f>
        <v>9375</v>
      </c>
      <c r="N1676" s="12">
        <f>IF(L1676=0,0,SUMIFS('PSI Plan'!$N$6:$N$173,'PSI Plan'!$B$6:$B$173,B1676,'PSI Plan'!$C$6:$C$173,I1676))</f>
        <v>0</v>
      </c>
      <c r="O1676" s="11">
        <f t="shared" si="52"/>
        <v>0</v>
      </c>
      <c r="P1676" s="11">
        <f t="shared" si="53"/>
        <v>0</v>
      </c>
      <c r="Q1676" s="6"/>
      <c r="R1676" s="6"/>
      <c r="S1676" s="6"/>
      <c r="T1676" s="6"/>
    </row>
    <row r="1677" spans="1:20">
      <c r="A1677" s="6" t="s">
        <v>1835</v>
      </c>
      <c r="B1677" s="6" t="s">
        <v>67</v>
      </c>
      <c r="C1677" s="6" t="s">
        <v>99</v>
      </c>
      <c r="D1677" s="6" t="s">
        <v>319</v>
      </c>
      <c r="E1677" s="6" t="s">
        <v>120</v>
      </c>
      <c r="F1677" s="7">
        <v>68</v>
      </c>
      <c r="G1677" s="7">
        <v>8500</v>
      </c>
      <c r="H1677" s="16">
        <v>45237</v>
      </c>
      <c r="I1677" s="6">
        <v>45</v>
      </c>
      <c r="J1677" s="6" t="s">
        <v>121</v>
      </c>
      <c r="K1677" s="6" t="s">
        <v>459</v>
      </c>
      <c r="L1677" s="11">
        <f>F1677*Controls!$B$6</f>
        <v>68</v>
      </c>
      <c r="M1677" s="11">
        <f>G1677*Controls!$B$6</f>
        <v>8500</v>
      </c>
      <c r="N1677" s="12">
        <f>IF(L1677=0,0,SUMIFS('PSI Plan'!$N$6:$N$173,'PSI Plan'!$B$6:$B$173,B1677,'PSI Plan'!$C$6:$C$173,I1677))</f>
        <v>0</v>
      </c>
      <c r="O1677" s="11">
        <f t="shared" si="52"/>
        <v>0</v>
      </c>
      <c r="P1677" s="11">
        <f t="shared" si="53"/>
        <v>0</v>
      </c>
      <c r="Q1677" s="6"/>
      <c r="R1677" s="6"/>
      <c r="S1677" s="6"/>
      <c r="T1677" s="6"/>
    </row>
    <row r="1678" spans="1:20">
      <c r="A1678" s="6" t="s">
        <v>1836</v>
      </c>
      <c r="B1678" s="6" t="s">
        <v>69</v>
      </c>
      <c r="C1678" s="6" t="s">
        <v>99</v>
      </c>
      <c r="D1678" s="6" t="s">
        <v>319</v>
      </c>
      <c r="E1678" s="6" t="s">
        <v>120</v>
      </c>
      <c r="F1678" s="7">
        <v>81</v>
      </c>
      <c r="G1678" s="7">
        <v>10125</v>
      </c>
      <c r="H1678" s="16">
        <v>45265</v>
      </c>
      <c r="I1678" s="6">
        <v>49</v>
      </c>
      <c r="J1678" s="6" t="s">
        <v>121</v>
      </c>
      <c r="K1678" s="6" t="s">
        <v>459</v>
      </c>
      <c r="L1678" s="11">
        <f>F1678*Controls!$B$6</f>
        <v>81</v>
      </c>
      <c r="M1678" s="11">
        <f>G1678*Controls!$B$6</f>
        <v>10125</v>
      </c>
      <c r="N1678" s="12">
        <f>IF(L1678=0,0,SUMIFS('PSI Plan'!$N$6:$N$173,'PSI Plan'!$B$6:$B$173,B1678,'PSI Plan'!$C$6:$C$173,I1678))</f>
        <v>0</v>
      </c>
      <c r="O1678" s="11">
        <f t="shared" si="52"/>
        <v>0</v>
      </c>
      <c r="P1678" s="11">
        <f t="shared" si="53"/>
        <v>0</v>
      </c>
      <c r="Q1678" s="6"/>
      <c r="R1678" s="6"/>
      <c r="S1678" s="6"/>
      <c r="T1678" s="6"/>
    </row>
    <row r="1679" spans="1:20">
      <c r="A1679" s="6" t="s">
        <v>1837</v>
      </c>
      <c r="B1679" s="6" t="s">
        <v>66</v>
      </c>
      <c r="C1679" s="6" t="s">
        <v>99</v>
      </c>
      <c r="D1679" s="6" t="s">
        <v>319</v>
      </c>
      <c r="E1679" s="6" t="s">
        <v>120</v>
      </c>
      <c r="F1679" s="7">
        <v>12</v>
      </c>
      <c r="G1679" s="7">
        <v>1500</v>
      </c>
      <c r="H1679" s="16">
        <v>45264</v>
      </c>
      <c r="I1679" s="6">
        <v>49</v>
      </c>
      <c r="J1679" s="6" t="s">
        <v>121</v>
      </c>
      <c r="K1679" s="6" t="s">
        <v>347</v>
      </c>
      <c r="L1679" s="11">
        <f>F1679*Controls!$B$6</f>
        <v>12</v>
      </c>
      <c r="M1679" s="11">
        <f>G1679*Controls!$B$6</f>
        <v>1500</v>
      </c>
      <c r="N1679" s="12">
        <f>IF(L1679=0,0,SUMIFS('PSI Plan'!$N$6:$N$173,'PSI Plan'!$B$6:$B$173,B1679,'PSI Plan'!$C$6:$C$173,I1679))</f>
        <v>0</v>
      </c>
      <c r="O1679" s="11">
        <f t="shared" si="52"/>
        <v>0</v>
      </c>
      <c r="P1679" s="11">
        <f t="shared" si="53"/>
        <v>0</v>
      </c>
      <c r="Q1679" s="6"/>
      <c r="R1679" s="6"/>
      <c r="S1679" s="6"/>
      <c r="T1679" s="6"/>
    </row>
    <row r="1680" spans="1:20">
      <c r="A1680" s="6" t="s">
        <v>1838</v>
      </c>
      <c r="B1680" s="6" t="s">
        <v>77</v>
      </c>
      <c r="C1680" s="6" t="s">
        <v>99</v>
      </c>
      <c r="D1680" s="6" t="s">
        <v>319</v>
      </c>
      <c r="E1680" s="6" t="s">
        <v>120</v>
      </c>
      <c r="F1680" s="7">
        <v>36</v>
      </c>
      <c r="G1680" s="7">
        <v>4500</v>
      </c>
      <c r="H1680" s="16">
        <v>45236</v>
      </c>
      <c r="I1680" s="6">
        <v>45</v>
      </c>
      <c r="J1680" s="6" t="s">
        <v>121</v>
      </c>
      <c r="K1680" s="6" t="s">
        <v>347</v>
      </c>
      <c r="L1680" s="11">
        <f>F1680*Controls!$B$6</f>
        <v>36</v>
      </c>
      <c r="M1680" s="11">
        <f>G1680*Controls!$B$6</f>
        <v>4500</v>
      </c>
      <c r="N1680" s="12">
        <f>IF(L1680=0,0,SUMIFS('PSI Plan'!$N$6:$N$173,'PSI Plan'!$B$6:$B$173,B1680,'PSI Plan'!$C$6:$C$173,I1680))</f>
        <v>0</v>
      </c>
      <c r="O1680" s="11">
        <f t="shared" si="52"/>
        <v>0</v>
      </c>
      <c r="P1680" s="11">
        <f t="shared" si="53"/>
        <v>0</v>
      </c>
      <c r="Q1680" s="6"/>
      <c r="R1680" s="6"/>
      <c r="S1680" s="6"/>
      <c r="T1680" s="6"/>
    </row>
    <row r="1681" spans="1:20">
      <c r="A1681" s="6" t="s">
        <v>1839</v>
      </c>
      <c r="B1681" s="6" t="s">
        <v>76</v>
      </c>
      <c r="C1681" s="6" t="s">
        <v>99</v>
      </c>
      <c r="D1681" s="6" t="s">
        <v>319</v>
      </c>
      <c r="E1681" s="6" t="s">
        <v>120</v>
      </c>
      <c r="F1681" s="7">
        <v>12</v>
      </c>
      <c r="G1681" s="7">
        <v>1500</v>
      </c>
      <c r="H1681" s="16">
        <v>45233</v>
      </c>
      <c r="I1681" s="6">
        <v>44</v>
      </c>
      <c r="J1681" s="6" t="s">
        <v>121</v>
      </c>
      <c r="K1681" s="6" t="s">
        <v>347</v>
      </c>
      <c r="L1681" s="11">
        <f>F1681*Controls!$B$6</f>
        <v>12</v>
      </c>
      <c r="M1681" s="11">
        <f>G1681*Controls!$B$6</f>
        <v>1500</v>
      </c>
      <c r="N1681" s="12">
        <f>IF(L1681=0,0,SUMIFS('PSI Plan'!$N$6:$N$173,'PSI Plan'!$B$6:$B$173,B1681,'PSI Plan'!$C$6:$C$173,I1681))</f>
        <v>0</v>
      </c>
      <c r="O1681" s="11">
        <f t="shared" si="52"/>
        <v>0</v>
      </c>
      <c r="P1681" s="11">
        <f t="shared" si="53"/>
        <v>0</v>
      </c>
      <c r="Q1681" s="6"/>
      <c r="R1681" s="6"/>
      <c r="S1681" s="6"/>
      <c r="T1681" s="6"/>
    </row>
    <row r="1682" spans="1:20">
      <c r="A1682" s="6" t="s">
        <v>1840</v>
      </c>
      <c r="B1682" s="6" t="s">
        <v>67</v>
      </c>
      <c r="C1682" s="6" t="s">
        <v>99</v>
      </c>
      <c r="D1682" s="6" t="s">
        <v>319</v>
      </c>
      <c r="E1682" s="6" t="s">
        <v>120</v>
      </c>
      <c r="F1682" s="7">
        <v>60</v>
      </c>
      <c r="G1682" s="7">
        <v>7500</v>
      </c>
      <c r="H1682" s="16">
        <v>45243</v>
      </c>
      <c r="I1682" s="6">
        <v>46</v>
      </c>
      <c r="J1682" s="6" t="s">
        <v>121</v>
      </c>
      <c r="K1682" s="6" t="s">
        <v>347</v>
      </c>
      <c r="L1682" s="11">
        <f>F1682*Controls!$B$6</f>
        <v>60</v>
      </c>
      <c r="M1682" s="11">
        <f>G1682*Controls!$B$6</f>
        <v>7500</v>
      </c>
      <c r="N1682" s="12">
        <f>IF(L1682=0,0,SUMIFS('PSI Plan'!$N$6:$N$173,'PSI Plan'!$B$6:$B$173,B1682,'PSI Plan'!$C$6:$C$173,I1682))</f>
        <v>0</v>
      </c>
      <c r="O1682" s="11">
        <f t="shared" si="52"/>
        <v>0</v>
      </c>
      <c r="P1682" s="11">
        <f t="shared" si="53"/>
        <v>0</v>
      </c>
      <c r="Q1682" s="6"/>
      <c r="R1682" s="6"/>
      <c r="S1682" s="6"/>
      <c r="T1682" s="6"/>
    </row>
    <row r="1683" spans="1:20">
      <c r="A1683" s="6" t="s">
        <v>1841</v>
      </c>
      <c r="B1683" s="6" t="s">
        <v>69</v>
      </c>
      <c r="C1683" s="6" t="s">
        <v>99</v>
      </c>
      <c r="D1683" s="6" t="s">
        <v>319</v>
      </c>
      <c r="E1683" s="6" t="s">
        <v>120</v>
      </c>
      <c r="F1683" s="7">
        <v>52</v>
      </c>
      <c r="G1683" s="7">
        <v>6500</v>
      </c>
      <c r="H1683" s="16">
        <v>45254</v>
      </c>
      <c r="I1683" s="6">
        <v>47</v>
      </c>
      <c r="J1683" s="6" t="s">
        <v>121</v>
      </c>
      <c r="K1683" s="6" t="s">
        <v>347</v>
      </c>
      <c r="L1683" s="11">
        <f>F1683*Controls!$B$6</f>
        <v>52</v>
      </c>
      <c r="M1683" s="11">
        <f>G1683*Controls!$B$6</f>
        <v>6500</v>
      </c>
      <c r="N1683" s="12">
        <f>IF(L1683=0,0,SUMIFS('PSI Plan'!$N$6:$N$173,'PSI Plan'!$B$6:$B$173,B1683,'PSI Plan'!$C$6:$C$173,I1683))</f>
        <v>0</v>
      </c>
      <c r="O1683" s="11">
        <f t="shared" si="52"/>
        <v>0</v>
      </c>
      <c r="P1683" s="11">
        <f t="shared" si="53"/>
        <v>0</v>
      </c>
      <c r="Q1683" s="6"/>
      <c r="R1683" s="6"/>
      <c r="S1683" s="6"/>
      <c r="T1683" s="6"/>
    </row>
    <row r="1684" spans="1:20">
      <c r="A1684" s="6" t="s">
        <v>1842</v>
      </c>
      <c r="B1684" s="6" t="s">
        <v>66</v>
      </c>
      <c r="C1684" s="6" t="s">
        <v>99</v>
      </c>
      <c r="D1684" s="6" t="s">
        <v>319</v>
      </c>
      <c r="E1684" s="6" t="s">
        <v>120</v>
      </c>
      <c r="F1684" s="7">
        <v>25</v>
      </c>
      <c r="G1684" s="7">
        <v>3125</v>
      </c>
      <c r="H1684" s="16">
        <v>45205</v>
      </c>
      <c r="I1684" s="6">
        <v>40</v>
      </c>
      <c r="J1684" s="6" t="s">
        <v>121</v>
      </c>
      <c r="K1684" s="6" t="s">
        <v>324</v>
      </c>
      <c r="L1684" s="11">
        <f>F1684*Controls!$B$6</f>
        <v>25</v>
      </c>
      <c r="M1684" s="11">
        <f>G1684*Controls!$B$6</f>
        <v>3125</v>
      </c>
      <c r="N1684" s="12">
        <f>IF(L1684=0,0,SUMIFS('PSI Plan'!$N$6:$N$173,'PSI Plan'!$B$6:$B$173,B1684,'PSI Plan'!$C$6:$C$173,I1684))</f>
        <v>0</v>
      </c>
      <c r="O1684" s="11">
        <f t="shared" si="52"/>
        <v>0</v>
      </c>
      <c r="P1684" s="11">
        <f t="shared" si="53"/>
        <v>0</v>
      </c>
      <c r="Q1684" s="6"/>
      <c r="R1684" s="6"/>
      <c r="S1684" s="6"/>
      <c r="T1684" s="6"/>
    </row>
    <row r="1685" spans="1:20">
      <c r="A1685" s="6" t="s">
        <v>1843</v>
      </c>
      <c r="B1685" s="6" t="s">
        <v>77</v>
      </c>
      <c r="C1685" s="6" t="s">
        <v>99</v>
      </c>
      <c r="D1685" s="6" t="s">
        <v>319</v>
      </c>
      <c r="E1685" s="6" t="s">
        <v>120</v>
      </c>
      <c r="F1685" s="7">
        <v>52</v>
      </c>
      <c r="G1685" s="7">
        <v>6500</v>
      </c>
      <c r="H1685" s="16">
        <v>45242</v>
      </c>
      <c r="I1685" s="6">
        <v>46</v>
      </c>
      <c r="J1685" s="6" t="s">
        <v>121</v>
      </c>
      <c r="K1685" s="6" t="s">
        <v>324</v>
      </c>
      <c r="L1685" s="11">
        <f>F1685*Controls!$B$6</f>
        <v>52</v>
      </c>
      <c r="M1685" s="11">
        <f>G1685*Controls!$B$6</f>
        <v>6500</v>
      </c>
      <c r="N1685" s="12">
        <f>IF(L1685=0,0,SUMIFS('PSI Plan'!$N$6:$N$173,'PSI Plan'!$B$6:$B$173,B1685,'PSI Plan'!$C$6:$C$173,I1685))</f>
        <v>0</v>
      </c>
      <c r="O1685" s="11">
        <f t="shared" si="52"/>
        <v>0</v>
      </c>
      <c r="P1685" s="11">
        <f t="shared" si="53"/>
        <v>0</v>
      </c>
      <c r="Q1685" s="6"/>
      <c r="R1685" s="6"/>
      <c r="S1685" s="6"/>
      <c r="T1685" s="6"/>
    </row>
    <row r="1686" spans="1:20">
      <c r="A1686" s="6" t="s">
        <v>1844</v>
      </c>
      <c r="B1686" s="6" t="s">
        <v>67</v>
      </c>
      <c r="C1686" s="6" t="s">
        <v>99</v>
      </c>
      <c r="D1686" s="6" t="s">
        <v>319</v>
      </c>
      <c r="E1686" s="6" t="s">
        <v>120</v>
      </c>
      <c r="F1686" s="7">
        <v>28</v>
      </c>
      <c r="G1686" s="7">
        <v>3500</v>
      </c>
      <c r="H1686" s="16">
        <v>45211</v>
      </c>
      <c r="I1686" s="6">
        <v>41</v>
      </c>
      <c r="J1686" s="6" t="s">
        <v>121</v>
      </c>
      <c r="K1686" s="6" t="s">
        <v>324</v>
      </c>
      <c r="L1686" s="11">
        <f>F1686*Controls!$B$6</f>
        <v>28</v>
      </c>
      <c r="M1686" s="11">
        <f>G1686*Controls!$B$6</f>
        <v>3500</v>
      </c>
      <c r="N1686" s="12">
        <f>IF(L1686=0,0,SUMIFS('PSI Plan'!$N$6:$N$173,'PSI Plan'!$B$6:$B$173,B1686,'PSI Plan'!$C$6:$C$173,I1686))</f>
        <v>0</v>
      </c>
      <c r="O1686" s="11">
        <f t="shared" si="52"/>
        <v>0</v>
      </c>
      <c r="P1686" s="11">
        <f t="shared" si="53"/>
        <v>0</v>
      </c>
      <c r="Q1686" s="6"/>
      <c r="R1686" s="6"/>
      <c r="S1686" s="6"/>
      <c r="T1686" s="6"/>
    </row>
    <row r="1687" spans="1:20">
      <c r="A1687" s="6" t="s">
        <v>1845</v>
      </c>
      <c r="B1687" s="6" t="s">
        <v>69</v>
      </c>
      <c r="C1687" s="6" t="s">
        <v>99</v>
      </c>
      <c r="D1687" s="6" t="s">
        <v>319</v>
      </c>
      <c r="E1687" s="6" t="s">
        <v>120</v>
      </c>
      <c r="F1687" s="7">
        <v>27</v>
      </c>
      <c r="G1687" s="7">
        <v>3375</v>
      </c>
      <c r="H1687" s="16">
        <v>45246</v>
      </c>
      <c r="I1687" s="6">
        <v>46</v>
      </c>
      <c r="J1687" s="6" t="s">
        <v>121</v>
      </c>
      <c r="K1687" s="6" t="s">
        <v>324</v>
      </c>
      <c r="L1687" s="11">
        <f>F1687*Controls!$B$6</f>
        <v>27</v>
      </c>
      <c r="M1687" s="11">
        <f>G1687*Controls!$B$6</f>
        <v>3375</v>
      </c>
      <c r="N1687" s="12">
        <f>IF(L1687=0,0,SUMIFS('PSI Plan'!$N$6:$N$173,'PSI Plan'!$B$6:$B$173,B1687,'PSI Plan'!$C$6:$C$173,I1687))</f>
        <v>0</v>
      </c>
      <c r="O1687" s="11">
        <f t="shared" si="52"/>
        <v>0</v>
      </c>
      <c r="P1687" s="11">
        <f t="shared" si="53"/>
        <v>0</v>
      </c>
      <c r="Q1687" s="6"/>
      <c r="R1687" s="6"/>
      <c r="S1687" s="6"/>
      <c r="T1687" s="6"/>
    </row>
    <row r="1688" spans="1:20">
      <c r="A1688" s="6" t="s">
        <v>1846</v>
      </c>
      <c r="B1688" s="6" t="s">
        <v>66</v>
      </c>
      <c r="C1688" s="6" t="s">
        <v>99</v>
      </c>
      <c r="D1688" s="6" t="s">
        <v>319</v>
      </c>
      <c r="E1688" s="6" t="s">
        <v>120</v>
      </c>
      <c r="F1688" s="7">
        <v>53</v>
      </c>
      <c r="G1688" s="7">
        <v>6625</v>
      </c>
      <c r="H1688" s="16">
        <v>45218</v>
      </c>
      <c r="I1688" s="6">
        <v>42</v>
      </c>
      <c r="J1688" s="6" t="s">
        <v>121</v>
      </c>
      <c r="K1688" s="6" t="s">
        <v>361</v>
      </c>
      <c r="L1688" s="11">
        <f>F1688*Controls!$B$6</f>
        <v>53</v>
      </c>
      <c r="M1688" s="11">
        <f>G1688*Controls!$B$6</f>
        <v>6625</v>
      </c>
      <c r="N1688" s="12">
        <f>IF(L1688=0,0,SUMIFS('PSI Plan'!$N$6:$N$173,'PSI Plan'!$B$6:$B$173,B1688,'PSI Plan'!$C$6:$C$173,I1688))</f>
        <v>0.59807073954983925</v>
      </c>
      <c r="O1688" s="11">
        <f t="shared" si="52"/>
        <v>31.69774919614148</v>
      </c>
      <c r="P1688" s="11">
        <f t="shared" si="53"/>
        <v>3962.2186495176852</v>
      </c>
      <c r="Q1688" s="6"/>
      <c r="R1688" s="6"/>
      <c r="S1688" s="6"/>
      <c r="T1688" s="6"/>
    </row>
    <row r="1689" spans="1:20">
      <c r="A1689" s="6" t="s">
        <v>1847</v>
      </c>
      <c r="B1689" s="6" t="s">
        <v>77</v>
      </c>
      <c r="C1689" s="6" t="s">
        <v>99</v>
      </c>
      <c r="D1689" s="6" t="s">
        <v>319</v>
      </c>
      <c r="E1689" s="6" t="s">
        <v>120</v>
      </c>
      <c r="F1689" s="7">
        <v>59</v>
      </c>
      <c r="G1689" s="7">
        <v>7375</v>
      </c>
      <c r="H1689" s="16">
        <v>45234</v>
      </c>
      <c r="I1689" s="6">
        <v>44</v>
      </c>
      <c r="J1689" s="6" t="s">
        <v>121</v>
      </c>
      <c r="K1689" s="6" t="s">
        <v>361</v>
      </c>
      <c r="L1689" s="11">
        <f>F1689*Controls!$B$6</f>
        <v>59</v>
      </c>
      <c r="M1689" s="11">
        <f>G1689*Controls!$B$6</f>
        <v>7375</v>
      </c>
      <c r="N1689" s="12">
        <f>IF(L1689=0,0,SUMIFS('PSI Plan'!$N$6:$N$173,'PSI Plan'!$B$6:$B$173,B1689,'PSI Plan'!$C$6:$C$173,I1689))</f>
        <v>0</v>
      </c>
      <c r="O1689" s="11">
        <f t="shared" si="52"/>
        <v>0</v>
      </c>
      <c r="P1689" s="11">
        <f t="shared" si="53"/>
        <v>0</v>
      </c>
      <c r="Q1689" s="6"/>
      <c r="R1689" s="6"/>
      <c r="S1689" s="6"/>
      <c r="T1689" s="6"/>
    </row>
    <row r="1690" spans="1:20">
      <c r="A1690" s="6" t="s">
        <v>1848</v>
      </c>
      <c r="B1690" s="6" t="s">
        <v>67</v>
      </c>
      <c r="C1690" s="6" t="s">
        <v>99</v>
      </c>
      <c r="D1690" s="6" t="s">
        <v>319</v>
      </c>
      <c r="E1690" s="6" t="s">
        <v>120</v>
      </c>
      <c r="F1690" s="7">
        <v>54</v>
      </c>
      <c r="G1690" s="7">
        <v>6750</v>
      </c>
      <c r="H1690" s="16">
        <v>45288</v>
      </c>
      <c r="I1690" s="6">
        <v>52</v>
      </c>
      <c r="J1690" s="6" t="s">
        <v>121</v>
      </c>
      <c r="K1690" s="6" t="s">
        <v>361</v>
      </c>
      <c r="L1690" s="11">
        <f>F1690*Controls!$B$6</f>
        <v>54</v>
      </c>
      <c r="M1690" s="11">
        <f>G1690*Controls!$B$6</f>
        <v>6750</v>
      </c>
      <c r="N1690" s="12">
        <f>IF(L1690=0,0,SUMIFS('PSI Plan'!$N$6:$N$173,'PSI Plan'!$B$6:$B$173,B1690,'PSI Plan'!$C$6:$C$173,I1690))</f>
        <v>0</v>
      </c>
      <c r="O1690" s="11">
        <f t="shared" si="52"/>
        <v>0</v>
      </c>
      <c r="P1690" s="11">
        <f t="shared" si="53"/>
        <v>0</v>
      </c>
      <c r="Q1690" s="6"/>
      <c r="R1690" s="6"/>
      <c r="S1690" s="6"/>
      <c r="T1690" s="6"/>
    </row>
    <row r="1691" spans="1:20">
      <c r="A1691" s="6" t="s">
        <v>1849</v>
      </c>
      <c r="B1691" s="6" t="s">
        <v>69</v>
      </c>
      <c r="C1691" s="6" t="s">
        <v>99</v>
      </c>
      <c r="D1691" s="6" t="s">
        <v>319</v>
      </c>
      <c r="E1691" s="6" t="s">
        <v>120</v>
      </c>
      <c r="F1691" s="7">
        <v>56</v>
      </c>
      <c r="G1691" s="7">
        <v>7000</v>
      </c>
      <c r="H1691" s="16">
        <v>45272</v>
      </c>
      <c r="I1691" s="6">
        <v>50</v>
      </c>
      <c r="J1691" s="6" t="s">
        <v>121</v>
      </c>
      <c r="K1691" s="6" t="s">
        <v>361</v>
      </c>
      <c r="L1691" s="11">
        <f>F1691*Controls!$B$6</f>
        <v>56</v>
      </c>
      <c r="M1691" s="11">
        <f>G1691*Controls!$B$6</f>
        <v>7000</v>
      </c>
      <c r="N1691" s="12">
        <f>IF(L1691=0,0,SUMIFS('PSI Plan'!$N$6:$N$173,'PSI Plan'!$B$6:$B$173,B1691,'PSI Plan'!$C$6:$C$173,I1691))</f>
        <v>0</v>
      </c>
      <c r="O1691" s="11">
        <f t="shared" si="52"/>
        <v>0</v>
      </c>
      <c r="P1691" s="11">
        <f t="shared" si="53"/>
        <v>0</v>
      </c>
      <c r="Q1691" s="6"/>
      <c r="R1691" s="6"/>
      <c r="S1691" s="6"/>
      <c r="T1691" s="6"/>
    </row>
    <row r="1692" spans="1:20">
      <c r="A1692" s="6" t="s">
        <v>1850</v>
      </c>
      <c r="B1692" s="6" t="s">
        <v>66</v>
      </c>
      <c r="C1692" s="6" t="s">
        <v>99</v>
      </c>
      <c r="D1692" s="6" t="s">
        <v>319</v>
      </c>
      <c r="E1692" s="6" t="s">
        <v>120</v>
      </c>
      <c r="F1692" s="7">
        <v>4</v>
      </c>
      <c r="G1692" s="7">
        <v>500</v>
      </c>
      <c r="H1692" s="16">
        <v>45202</v>
      </c>
      <c r="I1692" s="6">
        <v>40</v>
      </c>
      <c r="J1692" s="6" t="s">
        <v>121</v>
      </c>
      <c r="K1692" s="6" t="s">
        <v>374</v>
      </c>
      <c r="L1692" s="11">
        <f>F1692*Controls!$B$6</f>
        <v>4</v>
      </c>
      <c r="M1692" s="11">
        <f>G1692*Controls!$B$6</f>
        <v>500</v>
      </c>
      <c r="N1692" s="12">
        <f>IF(L1692=0,0,SUMIFS('PSI Plan'!$N$6:$N$173,'PSI Plan'!$B$6:$B$173,B1692,'PSI Plan'!$C$6:$C$173,I1692))</f>
        <v>0</v>
      </c>
      <c r="O1692" s="11">
        <f t="shared" si="52"/>
        <v>0</v>
      </c>
      <c r="P1692" s="11">
        <f t="shared" si="53"/>
        <v>0</v>
      </c>
      <c r="Q1692" s="6"/>
      <c r="R1692" s="6"/>
      <c r="S1692" s="6"/>
      <c r="T1692" s="6"/>
    </row>
    <row r="1693" spans="1:20">
      <c r="A1693" s="6" t="s">
        <v>1851</v>
      </c>
      <c r="B1693" s="6" t="s">
        <v>77</v>
      </c>
      <c r="C1693" s="6" t="s">
        <v>99</v>
      </c>
      <c r="D1693" s="6" t="s">
        <v>319</v>
      </c>
      <c r="E1693" s="6" t="s">
        <v>120</v>
      </c>
      <c r="F1693" s="7">
        <v>18</v>
      </c>
      <c r="G1693" s="7">
        <v>2250</v>
      </c>
      <c r="H1693" s="16">
        <v>45281</v>
      </c>
      <c r="I1693" s="6">
        <v>51</v>
      </c>
      <c r="J1693" s="6" t="s">
        <v>121</v>
      </c>
      <c r="K1693" s="6" t="s">
        <v>374</v>
      </c>
      <c r="L1693" s="11">
        <f>F1693*Controls!$B$6</f>
        <v>18</v>
      </c>
      <c r="M1693" s="11">
        <f>G1693*Controls!$B$6</f>
        <v>2250</v>
      </c>
      <c r="N1693" s="12">
        <f>IF(L1693=0,0,SUMIFS('PSI Plan'!$N$6:$N$173,'PSI Plan'!$B$6:$B$173,B1693,'PSI Plan'!$C$6:$C$173,I1693))</f>
        <v>0</v>
      </c>
      <c r="O1693" s="11">
        <f t="shared" si="52"/>
        <v>0</v>
      </c>
      <c r="P1693" s="11">
        <f t="shared" si="53"/>
        <v>0</v>
      </c>
      <c r="Q1693" s="6"/>
      <c r="R1693" s="6"/>
      <c r="S1693" s="6"/>
      <c r="T1693" s="6"/>
    </row>
    <row r="1694" spans="1:20">
      <c r="A1694" s="6" t="s">
        <v>1852</v>
      </c>
      <c r="B1694" s="6" t="s">
        <v>76</v>
      </c>
      <c r="C1694" s="6" t="s">
        <v>99</v>
      </c>
      <c r="D1694" s="6" t="s">
        <v>319</v>
      </c>
      <c r="E1694" s="6" t="s">
        <v>120</v>
      </c>
      <c r="F1694" s="7">
        <v>12</v>
      </c>
      <c r="G1694" s="7">
        <v>1500</v>
      </c>
      <c r="H1694" s="16">
        <v>45208</v>
      </c>
      <c r="I1694" s="6">
        <v>41</v>
      </c>
      <c r="J1694" s="6" t="s">
        <v>121</v>
      </c>
      <c r="K1694" s="6" t="s">
        <v>374</v>
      </c>
      <c r="L1694" s="11">
        <f>F1694*Controls!$B$6</f>
        <v>12</v>
      </c>
      <c r="M1694" s="11">
        <f>G1694*Controls!$B$6</f>
        <v>1500</v>
      </c>
      <c r="N1694" s="12">
        <f>IF(L1694=0,0,SUMIFS('PSI Plan'!$N$6:$N$173,'PSI Plan'!$B$6:$B$173,B1694,'PSI Plan'!$C$6:$C$173,I1694))</f>
        <v>0</v>
      </c>
      <c r="O1694" s="11">
        <f t="shared" si="52"/>
        <v>0</v>
      </c>
      <c r="P1694" s="11">
        <f t="shared" si="53"/>
        <v>0</v>
      </c>
      <c r="Q1694" s="6"/>
      <c r="R1694" s="6"/>
      <c r="S1694" s="6"/>
      <c r="T1694" s="6"/>
    </row>
    <row r="1695" spans="1:20">
      <c r="A1695" s="6" t="s">
        <v>1853</v>
      </c>
      <c r="B1695" s="6" t="s">
        <v>67</v>
      </c>
      <c r="C1695" s="6" t="s">
        <v>99</v>
      </c>
      <c r="D1695" s="6" t="s">
        <v>319</v>
      </c>
      <c r="E1695" s="6" t="s">
        <v>120</v>
      </c>
      <c r="F1695" s="7">
        <v>10</v>
      </c>
      <c r="G1695" s="7">
        <v>1250</v>
      </c>
      <c r="H1695" s="16">
        <v>45206</v>
      </c>
      <c r="I1695" s="6">
        <v>40</v>
      </c>
      <c r="J1695" s="6" t="s">
        <v>121</v>
      </c>
      <c r="K1695" s="6" t="s">
        <v>374</v>
      </c>
      <c r="L1695" s="11">
        <f>F1695*Controls!$B$6</f>
        <v>10</v>
      </c>
      <c r="M1695" s="11">
        <f>G1695*Controls!$B$6</f>
        <v>1250</v>
      </c>
      <c r="N1695" s="12">
        <f>IF(L1695=0,0,SUMIFS('PSI Plan'!$N$6:$N$173,'PSI Plan'!$B$6:$B$173,B1695,'PSI Plan'!$C$6:$C$173,I1695))</f>
        <v>0</v>
      </c>
      <c r="O1695" s="11">
        <f t="shared" si="52"/>
        <v>0</v>
      </c>
      <c r="P1695" s="11">
        <f t="shared" si="53"/>
        <v>0</v>
      </c>
      <c r="Q1695" s="6"/>
      <c r="R1695" s="6"/>
      <c r="S1695" s="6"/>
      <c r="T1695" s="6"/>
    </row>
    <row r="1696" spans="1:20">
      <c r="A1696" s="6" t="s">
        <v>1854</v>
      </c>
      <c r="B1696" s="6" t="s">
        <v>69</v>
      </c>
      <c r="C1696" s="6" t="s">
        <v>99</v>
      </c>
      <c r="D1696" s="6" t="s">
        <v>319</v>
      </c>
      <c r="E1696" s="6" t="s">
        <v>120</v>
      </c>
      <c r="F1696" s="7">
        <v>14</v>
      </c>
      <c r="G1696" s="7">
        <v>1750</v>
      </c>
      <c r="H1696" s="16">
        <v>45271</v>
      </c>
      <c r="I1696" s="6">
        <v>50</v>
      </c>
      <c r="J1696" s="6" t="s">
        <v>121</v>
      </c>
      <c r="K1696" s="6" t="s">
        <v>374</v>
      </c>
      <c r="L1696" s="11">
        <f>F1696*Controls!$B$6</f>
        <v>14</v>
      </c>
      <c r="M1696" s="11">
        <f>G1696*Controls!$B$6</f>
        <v>1750</v>
      </c>
      <c r="N1696" s="12">
        <f>IF(L1696=0,0,SUMIFS('PSI Plan'!$N$6:$N$173,'PSI Plan'!$B$6:$B$173,B1696,'PSI Plan'!$C$6:$C$173,I1696))</f>
        <v>0</v>
      </c>
      <c r="O1696" s="11">
        <f t="shared" si="52"/>
        <v>0</v>
      </c>
      <c r="P1696" s="11">
        <f t="shared" si="53"/>
        <v>0</v>
      </c>
      <c r="Q1696" s="6"/>
      <c r="R1696" s="6"/>
      <c r="S1696" s="6"/>
      <c r="T1696" s="6"/>
    </row>
    <row r="1697" spans="1:20">
      <c r="A1697" s="6" t="s">
        <v>1855</v>
      </c>
      <c r="B1697" s="6" t="s">
        <v>66</v>
      </c>
      <c r="C1697" s="6" t="s">
        <v>90</v>
      </c>
      <c r="D1697" s="6" t="s">
        <v>119</v>
      </c>
      <c r="E1697" s="6" t="s">
        <v>120</v>
      </c>
      <c r="F1697" s="7">
        <v>65</v>
      </c>
      <c r="G1697" s="7">
        <v>8125</v>
      </c>
      <c r="H1697" s="16">
        <v>45288</v>
      </c>
      <c r="I1697" s="6">
        <v>52</v>
      </c>
      <c r="J1697" s="6" t="s">
        <v>121</v>
      </c>
      <c r="K1697" s="6" t="s">
        <v>122</v>
      </c>
      <c r="L1697" s="11">
        <f>F1697*Controls!$B$6</f>
        <v>65</v>
      </c>
      <c r="M1697" s="11">
        <f>G1697*Controls!$B$6</f>
        <v>8125</v>
      </c>
      <c r="N1697" s="12">
        <f>IF(L1697=0,0,SUMIFS('PSI Plan'!$N$6:$N$173,'PSI Plan'!$B$6:$B$173,B1697,'PSI Plan'!$C$6:$C$173,I1697))</f>
        <v>0</v>
      </c>
      <c r="O1697" s="11">
        <f t="shared" si="52"/>
        <v>0</v>
      </c>
      <c r="P1697" s="11">
        <f t="shared" si="53"/>
        <v>0</v>
      </c>
      <c r="Q1697" s="6"/>
      <c r="R1697" s="6"/>
      <c r="S1697" s="6"/>
      <c r="T1697" s="6"/>
    </row>
    <row r="1698" spans="1:20">
      <c r="A1698" s="6" t="s">
        <v>1856</v>
      </c>
      <c r="B1698" s="6" t="s">
        <v>77</v>
      </c>
      <c r="C1698" s="6" t="s">
        <v>90</v>
      </c>
      <c r="D1698" s="6" t="s">
        <v>119</v>
      </c>
      <c r="E1698" s="6" t="s">
        <v>120</v>
      </c>
      <c r="F1698" s="7">
        <v>55</v>
      </c>
      <c r="G1698" s="7">
        <v>6875</v>
      </c>
      <c r="H1698" s="16">
        <v>45287</v>
      </c>
      <c r="I1698" s="6">
        <v>52</v>
      </c>
      <c r="J1698" s="6" t="s">
        <v>121</v>
      </c>
      <c r="K1698" s="6" t="s">
        <v>122</v>
      </c>
      <c r="L1698" s="11">
        <f>F1698*Controls!$B$6</f>
        <v>55</v>
      </c>
      <c r="M1698" s="11">
        <f>G1698*Controls!$B$6</f>
        <v>6875</v>
      </c>
      <c r="N1698" s="12">
        <f>IF(L1698=0,0,SUMIFS('PSI Plan'!$N$6:$N$173,'PSI Plan'!$B$6:$B$173,B1698,'PSI Plan'!$C$6:$C$173,I1698))</f>
        <v>0</v>
      </c>
      <c r="O1698" s="11">
        <f t="shared" si="52"/>
        <v>0</v>
      </c>
      <c r="P1698" s="11">
        <f t="shared" si="53"/>
        <v>0</v>
      </c>
      <c r="Q1698" s="6"/>
      <c r="R1698" s="6"/>
      <c r="S1698" s="6"/>
      <c r="T1698" s="6"/>
    </row>
    <row r="1699" spans="1:20">
      <c r="A1699" s="6" t="s">
        <v>1857</v>
      </c>
      <c r="B1699" s="6" t="s">
        <v>67</v>
      </c>
      <c r="C1699" s="6" t="s">
        <v>90</v>
      </c>
      <c r="D1699" s="6" t="s">
        <v>119</v>
      </c>
      <c r="E1699" s="6" t="s">
        <v>120</v>
      </c>
      <c r="F1699" s="7">
        <v>15</v>
      </c>
      <c r="G1699" s="7">
        <v>1875</v>
      </c>
      <c r="H1699" s="16">
        <v>45223</v>
      </c>
      <c r="I1699" s="6">
        <v>43</v>
      </c>
      <c r="J1699" s="6" t="s">
        <v>121</v>
      </c>
      <c r="K1699" s="6" t="s">
        <v>122</v>
      </c>
      <c r="L1699" s="11">
        <f>F1699*Controls!$B$6</f>
        <v>15</v>
      </c>
      <c r="M1699" s="11">
        <f>G1699*Controls!$B$6</f>
        <v>1875</v>
      </c>
      <c r="N1699" s="12">
        <f>IF(L1699=0,0,SUMIFS('PSI Plan'!$N$6:$N$173,'PSI Plan'!$B$6:$B$173,B1699,'PSI Plan'!$C$6:$C$173,I1699))</f>
        <v>0</v>
      </c>
      <c r="O1699" s="11">
        <f t="shared" si="52"/>
        <v>0</v>
      </c>
      <c r="P1699" s="11">
        <f t="shared" si="53"/>
        <v>0</v>
      </c>
      <c r="Q1699" s="6"/>
      <c r="R1699" s="6"/>
      <c r="S1699" s="6"/>
      <c r="T1699" s="6"/>
    </row>
    <row r="1700" spans="1:20">
      <c r="A1700" s="6" t="s">
        <v>1858</v>
      </c>
      <c r="B1700" s="6" t="s">
        <v>69</v>
      </c>
      <c r="C1700" s="6" t="s">
        <v>90</v>
      </c>
      <c r="D1700" s="6" t="s">
        <v>119</v>
      </c>
      <c r="E1700" s="6" t="s">
        <v>120</v>
      </c>
      <c r="F1700" s="7">
        <v>73</v>
      </c>
      <c r="G1700" s="7">
        <v>9125</v>
      </c>
      <c r="H1700" s="16">
        <v>45272</v>
      </c>
      <c r="I1700" s="6">
        <v>50</v>
      </c>
      <c r="J1700" s="6" t="s">
        <v>121</v>
      </c>
      <c r="K1700" s="6" t="s">
        <v>122</v>
      </c>
      <c r="L1700" s="11">
        <f>F1700*Controls!$B$6</f>
        <v>73</v>
      </c>
      <c r="M1700" s="11">
        <f>G1700*Controls!$B$6</f>
        <v>9125</v>
      </c>
      <c r="N1700" s="12">
        <f>IF(L1700=0,0,SUMIFS('PSI Plan'!$N$6:$N$173,'PSI Plan'!$B$6:$B$173,B1700,'PSI Plan'!$C$6:$C$173,I1700))</f>
        <v>0</v>
      </c>
      <c r="O1700" s="11">
        <f t="shared" si="52"/>
        <v>0</v>
      </c>
      <c r="P1700" s="11">
        <f t="shared" si="53"/>
        <v>0</v>
      </c>
      <c r="Q1700" s="6"/>
      <c r="R1700" s="6"/>
      <c r="S1700" s="6"/>
      <c r="T1700" s="6"/>
    </row>
    <row r="1701" spans="1:20">
      <c r="A1701" s="6" t="s">
        <v>1859</v>
      </c>
      <c r="B1701" s="6" t="s">
        <v>66</v>
      </c>
      <c r="C1701" s="6" t="s">
        <v>90</v>
      </c>
      <c r="D1701" s="6" t="s">
        <v>119</v>
      </c>
      <c r="E1701" s="6" t="s">
        <v>120</v>
      </c>
      <c r="F1701" s="7">
        <v>13</v>
      </c>
      <c r="G1701" s="7">
        <v>1625</v>
      </c>
      <c r="H1701" s="16">
        <v>45218</v>
      </c>
      <c r="I1701" s="6">
        <v>42</v>
      </c>
      <c r="J1701" s="6" t="s">
        <v>121</v>
      </c>
      <c r="K1701" s="6" t="s">
        <v>139</v>
      </c>
      <c r="L1701" s="11">
        <f>F1701*Controls!$B$6</f>
        <v>13</v>
      </c>
      <c r="M1701" s="11">
        <f>G1701*Controls!$B$6</f>
        <v>1625</v>
      </c>
      <c r="N1701" s="12">
        <f>IF(L1701=0,0,SUMIFS('PSI Plan'!$N$6:$N$173,'PSI Plan'!$B$6:$B$173,B1701,'PSI Plan'!$C$6:$C$173,I1701))</f>
        <v>0.59807073954983925</v>
      </c>
      <c r="O1701" s="11">
        <f t="shared" si="52"/>
        <v>7.77491961414791</v>
      </c>
      <c r="P1701" s="11">
        <f t="shared" si="53"/>
        <v>971.86495176848882</v>
      </c>
      <c r="Q1701" s="6"/>
      <c r="R1701" s="6"/>
      <c r="S1701" s="6"/>
      <c r="T1701" s="6"/>
    </row>
    <row r="1702" spans="1:20">
      <c r="A1702" s="6" t="s">
        <v>1860</v>
      </c>
      <c r="B1702" s="6" t="s">
        <v>77</v>
      </c>
      <c r="C1702" s="6" t="s">
        <v>90</v>
      </c>
      <c r="D1702" s="6" t="s">
        <v>119</v>
      </c>
      <c r="E1702" s="6" t="s">
        <v>120</v>
      </c>
      <c r="F1702" s="7">
        <v>13</v>
      </c>
      <c r="G1702" s="7">
        <v>1625</v>
      </c>
      <c r="H1702" s="16">
        <v>45271</v>
      </c>
      <c r="I1702" s="6">
        <v>50</v>
      </c>
      <c r="J1702" s="6" t="s">
        <v>121</v>
      </c>
      <c r="K1702" s="6" t="s">
        <v>139</v>
      </c>
      <c r="L1702" s="11">
        <f>F1702*Controls!$B$6</f>
        <v>13</v>
      </c>
      <c r="M1702" s="11">
        <f>G1702*Controls!$B$6</f>
        <v>1625</v>
      </c>
      <c r="N1702" s="12">
        <f>IF(L1702=0,0,SUMIFS('PSI Plan'!$N$6:$N$173,'PSI Plan'!$B$6:$B$173,B1702,'PSI Plan'!$C$6:$C$173,I1702))</f>
        <v>0</v>
      </c>
      <c r="O1702" s="11">
        <f t="shared" si="52"/>
        <v>0</v>
      </c>
      <c r="P1702" s="11">
        <f t="shared" si="53"/>
        <v>0</v>
      </c>
      <c r="Q1702" s="6"/>
      <c r="R1702" s="6"/>
      <c r="S1702" s="6"/>
      <c r="T1702" s="6"/>
    </row>
    <row r="1703" spans="1:20">
      <c r="A1703" s="6" t="s">
        <v>1861</v>
      </c>
      <c r="B1703" s="6" t="s">
        <v>76</v>
      </c>
      <c r="C1703" s="6" t="s">
        <v>90</v>
      </c>
      <c r="D1703" s="6" t="s">
        <v>119</v>
      </c>
      <c r="E1703" s="6" t="s">
        <v>120</v>
      </c>
      <c r="F1703" s="7">
        <v>6</v>
      </c>
      <c r="G1703" s="7">
        <v>750</v>
      </c>
      <c r="H1703" s="16">
        <v>45244</v>
      </c>
      <c r="I1703" s="6">
        <v>46</v>
      </c>
      <c r="J1703" s="6" t="s">
        <v>121</v>
      </c>
      <c r="K1703" s="6" t="s">
        <v>139</v>
      </c>
      <c r="L1703" s="11">
        <f>F1703*Controls!$B$6</f>
        <v>6</v>
      </c>
      <c r="M1703" s="11">
        <f>G1703*Controls!$B$6</f>
        <v>750</v>
      </c>
      <c r="N1703" s="12">
        <f>IF(L1703=0,0,SUMIFS('PSI Plan'!$N$6:$N$173,'PSI Plan'!$B$6:$B$173,B1703,'PSI Plan'!$C$6:$C$173,I1703))</f>
        <v>0</v>
      </c>
      <c r="O1703" s="11">
        <f t="shared" si="52"/>
        <v>0</v>
      </c>
      <c r="P1703" s="11">
        <f t="shared" si="53"/>
        <v>0</v>
      </c>
      <c r="Q1703" s="6"/>
      <c r="R1703" s="6"/>
      <c r="S1703" s="6"/>
      <c r="T1703" s="6"/>
    </row>
    <row r="1704" spans="1:20">
      <c r="A1704" s="6" t="s">
        <v>1862</v>
      </c>
      <c r="B1704" s="6" t="s">
        <v>69</v>
      </c>
      <c r="C1704" s="6" t="s">
        <v>90</v>
      </c>
      <c r="D1704" s="6" t="s">
        <v>119</v>
      </c>
      <c r="E1704" s="6" t="s">
        <v>120</v>
      </c>
      <c r="F1704" s="7">
        <v>13</v>
      </c>
      <c r="G1704" s="7">
        <v>1625</v>
      </c>
      <c r="H1704" s="16">
        <v>45264</v>
      </c>
      <c r="I1704" s="6">
        <v>49</v>
      </c>
      <c r="J1704" s="6" t="s">
        <v>121</v>
      </c>
      <c r="K1704" s="6" t="s">
        <v>139</v>
      </c>
      <c r="L1704" s="11">
        <f>F1704*Controls!$B$6</f>
        <v>13</v>
      </c>
      <c r="M1704" s="11">
        <f>G1704*Controls!$B$6</f>
        <v>1625</v>
      </c>
      <c r="N1704" s="12">
        <f>IF(L1704=0,0,SUMIFS('PSI Plan'!$N$6:$N$173,'PSI Plan'!$B$6:$B$173,B1704,'PSI Plan'!$C$6:$C$173,I1704))</f>
        <v>0</v>
      </c>
      <c r="O1704" s="11">
        <f t="shared" si="52"/>
        <v>0</v>
      </c>
      <c r="P1704" s="11">
        <f t="shared" si="53"/>
        <v>0</v>
      </c>
      <c r="Q1704" s="6"/>
      <c r="R1704" s="6"/>
      <c r="S1704" s="6"/>
      <c r="T1704" s="6"/>
    </row>
    <row r="1705" spans="1:20">
      <c r="A1705" s="6" t="s">
        <v>1863</v>
      </c>
      <c r="B1705" s="6" t="s">
        <v>66</v>
      </c>
      <c r="C1705" s="6" t="s">
        <v>99</v>
      </c>
      <c r="D1705" s="6" t="s">
        <v>319</v>
      </c>
      <c r="E1705" s="6" t="s">
        <v>120</v>
      </c>
      <c r="F1705" s="7">
        <v>52</v>
      </c>
      <c r="G1705" s="7">
        <v>6500</v>
      </c>
      <c r="H1705" s="16">
        <v>45208</v>
      </c>
      <c r="I1705" s="6">
        <v>41</v>
      </c>
      <c r="J1705" s="6" t="s">
        <v>121</v>
      </c>
      <c r="K1705" s="6" t="s">
        <v>459</v>
      </c>
      <c r="L1705" s="11">
        <f>F1705*Controls!$B$6</f>
        <v>52</v>
      </c>
      <c r="M1705" s="11">
        <f>G1705*Controls!$B$6</f>
        <v>6500</v>
      </c>
      <c r="N1705" s="12">
        <f>IF(L1705=0,0,SUMIFS('PSI Plan'!$N$6:$N$173,'PSI Plan'!$B$6:$B$173,B1705,'PSI Plan'!$C$6:$C$173,I1705))</f>
        <v>0.22897465437788017</v>
      </c>
      <c r="O1705" s="11">
        <f t="shared" si="52"/>
        <v>11.906682027649769</v>
      </c>
      <c r="P1705" s="11">
        <f t="shared" si="53"/>
        <v>1488.3352534562212</v>
      </c>
      <c r="Q1705" s="6"/>
      <c r="R1705" s="6"/>
      <c r="S1705" s="6"/>
      <c r="T1705" s="6"/>
    </row>
    <row r="1706" spans="1:20">
      <c r="A1706" s="6" t="s">
        <v>1864</v>
      </c>
      <c r="B1706" s="6" t="s">
        <v>77</v>
      </c>
      <c r="C1706" s="6" t="s">
        <v>99</v>
      </c>
      <c r="D1706" s="6" t="s">
        <v>319</v>
      </c>
      <c r="E1706" s="6" t="s">
        <v>120</v>
      </c>
      <c r="F1706" s="7">
        <v>52</v>
      </c>
      <c r="G1706" s="7">
        <v>6500</v>
      </c>
      <c r="H1706" s="16">
        <v>45289</v>
      </c>
      <c r="I1706" s="6">
        <v>52</v>
      </c>
      <c r="J1706" s="6" t="s">
        <v>121</v>
      </c>
      <c r="K1706" s="6" t="s">
        <v>459</v>
      </c>
      <c r="L1706" s="11">
        <f>F1706*Controls!$B$6</f>
        <v>52</v>
      </c>
      <c r="M1706" s="11">
        <f>G1706*Controls!$B$6</f>
        <v>6500</v>
      </c>
      <c r="N1706" s="12">
        <f>IF(L1706=0,0,SUMIFS('PSI Plan'!$N$6:$N$173,'PSI Plan'!$B$6:$B$173,B1706,'PSI Plan'!$C$6:$C$173,I1706))</f>
        <v>0</v>
      </c>
      <c r="O1706" s="11">
        <f t="shared" si="52"/>
        <v>0</v>
      </c>
      <c r="P1706" s="11">
        <f t="shared" si="53"/>
        <v>0</v>
      </c>
      <c r="Q1706" s="6"/>
      <c r="R1706" s="6"/>
      <c r="S1706" s="6"/>
      <c r="T1706" s="6"/>
    </row>
    <row r="1707" spans="1:20">
      <c r="A1707" s="6" t="s">
        <v>1865</v>
      </c>
      <c r="B1707" s="6" t="s">
        <v>67</v>
      </c>
      <c r="C1707" s="6" t="s">
        <v>99</v>
      </c>
      <c r="D1707" s="6" t="s">
        <v>319</v>
      </c>
      <c r="E1707" s="6" t="s">
        <v>120</v>
      </c>
      <c r="F1707" s="7">
        <v>14</v>
      </c>
      <c r="G1707" s="7">
        <v>1750</v>
      </c>
      <c r="H1707" s="16">
        <v>45201</v>
      </c>
      <c r="I1707" s="6">
        <v>40</v>
      </c>
      <c r="J1707" s="6" t="s">
        <v>121</v>
      </c>
      <c r="K1707" s="6" t="s">
        <v>459</v>
      </c>
      <c r="L1707" s="11">
        <f>F1707*Controls!$B$6</f>
        <v>14</v>
      </c>
      <c r="M1707" s="11">
        <f>G1707*Controls!$B$6</f>
        <v>1750</v>
      </c>
      <c r="N1707" s="12">
        <f>IF(L1707=0,0,SUMIFS('PSI Plan'!$N$6:$N$173,'PSI Plan'!$B$6:$B$173,B1707,'PSI Plan'!$C$6:$C$173,I1707))</f>
        <v>0</v>
      </c>
      <c r="O1707" s="11">
        <f t="shared" si="52"/>
        <v>0</v>
      </c>
      <c r="P1707" s="11">
        <f t="shared" si="53"/>
        <v>0</v>
      </c>
      <c r="Q1707" s="6"/>
      <c r="R1707" s="6"/>
      <c r="S1707" s="6"/>
      <c r="T1707" s="6"/>
    </row>
    <row r="1708" spans="1:20">
      <c r="A1708" s="6" t="s">
        <v>1866</v>
      </c>
      <c r="B1708" s="6" t="s">
        <v>69</v>
      </c>
      <c r="C1708" s="6" t="s">
        <v>99</v>
      </c>
      <c r="D1708" s="6" t="s">
        <v>319</v>
      </c>
      <c r="E1708" s="6" t="s">
        <v>120</v>
      </c>
      <c r="F1708" s="7">
        <v>62</v>
      </c>
      <c r="G1708" s="7">
        <v>7750</v>
      </c>
      <c r="H1708" s="16">
        <v>45246</v>
      </c>
      <c r="I1708" s="6">
        <v>46</v>
      </c>
      <c r="J1708" s="6" t="s">
        <v>121</v>
      </c>
      <c r="K1708" s="6" t="s">
        <v>459</v>
      </c>
      <c r="L1708" s="11">
        <f>F1708*Controls!$B$6</f>
        <v>62</v>
      </c>
      <c r="M1708" s="11">
        <f>G1708*Controls!$B$6</f>
        <v>7750</v>
      </c>
      <c r="N1708" s="12">
        <f>IF(L1708=0,0,SUMIFS('PSI Plan'!$N$6:$N$173,'PSI Plan'!$B$6:$B$173,B1708,'PSI Plan'!$C$6:$C$173,I1708))</f>
        <v>0</v>
      </c>
      <c r="O1708" s="11">
        <f t="shared" si="52"/>
        <v>0</v>
      </c>
      <c r="P1708" s="11">
        <f t="shared" si="53"/>
        <v>0</v>
      </c>
      <c r="Q1708" s="6"/>
      <c r="R1708" s="6"/>
      <c r="S1708" s="6"/>
      <c r="T1708" s="6"/>
    </row>
    <row r="1709" spans="1:20">
      <c r="A1709" s="6" t="s">
        <v>1867</v>
      </c>
      <c r="B1709" s="6" t="s">
        <v>66</v>
      </c>
      <c r="C1709" s="6" t="s">
        <v>105</v>
      </c>
      <c r="D1709" s="6" t="s">
        <v>567</v>
      </c>
      <c r="E1709" s="6" t="s">
        <v>120</v>
      </c>
      <c r="F1709" s="7">
        <v>15</v>
      </c>
      <c r="G1709" s="7">
        <v>1875</v>
      </c>
      <c r="H1709" s="16">
        <v>45242</v>
      </c>
      <c r="I1709" s="6">
        <v>46</v>
      </c>
      <c r="J1709" s="6" t="s">
        <v>121</v>
      </c>
      <c r="K1709" s="6" t="s">
        <v>781</v>
      </c>
      <c r="L1709" s="11">
        <f>F1709*Controls!$B$6</f>
        <v>15</v>
      </c>
      <c r="M1709" s="11">
        <f>G1709*Controls!$B$6</f>
        <v>1875</v>
      </c>
      <c r="N1709" s="12">
        <f>IF(L1709=0,0,SUMIFS('PSI Plan'!$N$6:$N$173,'PSI Plan'!$B$6:$B$173,B1709,'PSI Plan'!$C$6:$C$173,I1709))</f>
        <v>0</v>
      </c>
      <c r="O1709" s="11">
        <f t="shared" si="52"/>
        <v>0</v>
      </c>
      <c r="P1709" s="11">
        <f t="shared" si="53"/>
        <v>0</v>
      </c>
      <c r="Q1709" s="6"/>
      <c r="R1709" s="6"/>
      <c r="S1709" s="6"/>
      <c r="T1709" s="6"/>
    </row>
    <row r="1710" spans="1:20">
      <c r="A1710" s="6" t="s">
        <v>1868</v>
      </c>
      <c r="B1710" s="6" t="s">
        <v>77</v>
      </c>
      <c r="C1710" s="6" t="s">
        <v>105</v>
      </c>
      <c r="D1710" s="6" t="s">
        <v>567</v>
      </c>
      <c r="E1710" s="6" t="s">
        <v>120</v>
      </c>
      <c r="F1710" s="7">
        <v>27</v>
      </c>
      <c r="G1710" s="7">
        <v>3375</v>
      </c>
      <c r="H1710" s="16">
        <v>45212</v>
      </c>
      <c r="I1710" s="6">
        <v>41</v>
      </c>
      <c r="J1710" s="6" t="s">
        <v>121</v>
      </c>
      <c r="K1710" s="6" t="s">
        <v>781</v>
      </c>
      <c r="L1710" s="11">
        <f>F1710*Controls!$B$6</f>
        <v>27</v>
      </c>
      <c r="M1710" s="11">
        <f>G1710*Controls!$B$6</f>
        <v>3375</v>
      </c>
      <c r="N1710" s="12">
        <f>IF(L1710=0,0,SUMIFS('PSI Plan'!$N$6:$N$173,'PSI Plan'!$B$6:$B$173,B1710,'PSI Plan'!$C$6:$C$173,I1710))</f>
        <v>0</v>
      </c>
      <c r="O1710" s="11">
        <f t="shared" si="52"/>
        <v>0</v>
      </c>
      <c r="P1710" s="11">
        <f t="shared" si="53"/>
        <v>0</v>
      </c>
      <c r="Q1710" s="6"/>
      <c r="R1710" s="6"/>
      <c r="S1710" s="6"/>
      <c r="T1710" s="6"/>
    </row>
    <row r="1711" spans="1:20">
      <c r="A1711" s="6" t="s">
        <v>1869</v>
      </c>
      <c r="B1711" s="6" t="s">
        <v>76</v>
      </c>
      <c r="C1711" s="6" t="s">
        <v>105</v>
      </c>
      <c r="D1711" s="6" t="s">
        <v>567</v>
      </c>
      <c r="E1711" s="6" t="s">
        <v>120</v>
      </c>
      <c r="F1711" s="7">
        <v>24</v>
      </c>
      <c r="G1711" s="7">
        <v>3000</v>
      </c>
      <c r="H1711" s="16">
        <v>45237</v>
      </c>
      <c r="I1711" s="6">
        <v>45</v>
      </c>
      <c r="J1711" s="6" t="s">
        <v>121</v>
      </c>
      <c r="K1711" s="6" t="s">
        <v>781</v>
      </c>
      <c r="L1711" s="11">
        <f>F1711*Controls!$B$6</f>
        <v>24</v>
      </c>
      <c r="M1711" s="11">
        <f>G1711*Controls!$B$6</f>
        <v>3000</v>
      </c>
      <c r="N1711" s="12">
        <f>IF(L1711=0,0,SUMIFS('PSI Plan'!$N$6:$N$173,'PSI Plan'!$B$6:$B$173,B1711,'PSI Plan'!$C$6:$C$173,I1711))</f>
        <v>0</v>
      </c>
      <c r="O1711" s="11">
        <f t="shared" si="52"/>
        <v>0</v>
      </c>
      <c r="P1711" s="11">
        <f t="shared" si="53"/>
        <v>0</v>
      </c>
      <c r="Q1711" s="6"/>
      <c r="R1711" s="6"/>
      <c r="S1711" s="6"/>
      <c r="T1711" s="6"/>
    </row>
    <row r="1712" spans="1:20">
      <c r="A1712" s="6" t="s">
        <v>1870</v>
      </c>
      <c r="B1712" s="6" t="s">
        <v>67</v>
      </c>
      <c r="C1712" s="6" t="s">
        <v>105</v>
      </c>
      <c r="D1712" s="6" t="s">
        <v>567</v>
      </c>
      <c r="E1712" s="6" t="s">
        <v>120</v>
      </c>
      <c r="F1712" s="7">
        <v>12</v>
      </c>
      <c r="G1712" s="7">
        <v>1500</v>
      </c>
      <c r="H1712" s="16">
        <v>45243</v>
      </c>
      <c r="I1712" s="6">
        <v>46</v>
      </c>
      <c r="J1712" s="6" t="s">
        <v>121</v>
      </c>
      <c r="K1712" s="6" t="s">
        <v>781</v>
      </c>
      <c r="L1712" s="11">
        <f>F1712*Controls!$B$6</f>
        <v>12</v>
      </c>
      <c r="M1712" s="11">
        <f>G1712*Controls!$B$6</f>
        <v>1500</v>
      </c>
      <c r="N1712" s="12">
        <f>IF(L1712=0,0,SUMIFS('PSI Plan'!$N$6:$N$173,'PSI Plan'!$B$6:$B$173,B1712,'PSI Plan'!$C$6:$C$173,I1712))</f>
        <v>0</v>
      </c>
      <c r="O1712" s="11">
        <f t="shared" si="52"/>
        <v>0</v>
      </c>
      <c r="P1712" s="11">
        <f t="shared" si="53"/>
        <v>0</v>
      </c>
      <c r="Q1712" s="6"/>
      <c r="R1712" s="6"/>
      <c r="S1712" s="6"/>
      <c r="T1712" s="6"/>
    </row>
    <row r="1713" spans="1:20">
      <c r="A1713" s="6" t="s">
        <v>1871</v>
      </c>
      <c r="B1713" s="6" t="s">
        <v>69</v>
      </c>
      <c r="C1713" s="6" t="s">
        <v>105</v>
      </c>
      <c r="D1713" s="6" t="s">
        <v>567</v>
      </c>
      <c r="E1713" s="6" t="s">
        <v>120</v>
      </c>
      <c r="F1713" s="7">
        <v>18</v>
      </c>
      <c r="G1713" s="7">
        <v>2250</v>
      </c>
      <c r="H1713" s="16">
        <v>45240</v>
      </c>
      <c r="I1713" s="6">
        <v>45</v>
      </c>
      <c r="J1713" s="6" t="s">
        <v>121</v>
      </c>
      <c r="K1713" s="6" t="s">
        <v>781</v>
      </c>
      <c r="L1713" s="11">
        <f>F1713*Controls!$B$6</f>
        <v>18</v>
      </c>
      <c r="M1713" s="11">
        <f>G1713*Controls!$B$6</f>
        <v>2250</v>
      </c>
      <c r="N1713" s="12">
        <f>IF(L1713=0,0,SUMIFS('PSI Plan'!$N$6:$N$173,'PSI Plan'!$B$6:$B$173,B1713,'PSI Plan'!$C$6:$C$173,I1713))</f>
        <v>0</v>
      </c>
      <c r="O1713" s="11">
        <f t="shared" si="52"/>
        <v>0</v>
      </c>
      <c r="P1713" s="11">
        <f t="shared" si="53"/>
        <v>0</v>
      </c>
      <c r="Q1713" s="6"/>
      <c r="R1713" s="6"/>
      <c r="S1713" s="6"/>
      <c r="T1713" s="6"/>
    </row>
    <row r="1714" spans="1:20">
      <c r="A1714" s="6" t="s">
        <v>1872</v>
      </c>
      <c r="B1714" s="6" t="s">
        <v>66</v>
      </c>
      <c r="C1714" s="6" t="s">
        <v>99</v>
      </c>
      <c r="D1714" s="6" t="s">
        <v>319</v>
      </c>
      <c r="E1714" s="6" t="s">
        <v>120</v>
      </c>
      <c r="F1714" s="7">
        <v>222</v>
      </c>
      <c r="G1714" s="7">
        <v>27750</v>
      </c>
      <c r="H1714" s="16">
        <v>45230</v>
      </c>
      <c r="I1714" s="6">
        <v>44</v>
      </c>
      <c r="J1714" s="6" t="s">
        <v>121</v>
      </c>
      <c r="K1714" s="6" t="s">
        <v>347</v>
      </c>
      <c r="L1714" s="11">
        <f>F1714*Controls!$B$6</f>
        <v>222</v>
      </c>
      <c r="M1714" s="11">
        <f>G1714*Controls!$B$6</f>
        <v>27750</v>
      </c>
      <c r="N1714" s="12">
        <f>IF(L1714=0,0,SUMIFS('PSI Plan'!$N$6:$N$173,'PSI Plan'!$B$6:$B$173,B1714,'PSI Plan'!$C$6:$C$173,I1714))</f>
        <v>0</v>
      </c>
      <c r="O1714" s="11">
        <f t="shared" si="52"/>
        <v>0</v>
      </c>
      <c r="P1714" s="11">
        <f t="shared" si="53"/>
        <v>0</v>
      </c>
      <c r="Q1714" s="6"/>
      <c r="R1714" s="6"/>
      <c r="S1714" s="6"/>
      <c r="T1714" s="6"/>
    </row>
    <row r="1715" spans="1:20">
      <c r="A1715" s="6" t="s">
        <v>1873</v>
      </c>
      <c r="B1715" s="6" t="s">
        <v>77</v>
      </c>
      <c r="C1715" s="6" t="s">
        <v>99</v>
      </c>
      <c r="D1715" s="6" t="s">
        <v>319</v>
      </c>
      <c r="E1715" s="6" t="s">
        <v>120</v>
      </c>
      <c r="F1715" s="7">
        <v>242</v>
      </c>
      <c r="G1715" s="7">
        <v>30250</v>
      </c>
      <c r="H1715" s="16">
        <v>45271</v>
      </c>
      <c r="I1715" s="6">
        <v>50</v>
      </c>
      <c r="J1715" s="6" t="s">
        <v>121</v>
      </c>
      <c r="K1715" s="6" t="s">
        <v>347</v>
      </c>
      <c r="L1715" s="11">
        <f>F1715*Controls!$B$6</f>
        <v>242</v>
      </c>
      <c r="M1715" s="11">
        <f>G1715*Controls!$B$6</f>
        <v>30250</v>
      </c>
      <c r="N1715" s="12">
        <f>IF(L1715=0,0,SUMIFS('PSI Plan'!$N$6:$N$173,'PSI Plan'!$B$6:$B$173,B1715,'PSI Plan'!$C$6:$C$173,I1715))</f>
        <v>0</v>
      </c>
      <c r="O1715" s="11">
        <f t="shared" si="52"/>
        <v>0</v>
      </c>
      <c r="P1715" s="11">
        <f t="shared" si="53"/>
        <v>0</v>
      </c>
      <c r="Q1715" s="6"/>
      <c r="R1715" s="6"/>
      <c r="S1715" s="6"/>
      <c r="T1715" s="6"/>
    </row>
    <row r="1716" spans="1:20">
      <c r="A1716" s="6" t="s">
        <v>1874</v>
      </c>
      <c r="B1716" s="6" t="s">
        <v>76</v>
      </c>
      <c r="C1716" s="6" t="s">
        <v>99</v>
      </c>
      <c r="D1716" s="6" t="s">
        <v>319</v>
      </c>
      <c r="E1716" s="6" t="s">
        <v>120</v>
      </c>
      <c r="F1716" s="7">
        <v>12</v>
      </c>
      <c r="G1716" s="7">
        <v>1500</v>
      </c>
      <c r="H1716" s="16">
        <v>45271</v>
      </c>
      <c r="I1716" s="6">
        <v>50</v>
      </c>
      <c r="J1716" s="6" t="s">
        <v>121</v>
      </c>
      <c r="K1716" s="6" t="s">
        <v>347</v>
      </c>
      <c r="L1716" s="11">
        <f>F1716*Controls!$B$6</f>
        <v>12</v>
      </c>
      <c r="M1716" s="11">
        <f>G1716*Controls!$B$6</f>
        <v>1500</v>
      </c>
      <c r="N1716" s="12">
        <f>IF(L1716=0,0,SUMIFS('PSI Plan'!$N$6:$N$173,'PSI Plan'!$B$6:$B$173,B1716,'PSI Plan'!$C$6:$C$173,I1716))</f>
        <v>0</v>
      </c>
      <c r="O1716" s="11">
        <f t="shared" si="52"/>
        <v>0</v>
      </c>
      <c r="P1716" s="11">
        <f t="shared" si="53"/>
        <v>0</v>
      </c>
      <c r="Q1716" s="6"/>
      <c r="R1716" s="6"/>
      <c r="S1716" s="6"/>
      <c r="T1716" s="6"/>
    </row>
    <row r="1717" spans="1:20">
      <c r="A1717" s="6" t="s">
        <v>1875</v>
      </c>
      <c r="B1717" s="6" t="s">
        <v>67</v>
      </c>
      <c r="C1717" s="6" t="s">
        <v>99</v>
      </c>
      <c r="D1717" s="6" t="s">
        <v>319</v>
      </c>
      <c r="E1717" s="6" t="s">
        <v>120</v>
      </c>
      <c r="F1717" s="7">
        <v>156</v>
      </c>
      <c r="G1717" s="7">
        <v>19500</v>
      </c>
      <c r="H1717" s="16">
        <v>45207</v>
      </c>
      <c r="I1717" s="6">
        <v>41</v>
      </c>
      <c r="J1717" s="6" t="s">
        <v>121</v>
      </c>
      <c r="K1717" s="6" t="s">
        <v>347</v>
      </c>
      <c r="L1717" s="11">
        <f>F1717*Controls!$B$6</f>
        <v>156</v>
      </c>
      <c r="M1717" s="11">
        <f>G1717*Controls!$B$6</f>
        <v>19500</v>
      </c>
      <c r="N1717" s="12">
        <f>IF(L1717=0,0,SUMIFS('PSI Plan'!$N$6:$N$173,'PSI Plan'!$B$6:$B$173,B1717,'PSI Plan'!$C$6:$C$173,I1717))</f>
        <v>0</v>
      </c>
      <c r="O1717" s="11">
        <f t="shared" si="52"/>
        <v>0</v>
      </c>
      <c r="P1717" s="11">
        <f t="shared" si="53"/>
        <v>0</v>
      </c>
      <c r="Q1717" s="6"/>
      <c r="R1717" s="6"/>
      <c r="S1717" s="6"/>
      <c r="T1717" s="6"/>
    </row>
    <row r="1718" spans="1:20">
      <c r="A1718" s="6" t="s">
        <v>1876</v>
      </c>
      <c r="B1718" s="6" t="s">
        <v>69</v>
      </c>
      <c r="C1718" s="6" t="s">
        <v>99</v>
      </c>
      <c r="D1718" s="6" t="s">
        <v>319</v>
      </c>
      <c r="E1718" s="6" t="s">
        <v>120</v>
      </c>
      <c r="F1718" s="7">
        <v>250</v>
      </c>
      <c r="G1718" s="7">
        <v>31250</v>
      </c>
      <c r="H1718" s="16">
        <v>45287</v>
      </c>
      <c r="I1718" s="6">
        <v>52</v>
      </c>
      <c r="J1718" s="6" t="s">
        <v>121</v>
      </c>
      <c r="K1718" s="6" t="s">
        <v>347</v>
      </c>
      <c r="L1718" s="11">
        <f>F1718*Controls!$B$6</f>
        <v>250</v>
      </c>
      <c r="M1718" s="11">
        <f>G1718*Controls!$B$6</f>
        <v>31250</v>
      </c>
      <c r="N1718" s="12">
        <f>IF(L1718=0,0,SUMIFS('PSI Plan'!$N$6:$N$173,'PSI Plan'!$B$6:$B$173,B1718,'PSI Plan'!$C$6:$C$173,I1718))</f>
        <v>0</v>
      </c>
      <c r="O1718" s="11">
        <f t="shared" si="52"/>
        <v>0</v>
      </c>
      <c r="P1718" s="11">
        <f t="shared" si="53"/>
        <v>0</v>
      </c>
      <c r="Q1718" s="6"/>
      <c r="R1718" s="6"/>
      <c r="S1718" s="6"/>
      <c r="T1718" s="6"/>
    </row>
    <row r="1719" spans="1:20">
      <c r="A1719" s="6" t="s">
        <v>1877</v>
      </c>
      <c r="B1719" s="6" t="s">
        <v>66</v>
      </c>
      <c r="C1719" s="6" t="s">
        <v>99</v>
      </c>
      <c r="D1719" s="6" t="s">
        <v>319</v>
      </c>
      <c r="E1719" s="6" t="s">
        <v>120</v>
      </c>
      <c r="F1719" s="7">
        <v>24</v>
      </c>
      <c r="G1719" s="7">
        <v>3000</v>
      </c>
      <c r="H1719" s="16">
        <v>45243</v>
      </c>
      <c r="I1719" s="6">
        <v>46</v>
      </c>
      <c r="J1719" s="6" t="s">
        <v>121</v>
      </c>
      <c r="K1719" s="6" t="s">
        <v>361</v>
      </c>
      <c r="L1719" s="11">
        <f>F1719*Controls!$B$6</f>
        <v>24</v>
      </c>
      <c r="M1719" s="11">
        <f>G1719*Controls!$B$6</f>
        <v>3000</v>
      </c>
      <c r="N1719" s="12">
        <f>IF(L1719=0,0,SUMIFS('PSI Plan'!$N$6:$N$173,'PSI Plan'!$B$6:$B$173,B1719,'PSI Plan'!$C$6:$C$173,I1719))</f>
        <v>0</v>
      </c>
      <c r="O1719" s="11">
        <f t="shared" si="52"/>
        <v>0</v>
      </c>
      <c r="P1719" s="11">
        <f t="shared" si="53"/>
        <v>0</v>
      </c>
      <c r="Q1719" s="6"/>
      <c r="R1719" s="6"/>
      <c r="S1719" s="6"/>
      <c r="T1719" s="6"/>
    </row>
    <row r="1720" spans="1:20">
      <c r="A1720" s="6" t="s">
        <v>1878</v>
      </c>
      <c r="B1720" s="6" t="s">
        <v>77</v>
      </c>
      <c r="C1720" s="6" t="s">
        <v>99</v>
      </c>
      <c r="D1720" s="6" t="s">
        <v>319</v>
      </c>
      <c r="E1720" s="6" t="s">
        <v>120</v>
      </c>
      <c r="F1720" s="7">
        <v>52</v>
      </c>
      <c r="G1720" s="7">
        <v>6500</v>
      </c>
      <c r="H1720" s="16">
        <v>45252</v>
      </c>
      <c r="I1720" s="6">
        <v>47</v>
      </c>
      <c r="J1720" s="6" t="s">
        <v>121</v>
      </c>
      <c r="K1720" s="6" t="s">
        <v>361</v>
      </c>
      <c r="L1720" s="11">
        <f>F1720*Controls!$B$6</f>
        <v>52</v>
      </c>
      <c r="M1720" s="11">
        <f>G1720*Controls!$B$6</f>
        <v>6500</v>
      </c>
      <c r="N1720" s="12">
        <f>IF(L1720=0,0,SUMIFS('PSI Plan'!$N$6:$N$173,'PSI Plan'!$B$6:$B$173,B1720,'PSI Plan'!$C$6:$C$173,I1720))</f>
        <v>0</v>
      </c>
      <c r="O1720" s="11">
        <f t="shared" si="52"/>
        <v>0</v>
      </c>
      <c r="P1720" s="11">
        <f t="shared" si="53"/>
        <v>0</v>
      </c>
      <c r="Q1720" s="6"/>
      <c r="R1720" s="6"/>
      <c r="S1720" s="6"/>
      <c r="T1720" s="6"/>
    </row>
    <row r="1721" spans="1:20">
      <c r="A1721" s="6" t="s">
        <v>1879</v>
      </c>
      <c r="B1721" s="6" t="s">
        <v>69</v>
      </c>
      <c r="C1721" s="6" t="s">
        <v>99</v>
      </c>
      <c r="D1721" s="6" t="s">
        <v>319</v>
      </c>
      <c r="E1721" s="6" t="s">
        <v>120</v>
      </c>
      <c r="F1721" s="7">
        <v>43</v>
      </c>
      <c r="G1721" s="7">
        <v>5375</v>
      </c>
      <c r="H1721" s="16">
        <v>45249</v>
      </c>
      <c r="I1721" s="6">
        <v>47</v>
      </c>
      <c r="J1721" s="6" t="s">
        <v>121</v>
      </c>
      <c r="K1721" s="6" t="s">
        <v>361</v>
      </c>
      <c r="L1721" s="11">
        <f>F1721*Controls!$B$6</f>
        <v>43</v>
      </c>
      <c r="M1721" s="11">
        <f>G1721*Controls!$B$6</f>
        <v>5375</v>
      </c>
      <c r="N1721" s="12">
        <f>IF(L1721=0,0,SUMIFS('PSI Plan'!$N$6:$N$173,'PSI Plan'!$B$6:$B$173,B1721,'PSI Plan'!$C$6:$C$173,I1721))</f>
        <v>0</v>
      </c>
      <c r="O1721" s="11">
        <f t="shared" si="52"/>
        <v>0</v>
      </c>
      <c r="P1721" s="11">
        <f t="shared" si="53"/>
        <v>0</v>
      </c>
      <c r="Q1721" s="6"/>
      <c r="R1721" s="6"/>
      <c r="S1721" s="6"/>
      <c r="T1721" s="6"/>
    </row>
    <row r="1722" spans="1:20">
      <c r="A1722" s="6" t="s">
        <v>1880</v>
      </c>
      <c r="B1722" s="6" t="s">
        <v>77</v>
      </c>
      <c r="C1722" s="6" t="s">
        <v>90</v>
      </c>
      <c r="D1722" s="6" t="s">
        <v>119</v>
      </c>
      <c r="E1722" s="6" t="s">
        <v>120</v>
      </c>
      <c r="F1722" s="7">
        <v>13</v>
      </c>
      <c r="G1722" s="7">
        <v>1625</v>
      </c>
      <c r="H1722" s="16">
        <v>45266</v>
      </c>
      <c r="I1722" s="6">
        <v>49</v>
      </c>
      <c r="J1722" s="6" t="s">
        <v>121</v>
      </c>
      <c r="K1722" s="6" t="s">
        <v>725</v>
      </c>
      <c r="L1722" s="11">
        <f>F1722*Controls!$B$6</f>
        <v>13</v>
      </c>
      <c r="M1722" s="11">
        <f>G1722*Controls!$B$6</f>
        <v>1625</v>
      </c>
      <c r="N1722" s="12">
        <f>IF(L1722=0,0,SUMIFS('PSI Plan'!$N$6:$N$173,'PSI Plan'!$B$6:$B$173,B1722,'PSI Plan'!$C$6:$C$173,I1722))</f>
        <v>0</v>
      </c>
      <c r="O1722" s="11">
        <f t="shared" si="52"/>
        <v>0</v>
      </c>
      <c r="P1722" s="11">
        <f t="shared" si="53"/>
        <v>0</v>
      </c>
      <c r="Q1722" s="6"/>
      <c r="R1722" s="6"/>
      <c r="S1722" s="6"/>
      <c r="T1722" s="6"/>
    </row>
    <row r="1723" spans="1:20">
      <c r="A1723" s="6" t="s">
        <v>1881</v>
      </c>
      <c r="B1723" s="6" t="s">
        <v>69</v>
      </c>
      <c r="C1723" s="6" t="s">
        <v>90</v>
      </c>
      <c r="D1723" s="6" t="s">
        <v>119</v>
      </c>
      <c r="E1723" s="6" t="s">
        <v>120</v>
      </c>
      <c r="F1723" s="7">
        <v>26</v>
      </c>
      <c r="G1723" s="7">
        <v>3250</v>
      </c>
      <c r="H1723" s="16">
        <v>45212</v>
      </c>
      <c r="I1723" s="6">
        <v>41</v>
      </c>
      <c r="J1723" s="6" t="s">
        <v>121</v>
      </c>
      <c r="K1723" s="6" t="s">
        <v>725</v>
      </c>
      <c r="L1723" s="11">
        <f>F1723*Controls!$B$6</f>
        <v>26</v>
      </c>
      <c r="M1723" s="11">
        <f>G1723*Controls!$B$6</f>
        <v>3250</v>
      </c>
      <c r="N1723" s="12">
        <f>IF(L1723=0,0,SUMIFS('PSI Plan'!$N$6:$N$173,'PSI Plan'!$B$6:$B$173,B1723,'PSI Plan'!$C$6:$C$173,I1723))</f>
        <v>0</v>
      </c>
      <c r="O1723" s="11">
        <f t="shared" si="52"/>
        <v>0</v>
      </c>
      <c r="P1723" s="11">
        <f t="shared" si="53"/>
        <v>0</v>
      </c>
      <c r="Q1723" s="6"/>
      <c r="R1723" s="6"/>
      <c r="S1723" s="6"/>
      <c r="T1723" s="6"/>
    </row>
    <row r="1724" spans="1:20">
      <c r="A1724" s="6" t="s">
        <v>1882</v>
      </c>
      <c r="B1724" s="6" t="s">
        <v>66</v>
      </c>
      <c r="C1724" s="6" t="s">
        <v>90</v>
      </c>
      <c r="D1724" s="6" t="s">
        <v>119</v>
      </c>
      <c r="E1724" s="6" t="s">
        <v>120</v>
      </c>
      <c r="F1724" s="7">
        <v>78</v>
      </c>
      <c r="G1724" s="7">
        <v>9750</v>
      </c>
      <c r="H1724" s="16">
        <v>45243</v>
      </c>
      <c r="I1724" s="6">
        <v>46</v>
      </c>
      <c r="J1724" s="6" t="s">
        <v>121</v>
      </c>
      <c r="K1724" s="6" t="s">
        <v>122</v>
      </c>
      <c r="L1724" s="11">
        <f>F1724*Controls!$B$6</f>
        <v>78</v>
      </c>
      <c r="M1724" s="11">
        <f>G1724*Controls!$B$6</f>
        <v>9750</v>
      </c>
      <c r="N1724" s="12">
        <f>IF(L1724=0,0,SUMIFS('PSI Plan'!$N$6:$N$173,'PSI Plan'!$B$6:$B$173,B1724,'PSI Plan'!$C$6:$C$173,I1724))</f>
        <v>0</v>
      </c>
      <c r="O1724" s="11">
        <f t="shared" si="52"/>
        <v>0</v>
      </c>
      <c r="P1724" s="11">
        <f t="shared" si="53"/>
        <v>0</v>
      </c>
      <c r="Q1724" s="6"/>
      <c r="R1724" s="6"/>
      <c r="S1724" s="6"/>
      <c r="T1724" s="6"/>
    </row>
    <row r="1725" spans="1:20">
      <c r="A1725" s="6" t="s">
        <v>1883</v>
      </c>
      <c r="B1725" s="6" t="s">
        <v>77</v>
      </c>
      <c r="C1725" s="6" t="s">
        <v>90</v>
      </c>
      <c r="D1725" s="6" t="s">
        <v>119</v>
      </c>
      <c r="E1725" s="6" t="s">
        <v>120</v>
      </c>
      <c r="F1725" s="7">
        <v>104</v>
      </c>
      <c r="G1725" s="7">
        <v>13000</v>
      </c>
      <c r="H1725" s="16">
        <v>45222</v>
      </c>
      <c r="I1725" s="6">
        <v>43</v>
      </c>
      <c r="J1725" s="6" t="s">
        <v>121</v>
      </c>
      <c r="K1725" s="6" t="s">
        <v>122</v>
      </c>
      <c r="L1725" s="11">
        <f>F1725*Controls!$B$6</f>
        <v>104</v>
      </c>
      <c r="M1725" s="11">
        <f>G1725*Controls!$B$6</f>
        <v>13000</v>
      </c>
      <c r="N1725" s="12">
        <f>IF(L1725=0,0,SUMIFS('PSI Plan'!$N$6:$N$173,'PSI Plan'!$B$6:$B$173,B1725,'PSI Plan'!$C$6:$C$173,I1725))</f>
        <v>0</v>
      </c>
      <c r="O1725" s="11">
        <f t="shared" si="52"/>
        <v>0</v>
      </c>
      <c r="P1725" s="11">
        <f t="shared" si="53"/>
        <v>0</v>
      </c>
      <c r="Q1725" s="6"/>
      <c r="R1725" s="6"/>
      <c r="S1725" s="6"/>
      <c r="T1725" s="6"/>
    </row>
    <row r="1726" spans="1:20">
      <c r="A1726" s="6" t="s">
        <v>1884</v>
      </c>
      <c r="B1726" s="6" t="s">
        <v>76</v>
      </c>
      <c r="C1726" s="6" t="s">
        <v>90</v>
      </c>
      <c r="D1726" s="6" t="s">
        <v>119</v>
      </c>
      <c r="E1726" s="6" t="s">
        <v>120</v>
      </c>
      <c r="F1726" s="7">
        <v>104</v>
      </c>
      <c r="G1726" s="7">
        <v>13000</v>
      </c>
      <c r="H1726" s="16">
        <v>45211</v>
      </c>
      <c r="I1726" s="6">
        <v>41</v>
      </c>
      <c r="J1726" s="6" t="s">
        <v>121</v>
      </c>
      <c r="K1726" s="6" t="s">
        <v>122</v>
      </c>
      <c r="L1726" s="11">
        <f>F1726*Controls!$B$6</f>
        <v>104</v>
      </c>
      <c r="M1726" s="11">
        <f>G1726*Controls!$B$6</f>
        <v>13000</v>
      </c>
      <c r="N1726" s="12">
        <f>IF(L1726=0,0,SUMIFS('PSI Plan'!$N$6:$N$173,'PSI Plan'!$B$6:$B$173,B1726,'PSI Plan'!$C$6:$C$173,I1726))</f>
        <v>0</v>
      </c>
      <c r="O1726" s="11">
        <f t="shared" si="52"/>
        <v>0</v>
      </c>
      <c r="P1726" s="11">
        <f t="shared" si="53"/>
        <v>0</v>
      </c>
      <c r="Q1726" s="6"/>
      <c r="R1726" s="6"/>
      <c r="S1726" s="6"/>
      <c r="T1726" s="6"/>
    </row>
    <row r="1727" spans="1:20">
      <c r="A1727" s="6" t="s">
        <v>1885</v>
      </c>
      <c r="B1727" s="6" t="s">
        <v>67</v>
      </c>
      <c r="C1727" s="6" t="s">
        <v>90</v>
      </c>
      <c r="D1727" s="6" t="s">
        <v>119</v>
      </c>
      <c r="E1727" s="6" t="s">
        <v>120</v>
      </c>
      <c r="F1727" s="7">
        <v>65</v>
      </c>
      <c r="G1727" s="7">
        <v>8125</v>
      </c>
      <c r="H1727" s="16">
        <v>45236</v>
      </c>
      <c r="I1727" s="6">
        <v>45</v>
      </c>
      <c r="J1727" s="6" t="s">
        <v>121</v>
      </c>
      <c r="K1727" s="6" t="s">
        <v>122</v>
      </c>
      <c r="L1727" s="11">
        <f>F1727*Controls!$B$6</f>
        <v>65</v>
      </c>
      <c r="M1727" s="11">
        <f>G1727*Controls!$B$6</f>
        <v>8125</v>
      </c>
      <c r="N1727" s="12">
        <f>IF(L1727=0,0,SUMIFS('PSI Plan'!$N$6:$N$173,'PSI Plan'!$B$6:$B$173,B1727,'PSI Plan'!$C$6:$C$173,I1727))</f>
        <v>0</v>
      </c>
      <c r="O1727" s="11">
        <f t="shared" si="52"/>
        <v>0</v>
      </c>
      <c r="P1727" s="11">
        <f t="shared" si="53"/>
        <v>0</v>
      </c>
      <c r="Q1727" s="6"/>
      <c r="R1727" s="6"/>
      <c r="S1727" s="6"/>
      <c r="T1727" s="6"/>
    </row>
    <row r="1728" spans="1:20">
      <c r="A1728" s="6" t="s">
        <v>1886</v>
      </c>
      <c r="B1728" s="6" t="s">
        <v>69</v>
      </c>
      <c r="C1728" s="6" t="s">
        <v>90</v>
      </c>
      <c r="D1728" s="6" t="s">
        <v>119</v>
      </c>
      <c r="E1728" s="6" t="s">
        <v>120</v>
      </c>
      <c r="F1728" s="7">
        <v>104</v>
      </c>
      <c r="G1728" s="7">
        <v>13000</v>
      </c>
      <c r="H1728" s="16">
        <v>45212</v>
      </c>
      <c r="I1728" s="6">
        <v>41</v>
      </c>
      <c r="J1728" s="6" t="s">
        <v>121</v>
      </c>
      <c r="K1728" s="6" t="s">
        <v>122</v>
      </c>
      <c r="L1728" s="11">
        <f>F1728*Controls!$B$6</f>
        <v>104</v>
      </c>
      <c r="M1728" s="11">
        <f>G1728*Controls!$B$6</f>
        <v>13000</v>
      </c>
      <c r="N1728" s="12">
        <f>IF(L1728=0,0,SUMIFS('PSI Plan'!$N$6:$N$173,'PSI Plan'!$B$6:$B$173,B1728,'PSI Plan'!$C$6:$C$173,I1728))</f>
        <v>0</v>
      </c>
      <c r="O1728" s="11">
        <f t="shared" si="52"/>
        <v>0</v>
      </c>
      <c r="P1728" s="11">
        <f t="shared" si="53"/>
        <v>0</v>
      </c>
      <c r="Q1728" s="6"/>
      <c r="R1728" s="6"/>
      <c r="S1728" s="6"/>
      <c r="T1728" s="6"/>
    </row>
    <row r="1729" spans="1:20">
      <c r="A1729" s="6" t="s">
        <v>1887</v>
      </c>
      <c r="B1729" s="6" t="s">
        <v>66</v>
      </c>
      <c r="C1729" s="6" t="s">
        <v>90</v>
      </c>
      <c r="D1729" s="6" t="s">
        <v>119</v>
      </c>
      <c r="E1729" s="6" t="s">
        <v>120</v>
      </c>
      <c r="F1729" s="7">
        <v>26</v>
      </c>
      <c r="G1729" s="7">
        <v>3250</v>
      </c>
      <c r="H1729" s="16">
        <v>45201</v>
      </c>
      <c r="I1729" s="6">
        <v>40</v>
      </c>
      <c r="J1729" s="6" t="s">
        <v>121</v>
      </c>
      <c r="K1729" s="6" t="s">
        <v>171</v>
      </c>
      <c r="L1729" s="11">
        <f>F1729*Controls!$B$6</f>
        <v>26</v>
      </c>
      <c r="M1729" s="11">
        <f>G1729*Controls!$B$6</f>
        <v>3250</v>
      </c>
      <c r="N1729" s="12">
        <f>IF(L1729=0,0,SUMIFS('PSI Plan'!$N$6:$N$173,'PSI Plan'!$B$6:$B$173,B1729,'PSI Plan'!$C$6:$C$173,I1729))</f>
        <v>0</v>
      </c>
      <c r="O1729" s="11">
        <f t="shared" si="52"/>
        <v>0</v>
      </c>
      <c r="P1729" s="11">
        <f t="shared" si="53"/>
        <v>0</v>
      </c>
      <c r="Q1729" s="6"/>
      <c r="R1729" s="6"/>
      <c r="S1729" s="6"/>
      <c r="T1729" s="6"/>
    </row>
    <row r="1730" spans="1:20">
      <c r="A1730" s="6" t="s">
        <v>1888</v>
      </c>
      <c r="B1730" s="6" t="s">
        <v>77</v>
      </c>
      <c r="C1730" s="6" t="s">
        <v>90</v>
      </c>
      <c r="D1730" s="6" t="s">
        <v>119</v>
      </c>
      <c r="E1730" s="6" t="s">
        <v>120</v>
      </c>
      <c r="F1730" s="7">
        <v>13</v>
      </c>
      <c r="G1730" s="7">
        <v>1625</v>
      </c>
      <c r="H1730" s="16">
        <v>45233</v>
      </c>
      <c r="I1730" s="6">
        <v>44</v>
      </c>
      <c r="J1730" s="6" t="s">
        <v>121</v>
      </c>
      <c r="K1730" s="6" t="s">
        <v>171</v>
      </c>
      <c r="L1730" s="11">
        <f>F1730*Controls!$B$6</f>
        <v>13</v>
      </c>
      <c r="M1730" s="11">
        <f>G1730*Controls!$B$6</f>
        <v>1625</v>
      </c>
      <c r="N1730" s="12">
        <f>IF(L1730=0,0,SUMIFS('PSI Plan'!$N$6:$N$173,'PSI Plan'!$B$6:$B$173,B1730,'PSI Plan'!$C$6:$C$173,I1730))</f>
        <v>0</v>
      </c>
      <c r="O1730" s="11">
        <f t="shared" ref="O1730:O1793" si="54">L1730*N1730</f>
        <v>0</v>
      </c>
      <c r="P1730" s="11">
        <f t="shared" ref="P1730:P1793" si="55">M1730*N1730</f>
        <v>0</v>
      </c>
      <c r="Q1730" s="6"/>
      <c r="R1730" s="6"/>
      <c r="S1730" s="6"/>
      <c r="T1730" s="6"/>
    </row>
    <row r="1731" spans="1:20">
      <c r="A1731" s="6" t="s">
        <v>1889</v>
      </c>
      <c r="B1731" s="6" t="s">
        <v>66</v>
      </c>
      <c r="C1731" s="6" t="s">
        <v>90</v>
      </c>
      <c r="D1731" s="6" t="s">
        <v>119</v>
      </c>
      <c r="E1731" s="6" t="s">
        <v>120</v>
      </c>
      <c r="F1731" s="7">
        <v>39</v>
      </c>
      <c r="G1731" s="7">
        <v>4875</v>
      </c>
      <c r="H1731" s="16">
        <v>45208</v>
      </c>
      <c r="I1731" s="6">
        <v>41</v>
      </c>
      <c r="J1731" s="6" t="s">
        <v>1791</v>
      </c>
      <c r="K1731" s="6" t="s">
        <v>1890</v>
      </c>
      <c r="L1731" s="11">
        <f>F1731*Controls!$B$6</f>
        <v>39</v>
      </c>
      <c r="M1731" s="11">
        <f>G1731*Controls!$B$6</f>
        <v>4875</v>
      </c>
      <c r="N1731" s="12">
        <f>IF(L1731=0,0,SUMIFS('PSI Plan'!$N$6:$N$173,'PSI Plan'!$B$6:$B$173,B1731,'PSI Plan'!$C$6:$C$173,I1731))</f>
        <v>0.22897465437788017</v>
      </c>
      <c r="O1731" s="11">
        <f t="shared" si="54"/>
        <v>8.9300115207373274</v>
      </c>
      <c r="P1731" s="11">
        <f t="shared" si="55"/>
        <v>1116.2514400921659</v>
      </c>
      <c r="Q1731" s="6"/>
      <c r="R1731" s="6"/>
      <c r="S1731" s="6"/>
      <c r="T1731" s="6"/>
    </row>
    <row r="1732" spans="1:20">
      <c r="A1732" s="6" t="s">
        <v>1891</v>
      </c>
      <c r="B1732" s="6" t="s">
        <v>66</v>
      </c>
      <c r="C1732" s="6" t="s">
        <v>90</v>
      </c>
      <c r="D1732" s="6" t="s">
        <v>119</v>
      </c>
      <c r="E1732" s="6" t="s">
        <v>120</v>
      </c>
      <c r="F1732" s="7">
        <v>39</v>
      </c>
      <c r="G1732" s="7">
        <v>4875</v>
      </c>
      <c r="H1732" s="16">
        <v>45220</v>
      </c>
      <c r="I1732" s="6">
        <v>42</v>
      </c>
      <c r="J1732" s="6" t="s">
        <v>1791</v>
      </c>
      <c r="K1732" s="6" t="s">
        <v>1890</v>
      </c>
      <c r="L1732" s="11">
        <f>F1732*Controls!$B$6</f>
        <v>39</v>
      </c>
      <c r="M1732" s="11">
        <f>G1732*Controls!$B$6</f>
        <v>4875</v>
      </c>
      <c r="N1732" s="12">
        <f>IF(L1732=0,0,SUMIFS('PSI Plan'!$N$6:$N$173,'PSI Plan'!$B$6:$B$173,B1732,'PSI Plan'!$C$6:$C$173,I1732))</f>
        <v>0.59807073954983925</v>
      </c>
      <c r="O1732" s="11">
        <f t="shared" si="54"/>
        <v>23.324758842443732</v>
      </c>
      <c r="P1732" s="11">
        <f t="shared" si="55"/>
        <v>2915.5948553054664</v>
      </c>
      <c r="Q1732" s="6"/>
      <c r="R1732" s="6"/>
      <c r="S1732" s="6"/>
      <c r="T1732" s="6"/>
    </row>
    <row r="1733" spans="1:20">
      <c r="A1733" s="6" t="s">
        <v>1892</v>
      </c>
      <c r="B1733" s="6" t="s">
        <v>76</v>
      </c>
      <c r="C1733" s="6" t="s">
        <v>90</v>
      </c>
      <c r="D1733" s="6" t="s">
        <v>119</v>
      </c>
      <c r="E1733" s="6" t="s">
        <v>120</v>
      </c>
      <c r="F1733" s="7">
        <v>26</v>
      </c>
      <c r="G1733" s="7">
        <v>3250</v>
      </c>
      <c r="H1733" s="16">
        <v>45242</v>
      </c>
      <c r="I1733" s="6">
        <v>46</v>
      </c>
      <c r="J1733" s="6" t="s">
        <v>1791</v>
      </c>
      <c r="K1733" s="6" t="s">
        <v>1890</v>
      </c>
      <c r="L1733" s="11">
        <f>F1733*Controls!$B$6</f>
        <v>26</v>
      </c>
      <c r="M1733" s="11">
        <f>G1733*Controls!$B$6</f>
        <v>3250</v>
      </c>
      <c r="N1733" s="12">
        <f>IF(L1733=0,0,SUMIFS('PSI Plan'!$N$6:$N$173,'PSI Plan'!$B$6:$B$173,B1733,'PSI Plan'!$C$6:$C$173,I1733))</f>
        <v>0</v>
      </c>
      <c r="O1733" s="11">
        <f t="shared" si="54"/>
        <v>0</v>
      </c>
      <c r="P1733" s="11">
        <f t="shared" si="55"/>
        <v>0</v>
      </c>
      <c r="Q1733" s="6"/>
      <c r="R1733" s="6"/>
      <c r="S1733" s="6"/>
      <c r="T1733" s="6"/>
    </row>
    <row r="1734" spans="1:20">
      <c r="A1734" s="6" t="s">
        <v>1893</v>
      </c>
      <c r="B1734" s="6" t="s">
        <v>67</v>
      </c>
      <c r="C1734" s="6" t="s">
        <v>90</v>
      </c>
      <c r="D1734" s="6" t="s">
        <v>119</v>
      </c>
      <c r="E1734" s="6" t="s">
        <v>120</v>
      </c>
      <c r="F1734" s="7">
        <v>13</v>
      </c>
      <c r="G1734" s="7">
        <v>1625</v>
      </c>
      <c r="H1734" s="16">
        <v>45273</v>
      </c>
      <c r="I1734" s="6">
        <v>50</v>
      </c>
      <c r="J1734" s="6" t="s">
        <v>1791</v>
      </c>
      <c r="K1734" s="6" t="s">
        <v>1890</v>
      </c>
      <c r="L1734" s="11">
        <f>F1734*Controls!$B$6</f>
        <v>13</v>
      </c>
      <c r="M1734" s="11">
        <f>G1734*Controls!$B$6</f>
        <v>1625</v>
      </c>
      <c r="N1734" s="12">
        <f>IF(L1734=0,0,SUMIFS('PSI Plan'!$N$6:$N$173,'PSI Plan'!$B$6:$B$173,B1734,'PSI Plan'!$C$6:$C$173,I1734))</f>
        <v>0</v>
      </c>
      <c r="O1734" s="11">
        <f t="shared" si="54"/>
        <v>0</v>
      </c>
      <c r="P1734" s="11">
        <f t="shared" si="55"/>
        <v>0</v>
      </c>
      <c r="Q1734" s="6"/>
      <c r="R1734" s="6"/>
      <c r="S1734" s="6"/>
      <c r="T1734" s="6"/>
    </row>
    <row r="1735" spans="1:20">
      <c r="A1735" s="6" t="s">
        <v>1894</v>
      </c>
      <c r="B1735" s="6" t="s">
        <v>66</v>
      </c>
      <c r="C1735" s="6" t="s">
        <v>105</v>
      </c>
      <c r="D1735" s="6" t="s">
        <v>1895</v>
      </c>
      <c r="E1735" s="6" t="s">
        <v>120</v>
      </c>
      <c r="F1735" s="7">
        <v>20</v>
      </c>
      <c r="G1735" s="7">
        <v>2500</v>
      </c>
      <c r="H1735" s="16">
        <v>45206</v>
      </c>
      <c r="I1735" s="6">
        <v>40</v>
      </c>
      <c r="J1735" s="6" t="s">
        <v>1791</v>
      </c>
      <c r="K1735" s="6" t="s">
        <v>1896</v>
      </c>
      <c r="L1735" s="11">
        <f>F1735*Controls!$B$6</f>
        <v>20</v>
      </c>
      <c r="M1735" s="11">
        <f>G1735*Controls!$B$6</f>
        <v>2500</v>
      </c>
      <c r="N1735" s="12">
        <f>IF(L1735=0,0,SUMIFS('PSI Plan'!$N$6:$N$173,'PSI Plan'!$B$6:$B$173,B1735,'PSI Plan'!$C$6:$C$173,I1735))</f>
        <v>0</v>
      </c>
      <c r="O1735" s="11">
        <f t="shared" si="54"/>
        <v>0</v>
      </c>
      <c r="P1735" s="11">
        <f t="shared" si="55"/>
        <v>0</v>
      </c>
      <c r="Q1735" s="6"/>
      <c r="R1735" s="6"/>
      <c r="S1735" s="6"/>
      <c r="T1735" s="6"/>
    </row>
    <row r="1736" spans="1:20">
      <c r="A1736" s="6" t="s">
        <v>1897</v>
      </c>
      <c r="B1736" s="6" t="s">
        <v>66</v>
      </c>
      <c r="C1736" s="6" t="s">
        <v>105</v>
      </c>
      <c r="D1736" s="6" t="s">
        <v>1895</v>
      </c>
      <c r="E1736" s="6" t="s">
        <v>120</v>
      </c>
      <c r="F1736" s="7">
        <v>30</v>
      </c>
      <c r="G1736" s="7">
        <v>3750</v>
      </c>
      <c r="H1736" s="16">
        <v>45211</v>
      </c>
      <c r="I1736" s="6">
        <v>41</v>
      </c>
      <c r="J1736" s="6" t="s">
        <v>1791</v>
      </c>
      <c r="K1736" s="6" t="s">
        <v>1896</v>
      </c>
      <c r="L1736" s="11">
        <f>F1736*Controls!$B$6</f>
        <v>30</v>
      </c>
      <c r="M1736" s="11">
        <f>G1736*Controls!$B$6</f>
        <v>3750</v>
      </c>
      <c r="N1736" s="12">
        <f>IF(L1736=0,0,SUMIFS('PSI Plan'!$N$6:$N$173,'PSI Plan'!$B$6:$B$173,B1736,'PSI Plan'!$C$6:$C$173,I1736))</f>
        <v>0.22897465437788017</v>
      </c>
      <c r="O1736" s="11">
        <f t="shared" si="54"/>
        <v>6.8692396313364048</v>
      </c>
      <c r="P1736" s="11">
        <f t="shared" si="55"/>
        <v>858.65495391705065</v>
      </c>
      <c r="Q1736" s="6"/>
      <c r="R1736" s="6"/>
      <c r="S1736" s="6"/>
      <c r="T1736" s="6"/>
    </row>
    <row r="1737" spans="1:20">
      <c r="A1737" s="6" t="s">
        <v>1898</v>
      </c>
      <c r="B1737" s="6" t="s">
        <v>76</v>
      </c>
      <c r="C1737" s="6" t="s">
        <v>105</v>
      </c>
      <c r="D1737" s="6" t="s">
        <v>1895</v>
      </c>
      <c r="E1737" s="6" t="s">
        <v>120</v>
      </c>
      <c r="F1737" s="7">
        <v>20</v>
      </c>
      <c r="G1737" s="7">
        <v>2500</v>
      </c>
      <c r="H1737" s="16">
        <v>45222</v>
      </c>
      <c r="I1737" s="6">
        <v>43</v>
      </c>
      <c r="J1737" s="6" t="s">
        <v>1791</v>
      </c>
      <c r="K1737" s="6" t="s">
        <v>1896</v>
      </c>
      <c r="L1737" s="11">
        <f>F1737*Controls!$B$6</f>
        <v>20</v>
      </c>
      <c r="M1737" s="11">
        <f>G1737*Controls!$B$6</f>
        <v>2500</v>
      </c>
      <c r="N1737" s="12">
        <f>IF(L1737=0,0,SUMIFS('PSI Plan'!$N$6:$N$173,'PSI Plan'!$B$6:$B$173,B1737,'PSI Plan'!$C$6:$C$173,I1737))</f>
        <v>0</v>
      </c>
      <c r="O1737" s="11">
        <f t="shared" si="54"/>
        <v>0</v>
      </c>
      <c r="P1737" s="11">
        <f t="shared" si="55"/>
        <v>0</v>
      </c>
      <c r="Q1737" s="6"/>
      <c r="R1737" s="6"/>
      <c r="S1737" s="6"/>
      <c r="T1737" s="6"/>
    </row>
    <row r="1738" spans="1:20">
      <c r="A1738" s="6" t="s">
        <v>1899</v>
      </c>
      <c r="B1738" s="6" t="s">
        <v>67</v>
      </c>
      <c r="C1738" s="6" t="s">
        <v>105</v>
      </c>
      <c r="D1738" s="6" t="s">
        <v>1895</v>
      </c>
      <c r="E1738" s="6" t="s">
        <v>120</v>
      </c>
      <c r="F1738" s="7">
        <v>20</v>
      </c>
      <c r="G1738" s="7">
        <v>2500</v>
      </c>
      <c r="H1738" s="16">
        <v>45270</v>
      </c>
      <c r="I1738" s="6">
        <v>50</v>
      </c>
      <c r="J1738" s="6" t="s">
        <v>1791</v>
      </c>
      <c r="K1738" s="6" t="s">
        <v>1896</v>
      </c>
      <c r="L1738" s="11">
        <f>F1738*Controls!$B$6</f>
        <v>20</v>
      </c>
      <c r="M1738" s="11">
        <f>G1738*Controls!$B$6</f>
        <v>2500</v>
      </c>
      <c r="N1738" s="12">
        <f>IF(L1738=0,0,SUMIFS('PSI Plan'!$N$6:$N$173,'PSI Plan'!$B$6:$B$173,B1738,'PSI Plan'!$C$6:$C$173,I1738))</f>
        <v>0</v>
      </c>
      <c r="O1738" s="11">
        <f t="shared" si="54"/>
        <v>0</v>
      </c>
      <c r="P1738" s="11">
        <f t="shared" si="55"/>
        <v>0</v>
      </c>
      <c r="Q1738" s="6"/>
      <c r="R1738" s="6"/>
      <c r="S1738" s="6"/>
      <c r="T1738" s="6"/>
    </row>
    <row r="1739" spans="1:20">
      <c r="A1739" s="6" t="s">
        <v>1900</v>
      </c>
      <c r="B1739" s="6" t="s">
        <v>66</v>
      </c>
      <c r="C1739" s="6" t="s">
        <v>99</v>
      </c>
      <c r="D1739" s="6" t="s">
        <v>319</v>
      </c>
      <c r="E1739" s="6" t="s">
        <v>120</v>
      </c>
      <c r="F1739" s="7">
        <v>14</v>
      </c>
      <c r="G1739" s="7">
        <v>1750</v>
      </c>
      <c r="H1739" s="16">
        <v>45210</v>
      </c>
      <c r="I1739" s="6">
        <v>41</v>
      </c>
      <c r="J1739" s="6" t="s">
        <v>121</v>
      </c>
      <c r="K1739" s="6" t="s">
        <v>459</v>
      </c>
      <c r="L1739" s="11">
        <f>F1739*Controls!$B$6</f>
        <v>14</v>
      </c>
      <c r="M1739" s="11">
        <f>G1739*Controls!$B$6</f>
        <v>1750</v>
      </c>
      <c r="N1739" s="12">
        <f>IF(L1739=0,0,SUMIFS('PSI Plan'!$N$6:$N$173,'PSI Plan'!$B$6:$B$173,B1739,'PSI Plan'!$C$6:$C$173,I1739))</f>
        <v>0.22897465437788017</v>
      </c>
      <c r="O1739" s="11">
        <f t="shared" si="54"/>
        <v>3.2056451612903225</v>
      </c>
      <c r="P1739" s="11">
        <f t="shared" si="55"/>
        <v>400.70564516129031</v>
      </c>
      <c r="Q1739" s="6"/>
      <c r="R1739" s="6"/>
      <c r="S1739" s="6"/>
      <c r="T1739" s="6"/>
    </row>
    <row r="1740" spans="1:20">
      <c r="A1740" s="6" t="s">
        <v>1901</v>
      </c>
      <c r="B1740" s="6" t="s">
        <v>77</v>
      </c>
      <c r="C1740" s="6" t="s">
        <v>99</v>
      </c>
      <c r="D1740" s="6" t="s">
        <v>319</v>
      </c>
      <c r="E1740" s="6" t="s">
        <v>120</v>
      </c>
      <c r="F1740" s="7">
        <v>25</v>
      </c>
      <c r="G1740" s="7">
        <v>3125</v>
      </c>
      <c r="H1740" s="16">
        <v>45242</v>
      </c>
      <c r="I1740" s="6">
        <v>46</v>
      </c>
      <c r="J1740" s="6" t="s">
        <v>121</v>
      </c>
      <c r="K1740" s="6" t="s">
        <v>459</v>
      </c>
      <c r="L1740" s="11">
        <f>F1740*Controls!$B$6</f>
        <v>25</v>
      </c>
      <c r="M1740" s="11">
        <f>G1740*Controls!$B$6</f>
        <v>3125</v>
      </c>
      <c r="N1740" s="12">
        <f>IF(L1740=0,0,SUMIFS('PSI Plan'!$N$6:$N$173,'PSI Plan'!$B$6:$B$173,B1740,'PSI Plan'!$C$6:$C$173,I1740))</f>
        <v>0</v>
      </c>
      <c r="O1740" s="11">
        <f t="shared" si="54"/>
        <v>0</v>
      </c>
      <c r="P1740" s="11">
        <f t="shared" si="55"/>
        <v>0</v>
      </c>
      <c r="Q1740" s="6"/>
      <c r="R1740" s="6"/>
      <c r="S1740" s="6"/>
      <c r="T1740" s="6"/>
    </row>
    <row r="1741" spans="1:20">
      <c r="A1741" s="6" t="s">
        <v>1902</v>
      </c>
      <c r="B1741" s="6" t="s">
        <v>69</v>
      </c>
      <c r="C1741" s="6" t="s">
        <v>99</v>
      </c>
      <c r="D1741" s="6" t="s">
        <v>319</v>
      </c>
      <c r="E1741" s="6" t="s">
        <v>120</v>
      </c>
      <c r="F1741" s="7">
        <v>27</v>
      </c>
      <c r="G1741" s="7">
        <v>3375</v>
      </c>
      <c r="H1741" s="16">
        <v>45284</v>
      </c>
      <c r="I1741" s="6">
        <v>52</v>
      </c>
      <c r="J1741" s="6" t="s">
        <v>121</v>
      </c>
      <c r="K1741" s="6" t="s">
        <v>459</v>
      </c>
      <c r="L1741" s="11">
        <f>F1741*Controls!$B$6</f>
        <v>27</v>
      </c>
      <c r="M1741" s="11">
        <f>G1741*Controls!$B$6</f>
        <v>3375</v>
      </c>
      <c r="N1741" s="12">
        <f>IF(L1741=0,0,SUMIFS('PSI Plan'!$N$6:$N$173,'PSI Plan'!$B$6:$B$173,B1741,'PSI Plan'!$C$6:$C$173,I1741))</f>
        <v>0</v>
      </c>
      <c r="O1741" s="11">
        <f t="shared" si="54"/>
        <v>0</v>
      </c>
      <c r="P1741" s="11">
        <f t="shared" si="55"/>
        <v>0</v>
      </c>
      <c r="Q1741" s="6"/>
      <c r="R1741" s="6"/>
      <c r="S1741" s="6"/>
      <c r="T1741" s="6"/>
    </row>
    <row r="1742" spans="1:20">
      <c r="A1742" s="6" t="s">
        <v>1903</v>
      </c>
      <c r="B1742" s="6" t="s">
        <v>77</v>
      </c>
      <c r="C1742" s="6" t="s">
        <v>90</v>
      </c>
      <c r="D1742" s="6" t="s">
        <v>119</v>
      </c>
      <c r="E1742" s="6" t="s">
        <v>120</v>
      </c>
      <c r="F1742" s="7">
        <v>26</v>
      </c>
      <c r="G1742" s="7">
        <v>3250</v>
      </c>
      <c r="H1742" s="16">
        <v>45230</v>
      </c>
      <c r="I1742" s="6">
        <v>44</v>
      </c>
      <c r="J1742" s="6" t="s">
        <v>121</v>
      </c>
      <c r="K1742" s="6" t="s">
        <v>725</v>
      </c>
      <c r="L1742" s="11">
        <f>F1742*Controls!$B$6</f>
        <v>26</v>
      </c>
      <c r="M1742" s="11">
        <f>G1742*Controls!$B$6</f>
        <v>3250</v>
      </c>
      <c r="N1742" s="12">
        <f>IF(L1742=0,0,SUMIFS('PSI Plan'!$N$6:$N$173,'PSI Plan'!$B$6:$B$173,B1742,'PSI Plan'!$C$6:$C$173,I1742))</f>
        <v>0</v>
      </c>
      <c r="O1742" s="11">
        <f t="shared" si="54"/>
        <v>0</v>
      </c>
      <c r="P1742" s="11">
        <f t="shared" si="55"/>
        <v>0</v>
      </c>
      <c r="Q1742" s="6"/>
      <c r="R1742" s="6"/>
      <c r="S1742" s="6"/>
      <c r="T1742" s="6"/>
    </row>
    <row r="1743" spans="1:20">
      <c r="A1743" s="6" t="s">
        <v>1904</v>
      </c>
      <c r="B1743" s="6" t="s">
        <v>69</v>
      </c>
      <c r="C1743" s="6" t="s">
        <v>90</v>
      </c>
      <c r="D1743" s="6" t="s">
        <v>119</v>
      </c>
      <c r="E1743" s="6" t="s">
        <v>120</v>
      </c>
      <c r="F1743" s="7">
        <v>39</v>
      </c>
      <c r="G1743" s="7">
        <v>4875</v>
      </c>
      <c r="H1743" s="16">
        <v>45256</v>
      </c>
      <c r="I1743" s="6">
        <v>48</v>
      </c>
      <c r="J1743" s="6" t="s">
        <v>121</v>
      </c>
      <c r="K1743" s="6" t="s">
        <v>725</v>
      </c>
      <c r="L1743" s="11">
        <f>F1743*Controls!$B$6</f>
        <v>39</v>
      </c>
      <c r="M1743" s="11">
        <f>G1743*Controls!$B$6</f>
        <v>4875</v>
      </c>
      <c r="N1743" s="12">
        <f>IF(L1743=0,0,SUMIFS('PSI Plan'!$N$6:$N$173,'PSI Plan'!$B$6:$B$173,B1743,'PSI Plan'!$C$6:$C$173,I1743))</f>
        <v>0</v>
      </c>
      <c r="O1743" s="11">
        <f t="shared" si="54"/>
        <v>0</v>
      </c>
      <c r="P1743" s="11">
        <f t="shared" si="55"/>
        <v>0</v>
      </c>
      <c r="Q1743" s="6"/>
      <c r="R1743" s="6"/>
      <c r="S1743" s="6"/>
      <c r="T1743" s="6"/>
    </row>
    <row r="1744" spans="1:20">
      <c r="A1744" s="6" t="s">
        <v>1905</v>
      </c>
      <c r="B1744" s="6" t="s">
        <v>66</v>
      </c>
      <c r="C1744" s="6" t="s">
        <v>90</v>
      </c>
      <c r="D1744" s="6" t="s">
        <v>119</v>
      </c>
      <c r="E1744" s="6" t="s">
        <v>120</v>
      </c>
      <c r="F1744" s="7">
        <v>13</v>
      </c>
      <c r="G1744" s="7">
        <v>1625</v>
      </c>
      <c r="H1744" s="16">
        <v>45289</v>
      </c>
      <c r="I1744" s="6">
        <v>52</v>
      </c>
      <c r="J1744" s="6" t="s">
        <v>121</v>
      </c>
      <c r="K1744" s="6" t="s">
        <v>169</v>
      </c>
      <c r="L1744" s="11">
        <f>F1744*Controls!$B$6</f>
        <v>13</v>
      </c>
      <c r="M1744" s="11">
        <f>G1744*Controls!$B$6</f>
        <v>1625</v>
      </c>
      <c r="N1744" s="12">
        <f>IF(L1744=0,0,SUMIFS('PSI Plan'!$N$6:$N$173,'PSI Plan'!$B$6:$B$173,B1744,'PSI Plan'!$C$6:$C$173,I1744))</f>
        <v>0</v>
      </c>
      <c r="O1744" s="11">
        <f t="shared" si="54"/>
        <v>0</v>
      </c>
      <c r="P1744" s="11">
        <f t="shared" si="55"/>
        <v>0</v>
      </c>
      <c r="Q1744" s="6"/>
      <c r="R1744" s="6"/>
      <c r="S1744" s="6"/>
      <c r="T1744" s="6"/>
    </row>
    <row r="1745" spans="1:20">
      <c r="A1745" s="6" t="s">
        <v>1906</v>
      </c>
      <c r="B1745" s="6" t="s">
        <v>77</v>
      </c>
      <c r="C1745" s="6" t="s">
        <v>90</v>
      </c>
      <c r="D1745" s="6" t="s">
        <v>119</v>
      </c>
      <c r="E1745" s="6" t="s">
        <v>120</v>
      </c>
      <c r="F1745" s="7">
        <v>13</v>
      </c>
      <c r="G1745" s="7">
        <v>1625</v>
      </c>
      <c r="H1745" s="16">
        <v>45212</v>
      </c>
      <c r="I1745" s="6">
        <v>41</v>
      </c>
      <c r="J1745" s="6" t="s">
        <v>121</v>
      </c>
      <c r="K1745" s="6" t="s">
        <v>169</v>
      </c>
      <c r="L1745" s="11">
        <f>F1745*Controls!$B$6</f>
        <v>13</v>
      </c>
      <c r="M1745" s="11">
        <f>G1745*Controls!$B$6</f>
        <v>1625</v>
      </c>
      <c r="N1745" s="12">
        <f>IF(L1745=0,0,SUMIFS('PSI Plan'!$N$6:$N$173,'PSI Plan'!$B$6:$B$173,B1745,'PSI Plan'!$C$6:$C$173,I1745))</f>
        <v>0</v>
      </c>
      <c r="O1745" s="11">
        <f t="shared" si="54"/>
        <v>0</v>
      </c>
      <c r="P1745" s="11">
        <f t="shared" si="55"/>
        <v>0</v>
      </c>
      <c r="Q1745" s="6"/>
      <c r="R1745" s="6"/>
      <c r="S1745" s="6"/>
      <c r="T1745" s="6"/>
    </row>
    <row r="1746" spans="1:20">
      <c r="A1746" s="6" t="s">
        <v>1907</v>
      </c>
      <c r="B1746" s="6" t="s">
        <v>69</v>
      </c>
      <c r="C1746" s="6" t="s">
        <v>90</v>
      </c>
      <c r="D1746" s="6" t="s">
        <v>119</v>
      </c>
      <c r="E1746" s="6" t="s">
        <v>120</v>
      </c>
      <c r="F1746" s="7">
        <v>13</v>
      </c>
      <c r="G1746" s="7">
        <v>1625</v>
      </c>
      <c r="H1746" s="16">
        <v>45268</v>
      </c>
      <c r="I1746" s="6">
        <v>49</v>
      </c>
      <c r="J1746" s="6" t="s">
        <v>121</v>
      </c>
      <c r="K1746" s="6" t="s">
        <v>169</v>
      </c>
      <c r="L1746" s="11">
        <f>F1746*Controls!$B$6</f>
        <v>13</v>
      </c>
      <c r="M1746" s="11">
        <f>G1746*Controls!$B$6</f>
        <v>1625</v>
      </c>
      <c r="N1746" s="12">
        <f>IF(L1746=0,0,SUMIFS('PSI Plan'!$N$6:$N$173,'PSI Plan'!$B$6:$B$173,B1746,'PSI Plan'!$C$6:$C$173,I1746))</f>
        <v>0</v>
      </c>
      <c r="O1746" s="11">
        <f t="shared" si="54"/>
        <v>0</v>
      </c>
      <c r="P1746" s="11">
        <f t="shared" si="55"/>
        <v>0</v>
      </c>
      <c r="Q1746" s="6"/>
      <c r="R1746" s="6"/>
      <c r="S1746" s="6"/>
      <c r="T1746" s="6"/>
    </row>
    <row r="1747" spans="1:20">
      <c r="A1747" s="6" t="s">
        <v>1908</v>
      </c>
      <c r="B1747" s="6" t="s">
        <v>66</v>
      </c>
      <c r="C1747" s="6" t="s">
        <v>90</v>
      </c>
      <c r="D1747" s="6" t="s">
        <v>119</v>
      </c>
      <c r="E1747" s="6" t="s">
        <v>120</v>
      </c>
      <c r="F1747" s="7">
        <v>39</v>
      </c>
      <c r="G1747" s="7">
        <v>4875</v>
      </c>
      <c r="H1747" s="16">
        <v>45207</v>
      </c>
      <c r="I1747" s="6">
        <v>41</v>
      </c>
      <c r="J1747" s="6" t="s">
        <v>121</v>
      </c>
      <c r="K1747" s="6" t="s">
        <v>171</v>
      </c>
      <c r="L1747" s="11">
        <f>F1747*Controls!$B$6</f>
        <v>39</v>
      </c>
      <c r="M1747" s="11">
        <f>G1747*Controls!$B$6</f>
        <v>4875</v>
      </c>
      <c r="N1747" s="12">
        <f>IF(L1747=0,0,SUMIFS('PSI Plan'!$N$6:$N$173,'PSI Plan'!$B$6:$B$173,B1747,'PSI Plan'!$C$6:$C$173,I1747))</f>
        <v>0.22897465437788017</v>
      </c>
      <c r="O1747" s="11">
        <f t="shared" si="54"/>
        <v>8.9300115207373274</v>
      </c>
      <c r="P1747" s="11">
        <f t="shared" si="55"/>
        <v>1116.2514400921659</v>
      </c>
      <c r="Q1747" s="6"/>
      <c r="R1747" s="6"/>
      <c r="S1747" s="6"/>
      <c r="T1747" s="6"/>
    </row>
    <row r="1748" spans="1:20">
      <c r="A1748" s="6" t="s">
        <v>1909</v>
      </c>
      <c r="B1748" s="6" t="s">
        <v>77</v>
      </c>
      <c r="C1748" s="6" t="s">
        <v>90</v>
      </c>
      <c r="D1748" s="6" t="s">
        <v>119</v>
      </c>
      <c r="E1748" s="6" t="s">
        <v>120</v>
      </c>
      <c r="F1748" s="7">
        <v>52</v>
      </c>
      <c r="G1748" s="7">
        <v>6500</v>
      </c>
      <c r="H1748" s="16">
        <v>45229</v>
      </c>
      <c r="I1748" s="6">
        <v>44</v>
      </c>
      <c r="J1748" s="6" t="s">
        <v>121</v>
      </c>
      <c r="K1748" s="6" t="s">
        <v>171</v>
      </c>
      <c r="L1748" s="11">
        <f>F1748*Controls!$B$6</f>
        <v>52</v>
      </c>
      <c r="M1748" s="11">
        <f>G1748*Controls!$B$6</f>
        <v>6500</v>
      </c>
      <c r="N1748" s="12">
        <f>IF(L1748=0,0,SUMIFS('PSI Plan'!$N$6:$N$173,'PSI Plan'!$B$6:$B$173,B1748,'PSI Plan'!$C$6:$C$173,I1748))</f>
        <v>0</v>
      </c>
      <c r="O1748" s="11">
        <f t="shared" si="54"/>
        <v>0</v>
      </c>
      <c r="P1748" s="11">
        <f t="shared" si="55"/>
        <v>0</v>
      </c>
      <c r="Q1748" s="6"/>
      <c r="R1748" s="6"/>
      <c r="S1748" s="6"/>
      <c r="T1748" s="6"/>
    </row>
    <row r="1749" spans="1:20">
      <c r="A1749" s="6" t="s">
        <v>1910</v>
      </c>
      <c r="B1749" s="6" t="s">
        <v>69</v>
      </c>
      <c r="C1749" s="6" t="s">
        <v>90</v>
      </c>
      <c r="D1749" s="6" t="s">
        <v>119</v>
      </c>
      <c r="E1749" s="6" t="s">
        <v>120</v>
      </c>
      <c r="F1749" s="7">
        <v>65</v>
      </c>
      <c r="G1749" s="7">
        <v>8125</v>
      </c>
      <c r="H1749" s="16">
        <v>45256</v>
      </c>
      <c r="I1749" s="6">
        <v>48</v>
      </c>
      <c r="J1749" s="6" t="s">
        <v>121</v>
      </c>
      <c r="K1749" s="6" t="s">
        <v>171</v>
      </c>
      <c r="L1749" s="11">
        <f>F1749*Controls!$B$6</f>
        <v>65</v>
      </c>
      <c r="M1749" s="11">
        <f>G1749*Controls!$B$6</f>
        <v>8125</v>
      </c>
      <c r="N1749" s="12">
        <f>IF(L1749=0,0,SUMIFS('PSI Plan'!$N$6:$N$173,'PSI Plan'!$B$6:$B$173,B1749,'PSI Plan'!$C$6:$C$173,I1749))</f>
        <v>0</v>
      </c>
      <c r="O1749" s="11">
        <f t="shared" si="54"/>
        <v>0</v>
      </c>
      <c r="P1749" s="11">
        <f t="shared" si="55"/>
        <v>0</v>
      </c>
      <c r="Q1749" s="6"/>
      <c r="R1749" s="6"/>
      <c r="S1749" s="6"/>
      <c r="T1749" s="6"/>
    </row>
    <row r="1750" spans="1:20">
      <c r="A1750" s="6" t="s">
        <v>1911</v>
      </c>
      <c r="B1750" s="6" t="s">
        <v>77</v>
      </c>
      <c r="C1750" s="6" t="s">
        <v>99</v>
      </c>
      <c r="D1750" s="6" t="s">
        <v>319</v>
      </c>
      <c r="E1750" s="6" t="s">
        <v>120</v>
      </c>
      <c r="F1750" s="7">
        <v>16</v>
      </c>
      <c r="G1750" s="7">
        <v>2000</v>
      </c>
      <c r="H1750" s="16">
        <v>45212</v>
      </c>
      <c r="I1750" s="6">
        <v>41</v>
      </c>
      <c r="J1750" s="6" t="s">
        <v>121</v>
      </c>
      <c r="K1750" s="6" t="s">
        <v>347</v>
      </c>
      <c r="L1750" s="11">
        <f>F1750*Controls!$B$6</f>
        <v>16</v>
      </c>
      <c r="M1750" s="11">
        <f>G1750*Controls!$B$6</f>
        <v>2000</v>
      </c>
      <c r="N1750" s="12">
        <f>IF(L1750=0,0,SUMIFS('PSI Plan'!$N$6:$N$173,'PSI Plan'!$B$6:$B$173,B1750,'PSI Plan'!$C$6:$C$173,I1750))</f>
        <v>0</v>
      </c>
      <c r="O1750" s="11">
        <f t="shared" si="54"/>
        <v>0</v>
      </c>
      <c r="P1750" s="11">
        <f t="shared" si="55"/>
        <v>0</v>
      </c>
      <c r="Q1750" s="6"/>
      <c r="R1750" s="6"/>
      <c r="S1750" s="6"/>
      <c r="T1750" s="6"/>
    </row>
    <row r="1751" spans="1:20">
      <c r="A1751" s="6" t="s">
        <v>1912</v>
      </c>
      <c r="B1751" s="6" t="s">
        <v>76</v>
      </c>
      <c r="C1751" s="6" t="s">
        <v>99</v>
      </c>
      <c r="D1751" s="6" t="s">
        <v>319</v>
      </c>
      <c r="E1751" s="6" t="s">
        <v>120</v>
      </c>
      <c r="F1751" s="7">
        <v>8</v>
      </c>
      <c r="G1751" s="7">
        <v>1000</v>
      </c>
      <c r="H1751" s="16">
        <v>45242</v>
      </c>
      <c r="I1751" s="6">
        <v>46</v>
      </c>
      <c r="J1751" s="6" t="s">
        <v>121</v>
      </c>
      <c r="K1751" s="6" t="s">
        <v>347</v>
      </c>
      <c r="L1751" s="11">
        <f>F1751*Controls!$B$6</f>
        <v>8</v>
      </c>
      <c r="M1751" s="11">
        <f>G1751*Controls!$B$6</f>
        <v>1000</v>
      </c>
      <c r="N1751" s="12">
        <f>IF(L1751=0,0,SUMIFS('PSI Plan'!$N$6:$N$173,'PSI Plan'!$B$6:$B$173,B1751,'PSI Plan'!$C$6:$C$173,I1751))</f>
        <v>0</v>
      </c>
      <c r="O1751" s="11">
        <f t="shared" si="54"/>
        <v>0</v>
      </c>
      <c r="P1751" s="11">
        <f t="shared" si="55"/>
        <v>0</v>
      </c>
      <c r="Q1751" s="6"/>
      <c r="R1751" s="6"/>
      <c r="S1751" s="6"/>
      <c r="T1751" s="6"/>
    </row>
    <row r="1752" spans="1:20">
      <c r="A1752" s="6" t="s">
        <v>1913</v>
      </c>
      <c r="B1752" s="6" t="s">
        <v>67</v>
      </c>
      <c r="C1752" s="6" t="s">
        <v>99</v>
      </c>
      <c r="D1752" s="6" t="s">
        <v>319</v>
      </c>
      <c r="E1752" s="6" t="s">
        <v>120</v>
      </c>
      <c r="F1752" s="7">
        <v>16</v>
      </c>
      <c r="G1752" s="7">
        <v>2000</v>
      </c>
      <c r="H1752" s="16">
        <v>45282</v>
      </c>
      <c r="I1752" s="6">
        <v>51</v>
      </c>
      <c r="J1752" s="6" t="s">
        <v>121</v>
      </c>
      <c r="K1752" s="6" t="s">
        <v>347</v>
      </c>
      <c r="L1752" s="11">
        <f>F1752*Controls!$B$6</f>
        <v>16</v>
      </c>
      <c r="M1752" s="11">
        <f>G1752*Controls!$B$6</f>
        <v>2000</v>
      </c>
      <c r="N1752" s="12">
        <f>IF(L1752=0,0,SUMIFS('PSI Plan'!$N$6:$N$173,'PSI Plan'!$B$6:$B$173,B1752,'PSI Plan'!$C$6:$C$173,I1752))</f>
        <v>0</v>
      </c>
      <c r="O1752" s="11">
        <f t="shared" si="54"/>
        <v>0</v>
      </c>
      <c r="P1752" s="11">
        <f t="shared" si="55"/>
        <v>0</v>
      </c>
      <c r="Q1752" s="6"/>
      <c r="R1752" s="6"/>
      <c r="S1752" s="6"/>
      <c r="T1752" s="6"/>
    </row>
    <row r="1753" spans="1:20">
      <c r="A1753" s="6" t="s">
        <v>1914</v>
      </c>
      <c r="B1753" s="6" t="s">
        <v>69</v>
      </c>
      <c r="C1753" s="6" t="s">
        <v>99</v>
      </c>
      <c r="D1753" s="6" t="s">
        <v>319</v>
      </c>
      <c r="E1753" s="6" t="s">
        <v>120</v>
      </c>
      <c r="F1753" s="7">
        <v>24</v>
      </c>
      <c r="G1753" s="7">
        <v>3000</v>
      </c>
      <c r="H1753" s="16">
        <v>45246</v>
      </c>
      <c r="I1753" s="6">
        <v>46</v>
      </c>
      <c r="J1753" s="6" t="s">
        <v>121</v>
      </c>
      <c r="K1753" s="6" t="s">
        <v>347</v>
      </c>
      <c r="L1753" s="11">
        <f>F1753*Controls!$B$6</f>
        <v>24</v>
      </c>
      <c r="M1753" s="11">
        <f>G1753*Controls!$B$6</f>
        <v>3000</v>
      </c>
      <c r="N1753" s="12">
        <f>IF(L1753=0,0,SUMIFS('PSI Plan'!$N$6:$N$173,'PSI Plan'!$B$6:$B$173,B1753,'PSI Plan'!$C$6:$C$173,I1753))</f>
        <v>0</v>
      </c>
      <c r="O1753" s="11">
        <f t="shared" si="54"/>
        <v>0</v>
      </c>
      <c r="P1753" s="11">
        <f t="shared" si="55"/>
        <v>0</v>
      </c>
      <c r="Q1753" s="6"/>
      <c r="R1753" s="6"/>
      <c r="S1753" s="6"/>
      <c r="T1753" s="6"/>
    </row>
    <row r="1754" spans="1:20">
      <c r="A1754" s="6" t="s">
        <v>1915</v>
      </c>
      <c r="B1754" s="6" t="s">
        <v>66</v>
      </c>
      <c r="C1754" s="6" t="s">
        <v>99</v>
      </c>
      <c r="D1754" s="6" t="s">
        <v>319</v>
      </c>
      <c r="E1754" s="6" t="s">
        <v>120</v>
      </c>
      <c r="F1754" s="7">
        <v>32</v>
      </c>
      <c r="G1754" s="7">
        <v>4000</v>
      </c>
      <c r="H1754" s="16">
        <v>45277</v>
      </c>
      <c r="I1754" s="6">
        <v>51</v>
      </c>
      <c r="J1754" s="6" t="s">
        <v>121</v>
      </c>
      <c r="K1754" s="6" t="s">
        <v>1576</v>
      </c>
      <c r="L1754" s="11">
        <f>F1754*Controls!$B$6</f>
        <v>32</v>
      </c>
      <c r="M1754" s="11">
        <f>G1754*Controls!$B$6</f>
        <v>4000</v>
      </c>
      <c r="N1754" s="12">
        <f>IF(L1754=0,0,SUMIFS('PSI Plan'!$N$6:$N$173,'PSI Plan'!$B$6:$B$173,B1754,'PSI Plan'!$C$6:$C$173,I1754))</f>
        <v>0</v>
      </c>
      <c r="O1754" s="11">
        <f t="shared" si="54"/>
        <v>0</v>
      </c>
      <c r="P1754" s="11">
        <f t="shared" si="55"/>
        <v>0</v>
      </c>
      <c r="Q1754" s="6"/>
      <c r="R1754" s="6"/>
      <c r="S1754" s="6"/>
      <c r="T1754" s="6"/>
    </row>
    <row r="1755" spans="1:20">
      <c r="A1755" s="6" t="s">
        <v>1916</v>
      </c>
      <c r="B1755" s="6" t="s">
        <v>77</v>
      </c>
      <c r="C1755" s="6" t="s">
        <v>99</v>
      </c>
      <c r="D1755" s="6" t="s">
        <v>319</v>
      </c>
      <c r="E1755" s="6" t="s">
        <v>120</v>
      </c>
      <c r="F1755" s="7">
        <v>32</v>
      </c>
      <c r="G1755" s="7">
        <v>4000</v>
      </c>
      <c r="H1755" s="16">
        <v>45265</v>
      </c>
      <c r="I1755" s="6">
        <v>49</v>
      </c>
      <c r="J1755" s="6" t="s">
        <v>121</v>
      </c>
      <c r="K1755" s="6" t="s">
        <v>1576</v>
      </c>
      <c r="L1755" s="11">
        <f>F1755*Controls!$B$6</f>
        <v>32</v>
      </c>
      <c r="M1755" s="11">
        <f>G1755*Controls!$B$6</f>
        <v>4000</v>
      </c>
      <c r="N1755" s="12">
        <f>IF(L1755=0,0,SUMIFS('PSI Plan'!$N$6:$N$173,'PSI Plan'!$B$6:$B$173,B1755,'PSI Plan'!$C$6:$C$173,I1755))</f>
        <v>0</v>
      </c>
      <c r="O1755" s="11">
        <f t="shared" si="54"/>
        <v>0</v>
      </c>
      <c r="P1755" s="11">
        <f t="shared" si="55"/>
        <v>0</v>
      </c>
      <c r="Q1755" s="6"/>
      <c r="R1755" s="6"/>
      <c r="S1755" s="6"/>
      <c r="T1755" s="6"/>
    </row>
    <row r="1756" spans="1:20">
      <c r="A1756" s="6" t="s">
        <v>1917</v>
      </c>
      <c r="B1756" s="6" t="s">
        <v>69</v>
      </c>
      <c r="C1756" s="6" t="s">
        <v>99</v>
      </c>
      <c r="D1756" s="6" t="s">
        <v>319</v>
      </c>
      <c r="E1756" s="6" t="s">
        <v>120</v>
      </c>
      <c r="F1756" s="7">
        <v>36</v>
      </c>
      <c r="G1756" s="7">
        <v>4500</v>
      </c>
      <c r="H1756" s="16">
        <v>45270</v>
      </c>
      <c r="I1756" s="6">
        <v>50</v>
      </c>
      <c r="J1756" s="6" t="s">
        <v>121</v>
      </c>
      <c r="K1756" s="6" t="s">
        <v>1576</v>
      </c>
      <c r="L1756" s="11">
        <f>F1756*Controls!$B$6</f>
        <v>36</v>
      </c>
      <c r="M1756" s="11">
        <f>G1756*Controls!$B$6</f>
        <v>4500</v>
      </c>
      <c r="N1756" s="12">
        <f>IF(L1756=0,0,SUMIFS('PSI Plan'!$N$6:$N$173,'PSI Plan'!$B$6:$B$173,B1756,'PSI Plan'!$C$6:$C$173,I1756))</f>
        <v>0</v>
      </c>
      <c r="O1756" s="11">
        <f t="shared" si="54"/>
        <v>0</v>
      </c>
      <c r="P1756" s="11">
        <f t="shared" si="55"/>
        <v>0</v>
      </c>
      <c r="Q1756" s="6"/>
      <c r="R1756" s="6"/>
      <c r="S1756" s="6"/>
      <c r="T1756" s="6"/>
    </row>
    <row r="1757" spans="1:20">
      <c r="A1757" s="6" t="s">
        <v>1918</v>
      </c>
      <c r="B1757" s="6" t="s">
        <v>66</v>
      </c>
      <c r="C1757" s="6" t="s">
        <v>90</v>
      </c>
      <c r="D1757" s="6" t="s">
        <v>119</v>
      </c>
      <c r="E1757" s="6" t="s">
        <v>120</v>
      </c>
      <c r="F1757" s="7">
        <v>13</v>
      </c>
      <c r="G1757" s="7">
        <v>1625</v>
      </c>
      <c r="H1757" s="16">
        <v>45243</v>
      </c>
      <c r="I1757" s="6">
        <v>46</v>
      </c>
      <c r="J1757" s="6" t="s">
        <v>121</v>
      </c>
      <c r="K1757" s="6" t="s">
        <v>298</v>
      </c>
      <c r="L1757" s="11">
        <f>F1757*Controls!$B$6</f>
        <v>13</v>
      </c>
      <c r="M1757" s="11">
        <f>G1757*Controls!$B$6</f>
        <v>1625</v>
      </c>
      <c r="N1757" s="12">
        <f>IF(L1757=0,0,SUMIFS('PSI Plan'!$N$6:$N$173,'PSI Plan'!$B$6:$B$173,B1757,'PSI Plan'!$C$6:$C$173,I1757))</f>
        <v>0</v>
      </c>
      <c r="O1757" s="11">
        <f t="shared" si="54"/>
        <v>0</v>
      </c>
      <c r="P1757" s="11">
        <f t="shared" si="55"/>
        <v>0</v>
      </c>
      <c r="Q1757" s="6"/>
      <c r="R1757" s="6"/>
      <c r="S1757" s="6"/>
      <c r="T1757" s="6"/>
    </row>
    <row r="1758" spans="1:20">
      <c r="A1758" s="6" t="s">
        <v>1919</v>
      </c>
      <c r="B1758" s="6" t="s">
        <v>77</v>
      </c>
      <c r="C1758" s="6" t="s">
        <v>90</v>
      </c>
      <c r="D1758" s="6" t="s">
        <v>119</v>
      </c>
      <c r="E1758" s="6" t="s">
        <v>120</v>
      </c>
      <c r="F1758" s="7">
        <v>13</v>
      </c>
      <c r="G1758" s="7">
        <v>1625</v>
      </c>
      <c r="H1758" s="16">
        <v>45272</v>
      </c>
      <c r="I1758" s="6">
        <v>50</v>
      </c>
      <c r="J1758" s="6" t="s">
        <v>121</v>
      </c>
      <c r="K1758" s="6" t="s">
        <v>298</v>
      </c>
      <c r="L1758" s="11">
        <f>F1758*Controls!$B$6</f>
        <v>13</v>
      </c>
      <c r="M1758" s="11">
        <f>G1758*Controls!$B$6</f>
        <v>1625</v>
      </c>
      <c r="N1758" s="12">
        <f>IF(L1758=0,0,SUMIFS('PSI Plan'!$N$6:$N$173,'PSI Plan'!$B$6:$B$173,B1758,'PSI Plan'!$C$6:$C$173,I1758))</f>
        <v>0</v>
      </c>
      <c r="O1758" s="11">
        <f t="shared" si="54"/>
        <v>0</v>
      </c>
      <c r="P1758" s="11">
        <f t="shared" si="55"/>
        <v>0</v>
      </c>
      <c r="Q1758" s="6"/>
      <c r="R1758" s="6"/>
      <c r="S1758" s="6"/>
      <c r="T1758" s="6"/>
    </row>
    <row r="1759" spans="1:20">
      <c r="A1759" s="6" t="s">
        <v>1920</v>
      </c>
      <c r="B1759" s="6" t="s">
        <v>76</v>
      </c>
      <c r="C1759" s="6" t="s">
        <v>90</v>
      </c>
      <c r="D1759" s="6" t="s">
        <v>119</v>
      </c>
      <c r="E1759" s="6" t="s">
        <v>120</v>
      </c>
      <c r="F1759" s="7">
        <v>13</v>
      </c>
      <c r="G1759" s="7">
        <v>1625</v>
      </c>
      <c r="H1759" s="16">
        <v>45286</v>
      </c>
      <c r="I1759" s="6">
        <v>52</v>
      </c>
      <c r="J1759" s="6" t="s">
        <v>121</v>
      </c>
      <c r="K1759" s="6" t="s">
        <v>298</v>
      </c>
      <c r="L1759" s="11">
        <f>F1759*Controls!$B$6</f>
        <v>13</v>
      </c>
      <c r="M1759" s="11">
        <f>G1759*Controls!$B$6</f>
        <v>1625</v>
      </c>
      <c r="N1759" s="12">
        <f>IF(L1759=0,0,SUMIFS('PSI Plan'!$N$6:$N$173,'PSI Plan'!$B$6:$B$173,B1759,'PSI Plan'!$C$6:$C$173,I1759))</f>
        <v>0</v>
      </c>
      <c r="O1759" s="11">
        <f t="shared" si="54"/>
        <v>0</v>
      </c>
      <c r="P1759" s="11">
        <f t="shared" si="55"/>
        <v>0</v>
      </c>
      <c r="Q1759" s="6"/>
      <c r="R1759" s="6"/>
      <c r="S1759" s="6"/>
      <c r="T1759" s="6"/>
    </row>
    <row r="1760" spans="1:20">
      <c r="A1760" s="6" t="s">
        <v>1921</v>
      </c>
      <c r="B1760" s="6" t="s">
        <v>69</v>
      </c>
      <c r="C1760" s="6" t="s">
        <v>90</v>
      </c>
      <c r="D1760" s="6" t="s">
        <v>119</v>
      </c>
      <c r="E1760" s="6" t="s">
        <v>120</v>
      </c>
      <c r="F1760" s="7">
        <v>39</v>
      </c>
      <c r="G1760" s="7">
        <v>4875</v>
      </c>
      <c r="H1760" s="16">
        <v>45286</v>
      </c>
      <c r="I1760" s="6">
        <v>52</v>
      </c>
      <c r="J1760" s="6" t="s">
        <v>121</v>
      </c>
      <c r="K1760" s="6" t="s">
        <v>298</v>
      </c>
      <c r="L1760" s="11">
        <f>F1760*Controls!$B$6</f>
        <v>39</v>
      </c>
      <c r="M1760" s="11">
        <f>G1760*Controls!$B$6</f>
        <v>4875</v>
      </c>
      <c r="N1760" s="12">
        <f>IF(L1760=0,0,SUMIFS('PSI Plan'!$N$6:$N$173,'PSI Plan'!$B$6:$B$173,B1760,'PSI Plan'!$C$6:$C$173,I1760))</f>
        <v>0</v>
      </c>
      <c r="O1760" s="11">
        <f t="shared" si="54"/>
        <v>0</v>
      </c>
      <c r="P1760" s="11">
        <f t="shared" si="55"/>
        <v>0</v>
      </c>
      <c r="Q1760" s="6"/>
      <c r="R1760" s="6"/>
      <c r="S1760" s="6"/>
      <c r="T1760" s="6"/>
    </row>
    <row r="1761" spans="1:20">
      <c r="A1761" s="6" t="s">
        <v>1922</v>
      </c>
      <c r="B1761" s="6" t="s">
        <v>66</v>
      </c>
      <c r="C1761" s="6" t="s">
        <v>90</v>
      </c>
      <c r="D1761" s="6" t="s">
        <v>119</v>
      </c>
      <c r="E1761" s="6" t="s">
        <v>120</v>
      </c>
      <c r="F1761" s="7">
        <v>13</v>
      </c>
      <c r="G1761" s="7">
        <v>1625</v>
      </c>
      <c r="H1761" s="16">
        <v>45217</v>
      </c>
      <c r="I1761" s="6">
        <v>42</v>
      </c>
      <c r="J1761" s="6" t="s">
        <v>1791</v>
      </c>
      <c r="K1761" s="6" t="s">
        <v>1890</v>
      </c>
      <c r="L1761" s="11">
        <f>F1761*Controls!$B$6</f>
        <v>13</v>
      </c>
      <c r="M1761" s="11">
        <f>G1761*Controls!$B$6</f>
        <v>1625</v>
      </c>
      <c r="N1761" s="12">
        <f>IF(L1761=0,0,SUMIFS('PSI Plan'!$N$6:$N$173,'PSI Plan'!$B$6:$B$173,B1761,'PSI Plan'!$C$6:$C$173,I1761))</f>
        <v>0.59807073954983925</v>
      </c>
      <c r="O1761" s="11">
        <f t="shared" si="54"/>
        <v>7.77491961414791</v>
      </c>
      <c r="P1761" s="11">
        <f t="shared" si="55"/>
        <v>971.86495176848882</v>
      </c>
      <c r="Q1761" s="6"/>
      <c r="R1761" s="6"/>
      <c r="S1761" s="6"/>
      <c r="T1761" s="6"/>
    </row>
    <row r="1762" spans="1:20">
      <c r="A1762" s="6" t="s">
        <v>1923</v>
      </c>
      <c r="B1762" s="6" t="s">
        <v>66</v>
      </c>
      <c r="C1762" s="6" t="s">
        <v>90</v>
      </c>
      <c r="D1762" s="6" t="s">
        <v>119</v>
      </c>
      <c r="E1762" s="6" t="s">
        <v>120</v>
      </c>
      <c r="F1762" s="7">
        <v>13</v>
      </c>
      <c r="G1762" s="7">
        <v>1625</v>
      </c>
      <c r="H1762" s="16">
        <v>45274</v>
      </c>
      <c r="I1762" s="6">
        <v>50</v>
      </c>
      <c r="J1762" s="6" t="s">
        <v>1791</v>
      </c>
      <c r="K1762" s="6" t="s">
        <v>1890</v>
      </c>
      <c r="L1762" s="11">
        <f>F1762*Controls!$B$6</f>
        <v>13</v>
      </c>
      <c r="M1762" s="11">
        <f>G1762*Controls!$B$6</f>
        <v>1625</v>
      </c>
      <c r="N1762" s="12">
        <f>IF(L1762=0,0,SUMIFS('PSI Plan'!$N$6:$N$173,'PSI Plan'!$B$6:$B$173,B1762,'PSI Plan'!$C$6:$C$173,I1762))</f>
        <v>0</v>
      </c>
      <c r="O1762" s="11">
        <f t="shared" si="54"/>
        <v>0</v>
      </c>
      <c r="P1762" s="11">
        <f t="shared" si="55"/>
        <v>0</v>
      </c>
      <c r="Q1762" s="6"/>
      <c r="R1762" s="6"/>
      <c r="S1762" s="6"/>
      <c r="T1762" s="6"/>
    </row>
    <row r="1763" spans="1:20">
      <c r="A1763" s="6" t="s">
        <v>1924</v>
      </c>
      <c r="B1763" s="6" t="s">
        <v>76</v>
      </c>
      <c r="C1763" s="6" t="s">
        <v>90</v>
      </c>
      <c r="D1763" s="6" t="s">
        <v>119</v>
      </c>
      <c r="E1763" s="6" t="s">
        <v>120</v>
      </c>
      <c r="F1763" s="7">
        <v>26</v>
      </c>
      <c r="G1763" s="7">
        <v>3250</v>
      </c>
      <c r="H1763" s="16">
        <v>45269</v>
      </c>
      <c r="I1763" s="6">
        <v>49</v>
      </c>
      <c r="J1763" s="6" t="s">
        <v>1791</v>
      </c>
      <c r="K1763" s="6" t="s">
        <v>1890</v>
      </c>
      <c r="L1763" s="11">
        <f>F1763*Controls!$B$6</f>
        <v>26</v>
      </c>
      <c r="M1763" s="11">
        <f>G1763*Controls!$B$6</f>
        <v>3250</v>
      </c>
      <c r="N1763" s="12">
        <f>IF(L1763=0,0,SUMIFS('PSI Plan'!$N$6:$N$173,'PSI Plan'!$B$6:$B$173,B1763,'PSI Plan'!$C$6:$C$173,I1763))</f>
        <v>0</v>
      </c>
      <c r="O1763" s="11">
        <f t="shared" si="54"/>
        <v>0</v>
      </c>
      <c r="P1763" s="11">
        <f t="shared" si="55"/>
        <v>0</v>
      </c>
      <c r="Q1763" s="6"/>
      <c r="R1763" s="6"/>
      <c r="S1763" s="6"/>
      <c r="T1763" s="6"/>
    </row>
    <row r="1764" spans="1:20">
      <c r="A1764" s="6" t="s">
        <v>1925</v>
      </c>
      <c r="B1764" s="6" t="s">
        <v>67</v>
      </c>
      <c r="C1764" s="6" t="s">
        <v>90</v>
      </c>
      <c r="D1764" s="6" t="s">
        <v>119</v>
      </c>
      <c r="E1764" s="6" t="s">
        <v>120</v>
      </c>
      <c r="F1764" s="7">
        <v>13</v>
      </c>
      <c r="G1764" s="7">
        <v>1625</v>
      </c>
      <c r="H1764" s="16">
        <v>45224</v>
      </c>
      <c r="I1764" s="6">
        <v>43</v>
      </c>
      <c r="J1764" s="6" t="s">
        <v>1791</v>
      </c>
      <c r="K1764" s="6" t="s">
        <v>1890</v>
      </c>
      <c r="L1764" s="11">
        <f>F1764*Controls!$B$6</f>
        <v>13</v>
      </c>
      <c r="M1764" s="11">
        <f>G1764*Controls!$B$6</f>
        <v>1625</v>
      </c>
      <c r="N1764" s="12">
        <f>IF(L1764=0,0,SUMIFS('PSI Plan'!$N$6:$N$173,'PSI Plan'!$B$6:$B$173,B1764,'PSI Plan'!$C$6:$C$173,I1764))</f>
        <v>0</v>
      </c>
      <c r="O1764" s="11">
        <f t="shared" si="54"/>
        <v>0</v>
      </c>
      <c r="P1764" s="11">
        <f t="shared" si="55"/>
        <v>0</v>
      </c>
      <c r="Q1764" s="6"/>
      <c r="R1764" s="6"/>
      <c r="S1764" s="6"/>
      <c r="T1764" s="6"/>
    </row>
    <row r="1765" spans="1:20">
      <c r="A1765" s="6" t="s">
        <v>1926</v>
      </c>
      <c r="B1765" s="6" t="s">
        <v>77</v>
      </c>
      <c r="C1765" s="6" t="s">
        <v>90</v>
      </c>
      <c r="D1765" s="6" t="s">
        <v>119</v>
      </c>
      <c r="E1765" s="6" t="s">
        <v>120</v>
      </c>
      <c r="F1765" s="7">
        <v>13</v>
      </c>
      <c r="G1765" s="7">
        <v>1625</v>
      </c>
      <c r="H1765" s="16">
        <v>45281</v>
      </c>
      <c r="I1765" s="6">
        <v>51</v>
      </c>
      <c r="J1765" s="6" t="s">
        <v>121</v>
      </c>
      <c r="K1765" s="6" t="s">
        <v>1547</v>
      </c>
      <c r="L1765" s="11">
        <f>F1765*Controls!$B$6</f>
        <v>13</v>
      </c>
      <c r="M1765" s="11">
        <f>G1765*Controls!$B$6</f>
        <v>1625</v>
      </c>
      <c r="N1765" s="12">
        <f>IF(L1765=0,0,SUMIFS('PSI Plan'!$N$6:$N$173,'PSI Plan'!$B$6:$B$173,B1765,'PSI Plan'!$C$6:$C$173,I1765))</f>
        <v>0</v>
      </c>
      <c r="O1765" s="11">
        <f t="shared" si="54"/>
        <v>0</v>
      </c>
      <c r="P1765" s="11">
        <f t="shared" si="55"/>
        <v>0</v>
      </c>
      <c r="Q1765" s="6"/>
      <c r="R1765" s="6"/>
      <c r="S1765" s="6"/>
      <c r="T1765" s="6"/>
    </row>
    <row r="1766" spans="1:20">
      <c r="A1766" s="6" t="s">
        <v>1927</v>
      </c>
      <c r="B1766" s="6" t="s">
        <v>69</v>
      </c>
      <c r="C1766" s="6" t="s">
        <v>90</v>
      </c>
      <c r="D1766" s="6" t="s">
        <v>119</v>
      </c>
      <c r="E1766" s="6" t="s">
        <v>120</v>
      </c>
      <c r="F1766" s="7">
        <v>13</v>
      </c>
      <c r="G1766" s="7">
        <v>1625</v>
      </c>
      <c r="H1766" s="16">
        <v>45210</v>
      </c>
      <c r="I1766" s="6">
        <v>41</v>
      </c>
      <c r="J1766" s="6" t="s">
        <v>121</v>
      </c>
      <c r="K1766" s="6" t="s">
        <v>1547</v>
      </c>
      <c r="L1766" s="11">
        <f>F1766*Controls!$B$6</f>
        <v>13</v>
      </c>
      <c r="M1766" s="11">
        <f>G1766*Controls!$B$6</f>
        <v>1625</v>
      </c>
      <c r="N1766" s="12">
        <f>IF(L1766=0,0,SUMIFS('PSI Plan'!$N$6:$N$173,'PSI Plan'!$B$6:$B$173,B1766,'PSI Plan'!$C$6:$C$173,I1766))</f>
        <v>0</v>
      </c>
      <c r="O1766" s="11">
        <f t="shared" si="54"/>
        <v>0</v>
      </c>
      <c r="P1766" s="11">
        <f t="shared" si="55"/>
        <v>0</v>
      </c>
      <c r="Q1766" s="6"/>
      <c r="R1766" s="6"/>
      <c r="S1766" s="6"/>
      <c r="T1766" s="6"/>
    </row>
    <row r="1767" spans="1:20">
      <c r="A1767" s="6" t="s">
        <v>1928</v>
      </c>
      <c r="B1767" s="6" t="s">
        <v>77</v>
      </c>
      <c r="C1767" s="6" t="s">
        <v>90</v>
      </c>
      <c r="D1767" s="6" t="s">
        <v>119</v>
      </c>
      <c r="E1767" s="6" t="s">
        <v>120</v>
      </c>
      <c r="F1767" s="7">
        <v>13</v>
      </c>
      <c r="G1767" s="7">
        <v>1625</v>
      </c>
      <c r="H1767" s="16">
        <v>45260</v>
      </c>
      <c r="I1767" s="6">
        <v>48</v>
      </c>
      <c r="J1767" s="6" t="s">
        <v>121</v>
      </c>
      <c r="K1767" s="6" t="s">
        <v>725</v>
      </c>
      <c r="L1767" s="11">
        <f>F1767*Controls!$B$6</f>
        <v>13</v>
      </c>
      <c r="M1767" s="11">
        <f>G1767*Controls!$B$6</f>
        <v>1625</v>
      </c>
      <c r="N1767" s="12">
        <f>IF(L1767=0,0,SUMIFS('PSI Plan'!$N$6:$N$173,'PSI Plan'!$B$6:$B$173,B1767,'PSI Plan'!$C$6:$C$173,I1767))</f>
        <v>0</v>
      </c>
      <c r="O1767" s="11">
        <f t="shared" si="54"/>
        <v>0</v>
      </c>
      <c r="P1767" s="11">
        <f t="shared" si="55"/>
        <v>0</v>
      </c>
      <c r="Q1767" s="6"/>
      <c r="R1767" s="6"/>
      <c r="S1767" s="6"/>
      <c r="T1767" s="6"/>
    </row>
    <row r="1768" spans="1:20">
      <c r="A1768" s="6" t="s">
        <v>1929</v>
      </c>
      <c r="B1768" s="6" t="s">
        <v>69</v>
      </c>
      <c r="C1768" s="6" t="s">
        <v>90</v>
      </c>
      <c r="D1768" s="6" t="s">
        <v>119</v>
      </c>
      <c r="E1768" s="6" t="s">
        <v>120</v>
      </c>
      <c r="F1768" s="7">
        <v>78</v>
      </c>
      <c r="G1768" s="7">
        <v>9750</v>
      </c>
      <c r="H1768" s="16">
        <v>45217</v>
      </c>
      <c r="I1768" s="6">
        <v>42</v>
      </c>
      <c r="J1768" s="6" t="s">
        <v>121</v>
      </c>
      <c r="K1768" s="6" t="s">
        <v>725</v>
      </c>
      <c r="L1768" s="11">
        <f>F1768*Controls!$B$6</f>
        <v>78</v>
      </c>
      <c r="M1768" s="11">
        <f>G1768*Controls!$B$6</f>
        <v>9750</v>
      </c>
      <c r="N1768" s="12">
        <f>IF(L1768=0,0,SUMIFS('PSI Plan'!$N$6:$N$173,'PSI Plan'!$B$6:$B$173,B1768,'PSI Plan'!$C$6:$C$173,I1768))</f>
        <v>0</v>
      </c>
      <c r="O1768" s="11">
        <f t="shared" si="54"/>
        <v>0</v>
      </c>
      <c r="P1768" s="11">
        <f t="shared" si="55"/>
        <v>0</v>
      </c>
      <c r="Q1768" s="6"/>
      <c r="R1768" s="6"/>
      <c r="S1768" s="6"/>
      <c r="T1768" s="6"/>
    </row>
    <row r="1769" spans="1:20">
      <c r="A1769" s="6" t="s">
        <v>1930</v>
      </c>
      <c r="B1769" s="6" t="s">
        <v>66</v>
      </c>
      <c r="C1769" s="6" t="s">
        <v>90</v>
      </c>
      <c r="D1769" s="6" t="s">
        <v>119</v>
      </c>
      <c r="E1769" s="6" t="s">
        <v>120</v>
      </c>
      <c r="F1769" s="7">
        <v>13</v>
      </c>
      <c r="G1769" s="7">
        <v>1625</v>
      </c>
      <c r="H1769" s="16">
        <v>45278</v>
      </c>
      <c r="I1769" s="6">
        <v>51</v>
      </c>
      <c r="J1769" s="6" t="s">
        <v>121</v>
      </c>
      <c r="K1769" s="6" t="s">
        <v>139</v>
      </c>
      <c r="L1769" s="11">
        <f>F1769*Controls!$B$6</f>
        <v>13</v>
      </c>
      <c r="M1769" s="11">
        <f>G1769*Controls!$B$6</f>
        <v>1625</v>
      </c>
      <c r="N1769" s="12">
        <f>IF(L1769=0,0,SUMIFS('PSI Plan'!$N$6:$N$173,'PSI Plan'!$B$6:$B$173,B1769,'PSI Plan'!$C$6:$C$173,I1769))</f>
        <v>0</v>
      </c>
      <c r="O1769" s="11">
        <f t="shared" si="54"/>
        <v>0</v>
      </c>
      <c r="P1769" s="11">
        <f t="shared" si="55"/>
        <v>0</v>
      </c>
      <c r="Q1769" s="6"/>
      <c r="R1769" s="6"/>
      <c r="S1769" s="6"/>
      <c r="T1769" s="6"/>
    </row>
    <row r="1770" spans="1:20">
      <c r="A1770" s="6" t="s">
        <v>1931</v>
      </c>
      <c r="B1770" s="6" t="s">
        <v>77</v>
      </c>
      <c r="C1770" s="6" t="s">
        <v>90</v>
      </c>
      <c r="D1770" s="6" t="s">
        <v>119</v>
      </c>
      <c r="E1770" s="6" t="s">
        <v>120</v>
      </c>
      <c r="F1770" s="7">
        <v>13</v>
      </c>
      <c r="G1770" s="7">
        <v>1625</v>
      </c>
      <c r="H1770" s="16">
        <v>45216</v>
      </c>
      <c r="I1770" s="6">
        <v>42</v>
      </c>
      <c r="J1770" s="6" t="s">
        <v>121</v>
      </c>
      <c r="K1770" s="6" t="s">
        <v>139</v>
      </c>
      <c r="L1770" s="11">
        <f>F1770*Controls!$B$6</f>
        <v>13</v>
      </c>
      <c r="M1770" s="11">
        <f>G1770*Controls!$B$6</f>
        <v>1625</v>
      </c>
      <c r="N1770" s="12">
        <f>IF(L1770=0,0,SUMIFS('PSI Plan'!$N$6:$N$173,'PSI Plan'!$B$6:$B$173,B1770,'PSI Plan'!$C$6:$C$173,I1770))</f>
        <v>0</v>
      </c>
      <c r="O1770" s="11">
        <f t="shared" si="54"/>
        <v>0</v>
      </c>
      <c r="P1770" s="11">
        <f t="shared" si="55"/>
        <v>0</v>
      </c>
      <c r="Q1770" s="6"/>
      <c r="R1770" s="6"/>
      <c r="S1770" s="6"/>
      <c r="T1770" s="6"/>
    </row>
    <row r="1771" spans="1:20">
      <c r="A1771" s="6" t="s">
        <v>1932</v>
      </c>
      <c r="B1771" s="6" t="s">
        <v>76</v>
      </c>
      <c r="C1771" s="6" t="s">
        <v>90</v>
      </c>
      <c r="D1771" s="6" t="s">
        <v>119</v>
      </c>
      <c r="E1771" s="6" t="s">
        <v>120</v>
      </c>
      <c r="F1771" s="7">
        <v>13</v>
      </c>
      <c r="G1771" s="7">
        <v>1625</v>
      </c>
      <c r="H1771" s="16">
        <v>45247</v>
      </c>
      <c r="I1771" s="6">
        <v>46</v>
      </c>
      <c r="J1771" s="6" t="s">
        <v>121</v>
      </c>
      <c r="K1771" s="6" t="s">
        <v>139</v>
      </c>
      <c r="L1771" s="11">
        <f>F1771*Controls!$B$6</f>
        <v>13</v>
      </c>
      <c r="M1771" s="11">
        <f>G1771*Controls!$B$6</f>
        <v>1625</v>
      </c>
      <c r="N1771" s="12">
        <f>IF(L1771=0,0,SUMIFS('PSI Plan'!$N$6:$N$173,'PSI Plan'!$B$6:$B$173,B1771,'PSI Plan'!$C$6:$C$173,I1771))</f>
        <v>0</v>
      </c>
      <c r="O1771" s="11">
        <f t="shared" si="54"/>
        <v>0</v>
      </c>
      <c r="P1771" s="11">
        <f t="shared" si="55"/>
        <v>0</v>
      </c>
      <c r="Q1771" s="6"/>
      <c r="R1771" s="6"/>
      <c r="S1771" s="6"/>
      <c r="T1771" s="6"/>
    </row>
    <row r="1772" spans="1:20">
      <c r="A1772" s="6" t="s">
        <v>1933</v>
      </c>
      <c r="B1772" s="6" t="s">
        <v>69</v>
      </c>
      <c r="C1772" s="6" t="s">
        <v>90</v>
      </c>
      <c r="D1772" s="6" t="s">
        <v>119</v>
      </c>
      <c r="E1772" s="6" t="s">
        <v>120</v>
      </c>
      <c r="F1772" s="7">
        <v>13</v>
      </c>
      <c r="G1772" s="7">
        <v>1625</v>
      </c>
      <c r="H1772" s="16">
        <v>45240</v>
      </c>
      <c r="I1772" s="6">
        <v>45</v>
      </c>
      <c r="J1772" s="6" t="s">
        <v>121</v>
      </c>
      <c r="K1772" s="6" t="s">
        <v>139</v>
      </c>
      <c r="L1772" s="11">
        <f>F1772*Controls!$B$6</f>
        <v>13</v>
      </c>
      <c r="M1772" s="11">
        <f>G1772*Controls!$B$6</f>
        <v>1625</v>
      </c>
      <c r="N1772" s="12">
        <f>IF(L1772=0,0,SUMIFS('PSI Plan'!$N$6:$N$173,'PSI Plan'!$B$6:$B$173,B1772,'PSI Plan'!$C$6:$C$173,I1772))</f>
        <v>0</v>
      </c>
      <c r="O1772" s="11">
        <f t="shared" si="54"/>
        <v>0</v>
      </c>
      <c r="P1772" s="11">
        <f t="shared" si="55"/>
        <v>0</v>
      </c>
      <c r="Q1772" s="6"/>
      <c r="R1772" s="6"/>
      <c r="S1772" s="6"/>
      <c r="T1772" s="6"/>
    </row>
    <row r="1773" spans="1:20">
      <c r="A1773" s="6" t="s">
        <v>1934</v>
      </c>
      <c r="B1773" s="6" t="s">
        <v>66</v>
      </c>
      <c r="C1773" s="6" t="s">
        <v>99</v>
      </c>
      <c r="D1773" s="6" t="s">
        <v>319</v>
      </c>
      <c r="E1773" s="6" t="s">
        <v>120</v>
      </c>
      <c r="F1773" s="7">
        <v>56</v>
      </c>
      <c r="G1773" s="7">
        <v>7000</v>
      </c>
      <c r="H1773" s="16">
        <v>45240</v>
      </c>
      <c r="I1773" s="6">
        <v>45</v>
      </c>
      <c r="J1773" s="6" t="s">
        <v>121</v>
      </c>
      <c r="K1773" s="6" t="s">
        <v>324</v>
      </c>
      <c r="L1773" s="11">
        <f>F1773*Controls!$B$6</f>
        <v>56</v>
      </c>
      <c r="M1773" s="11">
        <f>G1773*Controls!$B$6</f>
        <v>7000</v>
      </c>
      <c r="N1773" s="12">
        <f>IF(L1773=0,0,SUMIFS('PSI Plan'!$N$6:$N$173,'PSI Plan'!$B$6:$B$173,B1773,'PSI Plan'!$C$6:$C$173,I1773))</f>
        <v>0</v>
      </c>
      <c r="O1773" s="11">
        <f t="shared" si="54"/>
        <v>0</v>
      </c>
      <c r="P1773" s="11">
        <f t="shared" si="55"/>
        <v>0</v>
      </c>
      <c r="Q1773" s="6"/>
      <c r="R1773" s="6"/>
      <c r="S1773" s="6"/>
      <c r="T1773" s="6"/>
    </row>
    <row r="1774" spans="1:20">
      <c r="A1774" s="6" t="s">
        <v>1935</v>
      </c>
      <c r="B1774" s="6" t="s">
        <v>66</v>
      </c>
      <c r="C1774" s="6" t="s">
        <v>99</v>
      </c>
      <c r="D1774" s="6" t="s">
        <v>319</v>
      </c>
      <c r="E1774" s="6" t="s">
        <v>120</v>
      </c>
      <c r="F1774" s="7">
        <v>52</v>
      </c>
      <c r="G1774" s="7">
        <v>6500</v>
      </c>
      <c r="H1774" s="16">
        <v>45219</v>
      </c>
      <c r="I1774" s="6">
        <v>42</v>
      </c>
      <c r="J1774" s="6" t="s">
        <v>121</v>
      </c>
      <c r="K1774" s="6" t="s">
        <v>344</v>
      </c>
      <c r="L1774" s="11">
        <f>F1774*Controls!$B$6</f>
        <v>52</v>
      </c>
      <c r="M1774" s="11">
        <f>G1774*Controls!$B$6</f>
        <v>6500</v>
      </c>
      <c r="N1774" s="12">
        <f>IF(L1774=0,0,SUMIFS('PSI Plan'!$N$6:$N$173,'PSI Plan'!$B$6:$B$173,B1774,'PSI Plan'!$C$6:$C$173,I1774))</f>
        <v>0.59807073954983925</v>
      </c>
      <c r="O1774" s="11">
        <f t="shared" si="54"/>
        <v>31.09967845659164</v>
      </c>
      <c r="P1774" s="11">
        <f t="shared" si="55"/>
        <v>3887.4598070739553</v>
      </c>
      <c r="Q1774" s="6"/>
      <c r="R1774" s="6"/>
      <c r="S1774" s="6"/>
      <c r="T1774" s="6"/>
    </row>
    <row r="1775" spans="1:20">
      <c r="A1775" s="6" t="s">
        <v>1936</v>
      </c>
      <c r="B1775" s="6" t="s">
        <v>77</v>
      </c>
      <c r="C1775" s="6" t="s">
        <v>99</v>
      </c>
      <c r="D1775" s="6" t="s">
        <v>319</v>
      </c>
      <c r="E1775" s="6" t="s">
        <v>120</v>
      </c>
      <c r="F1775" s="7">
        <v>104</v>
      </c>
      <c r="G1775" s="7">
        <v>13000</v>
      </c>
      <c r="H1775" s="16">
        <v>45221</v>
      </c>
      <c r="I1775" s="6">
        <v>43</v>
      </c>
      <c r="J1775" s="6" t="s">
        <v>121</v>
      </c>
      <c r="K1775" s="6" t="s">
        <v>344</v>
      </c>
      <c r="L1775" s="11">
        <f>F1775*Controls!$B$6</f>
        <v>104</v>
      </c>
      <c r="M1775" s="11">
        <f>G1775*Controls!$B$6</f>
        <v>13000</v>
      </c>
      <c r="N1775" s="12">
        <f>IF(L1775=0,0,SUMIFS('PSI Plan'!$N$6:$N$173,'PSI Plan'!$B$6:$B$173,B1775,'PSI Plan'!$C$6:$C$173,I1775))</f>
        <v>0</v>
      </c>
      <c r="O1775" s="11">
        <f t="shared" si="54"/>
        <v>0</v>
      </c>
      <c r="P1775" s="11">
        <f t="shared" si="55"/>
        <v>0</v>
      </c>
      <c r="Q1775" s="6"/>
      <c r="R1775" s="6"/>
      <c r="S1775" s="6"/>
      <c r="T1775" s="6"/>
    </row>
    <row r="1776" spans="1:20">
      <c r="A1776" s="6" t="s">
        <v>1937</v>
      </c>
      <c r="B1776" s="6" t="s">
        <v>66</v>
      </c>
      <c r="C1776" s="6" t="s">
        <v>90</v>
      </c>
      <c r="D1776" s="6" t="s">
        <v>119</v>
      </c>
      <c r="E1776" s="6" t="s">
        <v>120</v>
      </c>
      <c r="F1776" s="7">
        <v>91</v>
      </c>
      <c r="G1776" s="7">
        <v>11375</v>
      </c>
      <c r="H1776" s="16">
        <v>45245</v>
      </c>
      <c r="I1776" s="6">
        <v>46</v>
      </c>
      <c r="J1776" s="6" t="s">
        <v>121</v>
      </c>
      <c r="K1776" s="6" t="s">
        <v>122</v>
      </c>
      <c r="L1776" s="11">
        <f>F1776*Controls!$B$6</f>
        <v>91</v>
      </c>
      <c r="M1776" s="11">
        <f>G1776*Controls!$B$6</f>
        <v>11375</v>
      </c>
      <c r="N1776" s="12">
        <f>IF(L1776=0,0,SUMIFS('PSI Plan'!$N$6:$N$173,'PSI Plan'!$B$6:$B$173,B1776,'PSI Plan'!$C$6:$C$173,I1776))</f>
        <v>0</v>
      </c>
      <c r="O1776" s="11">
        <f t="shared" si="54"/>
        <v>0</v>
      </c>
      <c r="P1776" s="11">
        <f t="shared" si="55"/>
        <v>0</v>
      </c>
      <c r="Q1776" s="6"/>
      <c r="R1776" s="6"/>
      <c r="S1776" s="6"/>
      <c r="T1776" s="6"/>
    </row>
    <row r="1777" spans="1:20">
      <c r="A1777" s="6" t="s">
        <v>1938</v>
      </c>
      <c r="B1777" s="6" t="s">
        <v>77</v>
      </c>
      <c r="C1777" s="6" t="s">
        <v>90</v>
      </c>
      <c r="D1777" s="6" t="s">
        <v>119</v>
      </c>
      <c r="E1777" s="6" t="s">
        <v>120</v>
      </c>
      <c r="F1777" s="7">
        <v>91</v>
      </c>
      <c r="G1777" s="7">
        <v>11375</v>
      </c>
      <c r="H1777" s="16">
        <v>45276</v>
      </c>
      <c r="I1777" s="6">
        <v>50</v>
      </c>
      <c r="J1777" s="6" t="s">
        <v>121</v>
      </c>
      <c r="K1777" s="6" t="s">
        <v>122</v>
      </c>
      <c r="L1777" s="11">
        <f>F1777*Controls!$B$6</f>
        <v>91</v>
      </c>
      <c r="M1777" s="11">
        <f>G1777*Controls!$B$6</f>
        <v>11375</v>
      </c>
      <c r="N1777" s="12">
        <f>IF(L1777=0,0,SUMIFS('PSI Plan'!$N$6:$N$173,'PSI Plan'!$B$6:$B$173,B1777,'PSI Plan'!$C$6:$C$173,I1777))</f>
        <v>0</v>
      </c>
      <c r="O1777" s="11">
        <f t="shared" si="54"/>
        <v>0</v>
      </c>
      <c r="P1777" s="11">
        <f t="shared" si="55"/>
        <v>0</v>
      </c>
      <c r="Q1777" s="6"/>
      <c r="R1777" s="6"/>
      <c r="S1777" s="6"/>
      <c r="T1777" s="6"/>
    </row>
    <row r="1778" spans="1:20">
      <c r="A1778" s="6" t="s">
        <v>1939</v>
      </c>
      <c r="B1778" s="6" t="s">
        <v>76</v>
      </c>
      <c r="C1778" s="6" t="s">
        <v>90</v>
      </c>
      <c r="D1778" s="6" t="s">
        <v>119</v>
      </c>
      <c r="E1778" s="6" t="s">
        <v>120</v>
      </c>
      <c r="F1778" s="7">
        <v>26</v>
      </c>
      <c r="G1778" s="7">
        <v>3250</v>
      </c>
      <c r="H1778" s="16">
        <v>45239</v>
      </c>
      <c r="I1778" s="6">
        <v>45</v>
      </c>
      <c r="J1778" s="6" t="s">
        <v>121</v>
      </c>
      <c r="K1778" s="6" t="s">
        <v>122</v>
      </c>
      <c r="L1778" s="11">
        <f>F1778*Controls!$B$6</f>
        <v>26</v>
      </c>
      <c r="M1778" s="11">
        <f>G1778*Controls!$B$6</f>
        <v>3250</v>
      </c>
      <c r="N1778" s="12">
        <f>IF(L1778=0,0,SUMIFS('PSI Plan'!$N$6:$N$173,'PSI Plan'!$B$6:$B$173,B1778,'PSI Plan'!$C$6:$C$173,I1778))</f>
        <v>0</v>
      </c>
      <c r="O1778" s="11">
        <f t="shared" si="54"/>
        <v>0</v>
      </c>
      <c r="P1778" s="11">
        <f t="shared" si="55"/>
        <v>0</v>
      </c>
      <c r="Q1778" s="6"/>
      <c r="R1778" s="6"/>
      <c r="S1778" s="6"/>
      <c r="T1778" s="6"/>
    </row>
    <row r="1779" spans="1:20">
      <c r="A1779" s="6" t="s">
        <v>1940</v>
      </c>
      <c r="B1779" s="6" t="s">
        <v>67</v>
      </c>
      <c r="C1779" s="6" t="s">
        <v>90</v>
      </c>
      <c r="D1779" s="6" t="s">
        <v>119</v>
      </c>
      <c r="E1779" s="6" t="s">
        <v>120</v>
      </c>
      <c r="F1779" s="7">
        <v>26</v>
      </c>
      <c r="G1779" s="7">
        <v>3250</v>
      </c>
      <c r="H1779" s="16">
        <v>45233</v>
      </c>
      <c r="I1779" s="6">
        <v>44</v>
      </c>
      <c r="J1779" s="6" t="s">
        <v>121</v>
      </c>
      <c r="K1779" s="6" t="s">
        <v>122</v>
      </c>
      <c r="L1779" s="11">
        <f>F1779*Controls!$B$6</f>
        <v>26</v>
      </c>
      <c r="M1779" s="11">
        <f>G1779*Controls!$B$6</f>
        <v>3250</v>
      </c>
      <c r="N1779" s="12">
        <f>IF(L1779=0,0,SUMIFS('PSI Plan'!$N$6:$N$173,'PSI Plan'!$B$6:$B$173,B1779,'PSI Plan'!$C$6:$C$173,I1779))</f>
        <v>0</v>
      </c>
      <c r="O1779" s="11">
        <f t="shared" si="54"/>
        <v>0</v>
      </c>
      <c r="P1779" s="11">
        <f t="shared" si="55"/>
        <v>0</v>
      </c>
      <c r="Q1779" s="6"/>
      <c r="R1779" s="6"/>
      <c r="S1779" s="6"/>
      <c r="T1779" s="6"/>
    </row>
    <row r="1780" spans="1:20">
      <c r="A1780" s="6" t="s">
        <v>1941</v>
      </c>
      <c r="B1780" s="6" t="s">
        <v>69</v>
      </c>
      <c r="C1780" s="6" t="s">
        <v>90</v>
      </c>
      <c r="D1780" s="6" t="s">
        <v>119</v>
      </c>
      <c r="E1780" s="6" t="s">
        <v>120</v>
      </c>
      <c r="F1780" s="7">
        <v>52</v>
      </c>
      <c r="G1780" s="7">
        <v>6500</v>
      </c>
      <c r="H1780" s="16">
        <v>45210</v>
      </c>
      <c r="I1780" s="6">
        <v>41</v>
      </c>
      <c r="J1780" s="6" t="s">
        <v>121</v>
      </c>
      <c r="K1780" s="6" t="s">
        <v>122</v>
      </c>
      <c r="L1780" s="11">
        <f>F1780*Controls!$B$6</f>
        <v>52</v>
      </c>
      <c r="M1780" s="11">
        <f>G1780*Controls!$B$6</f>
        <v>6500</v>
      </c>
      <c r="N1780" s="12">
        <f>IF(L1780=0,0,SUMIFS('PSI Plan'!$N$6:$N$173,'PSI Plan'!$B$6:$B$173,B1780,'PSI Plan'!$C$6:$C$173,I1780))</f>
        <v>0</v>
      </c>
      <c r="O1780" s="11">
        <f t="shared" si="54"/>
        <v>0</v>
      </c>
      <c r="P1780" s="11">
        <f t="shared" si="55"/>
        <v>0</v>
      </c>
      <c r="Q1780" s="6"/>
      <c r="R1780" s="6"/>
      <c r="S1780" s="6"/>
      <c r="T1780" s="6"/>
    </row>
    <row r="1781" spans="1:20">
      <c r="A1781" s="6" t="s">
        <v>1942</v>
      </c>
      <c r="B1781" s="6" t="s">
        <v>66</v>
      </c>
      <c r="C1781" s="6" t="s">
        <v>90</v>
      </c>
      <c r="D1781" s="6" t="s">
        <v>119</v>
      </c>
      <c r="E1781" s="6" t="s">
        <v>120</v>
      </c>
      <c r="F1781" s="7">
        <v>13</v>
      </c>
      <c r="G1781" s="7">
        <v>1625</v>
      </c>
      <c r="H1781" s="16">
        <v>45261</v>
      </c>
      <c r="I1781" s="6">
        <v>48</v>
      </c>
      <c r="J1781" s="6" t="s">
        <v>121</v>
      </c>
      <c r="K1781" s="6" t="s">
        <v>171</v>
      </c>
      <c r="L1781" s="11">
        <f>F1781*Controls!$B$6</f>
        <v>13</v>
      </c>
      <c r="M1781" s="11">
        <f>G1781*Controls!$B$6</f>
        <v>1625</v>
      </c>
      <c r="N1781" s="12">
        <f>IF(L1781=0,0,SUMIFS('PSI Plan'!$N$6:$N$173,'PSI Plan'!$B$6:$B$173,B1781,'PSI Plan'!$C$6:$C$173,I1781))</f>
        <v>0</v>
      </c>
      <c r="O1781" s="11">
        <f t="shared" si="54"/>
        <v>0</v>
      </c>
      <c r="P1781" s="11">
        <f t="shared" si="55"/>
        <v>0</v>
      </c>
      <c r="Q1781" s="6"/>
      <c r="R1781" s="6"/>
      <c r="S1781" s="6"/>
      <c r="T1781" s="6"/>
    </row>
    <row r="1782" spans="1:20">
      <c r="A1782" s="6" t="s">
        <v>1943</v>
      </c>
      <c r="B1782" s="6" t="s">
        <v>77</v>
      </c>
      <c r="C1782" s="6" t="s">
        <v>90</v>
      </c>
      <c r="D1782" s="6" t="s">
        <v>119</v>
      </c>
      <c r="E1782" s="6" t="s">
        <v>120</v>
      </c>
      <c r="F1782" s="7">
        <v>26</v>
      </c>
      <c r="G1782" s="7">
        <v>3250</v>
      </c>
      <c r="H1782" s="16">
        <v>45215</v>
      </c>
      <c r="I1782" s="6">
        <v>42</v>
      </c>
      <c r="J1782" s="6" t="s">
        <v>121</v>
      </c>
      <c r="K1782" s="6" t="s">
        <v>171</v>
      </c>
      <c r="L1782" s="11">
        <f>F1782*Controls!$B$6</f>
        <v>26</v>
      </c>
      <c r="M1782" s="11">
        <f>G1782*Controls!$B$6</f>
        <v>3250</v>
      </c>
      <c r="N1782" s="12">
        <f>IF(L1782=0,0,SUMIFS('PSI Plan'!$N$6:$N$173,'PSI Plan'!$B$6:$B$173,B1782,'PSI Plan'!$C$6:$C$173,I1782))</f>
        <v>0</v>
      </c>
      <c r="O1782" s="11">
        <f t="shared" si="54"/>
        <v>0</v>
      </c>
      <c r="P1782" s="11">
        <f t="shared" si="55"/>
        <v>0</v>
      </c>
      <c r="Q1782" s="6"/>
      <c r="R1782" s="6"/>
      <c r="S1782" s="6"/>
      <c r="T1782" s="6"/>
    </row>
    <row r="1783" spans="1:20">
      <c r="A1783" s="6" t="s">
        <v>1944</v>
      </c>
      <c r="B1783" s="6" t="s">
        <v>69</v>
      </c>
      <c r="C1783" s="6" t="s">
        <v>90</v>
      </c>
      <c r="D1783" s="6" t="s">
        <v>119</v>
      </c>
      <c r="E1783" s="6" t="s">
        <v>120</v>
      </c>
      <c r="F1783" s="7">
        <v>13</v>
      </c>
      <c r="G1783" s="7">
        <v>1625</v>
      </c>
      <c r="H1783" s="16">
        <v>45229</v>
      </c>
      <c r="I1783" s="6">
        <v>44</v>
      </c>
      <c r="J1783" s="6" t="s">
        <v>121</v>
      </c>
      <c r="K1783" s="6" t="s">
        <v>171</v>
      </c>
      <c r="L1783" s="11">
        <f>F1783*Controls!$B$6</f>
        <v>13</v>
      </c>
      <c r="M1783" s="11">
        <f>G1783*Controls!$B$6</f>
        <v>1625</v>
      </c>
      <c r="N1783" s="12">
        <f>IF(L1783=0,0,SUMIFS('PSI Plan'!$N$6:$N$173,'PSI Plan'!$B$6:$B$173,B1783,'PSI Plan'!$C$6:$C$173,I1783))</f>
        <v>0</v>
      </c>
      <c r="O1783" s="11">
        <f t="shared" si="54"/>
        <v>0</v>
      </c>
      <c r="P1783" s="11">
        <f t="shared" si="55"/>
        <v>0</v>
      </c>
      <c r="Q1783" s="6"/>
      <c r="R1783" s="6"/>
      <c r="S1783" s="6"/>
      <c r="T1783" s="6"/>
    </row>
    <row r="1784" spans="1:20">
      <c r="A1784" s="6" t="s">
        <v>1945</v>
      </c>
      <c r="B1784" s="6" t="s">
        <v>77</v>
      </c>
      <c r="C1784" s="6" t="s">
        <v>99</v>
      </c>
      <c r="D1784" s="6" t="s">
        <v>319</v>
      </c>
      <c r="E1784" s="6" t="s">
        <v>120</v>
      </c>
      <c r="F1784" s="7">
        <v>5</v>
      </c>
      <c r="G1784" s="7">
        <v>625</v>
      </c>
      <c r="H1784" s="16">
        <v>45234</v>
      </c>
      <c r="I1784" s="6">
        <v>44</v>
      </c>
      <c r="J1784" s="6" t="s">
        <v>121</v>
      </c>
      <c r="K1784" s="6" t="s">
        <v>324</v>
      </c>
      <c r="L1784" s="11">
        <f>F1784*Controls!$B$6</f>
        <v>5</v>
      </c>
      <c r="M1784" s="11">
        <f>G1784*Controls!$B$6</f>
        <v>625</v>
      </c>
      <c r="N1784" s="12">
        <f>IF(L1784=0,0,SUMIFS('PSI Plan'!$N$6:$N$173,'PSI Plan'!$B$6:$B$173,B1784,'PSI Plan'!$C$6:$C$173,I1784))</f>
        <v>0</v>
      </c>
      <c r="O1784" s="11">
        <f t="shared" si="54"/>
        <v>0</v>
      </c>
      <c r="P1784" s="11">
        <f t="shared" si="55"/>
        <v>0</v>
      </c>
      <c r="Q1784" s="6"/>
      <c r="R1784" s="6"/>
      <c r="S1784" s="6"/>
      <c r="T1784" s="6"/>
    </row>
    <row r="1785" spans="1:20">
      <c r="A1785" s="6" t="s">
        <v>1946</v>
      </c>
      <c r="B1785" s="6" t="s">
        <v>69</v>
      </c>
      <c r="C1785" s="6" t="s">
        <v>99</v>
      </c>
      <c r="D1785" s="6" t="s">
        <v>319</v>
      </c>
      <c r="E1785" s="6" t="s">
        <v>120</v>
      </c>
      <c r="F1785" s="7">
        <v>52</v>
      </c>
      <c r="G1785" s="7">
        <v>6500</v>
      </c>
      <c r="H1785" s="16">
        <v>45212</v>
      </c>
      <c r="I1785" s="6">
        <v>41</v>
      </c>
      <c r="J1785" s="6" t="s">
        <v>121</v>
      </c>
      <c r="K1785" s="6" t="s">
        <v>324</v>
      </c>
      <c r="L1785" s="11">
        <f>F1785*Controls!$B$6</f>
        <v>52</v>
      </c>
      <c r="M1785" s="11">
        <f>G1785*Controls!$B$6</f>
        <v>6500</v>
      </c>
      <c r="N1785" s="12">
        <f>IF(L1785=0,0,SUMIFS('PSI Plan'!$N$6:$N$173,'PSI Plan'!$B$6:$B$173,B1785,'PSI Plan'!$C$6:$C$173,I1785))</f>
        <v>0</v>
      </c>
      <c r="O1785" s="11">
        <f t="shared" si="54"/>
        <v>0</v>
      </c>
      <c r="P1785" s="11">
        <f t="shared" si="55"/>
        <v>0</v>
      </c>
      <c r="Q1785" s="6"/>
      <c r="R1785" s="6"/>
      <c r="S1785" s="6"/>
      <c r="T1785" s="6"/>
    </row>
    <row r="1786" spans="1:20">
      <c r="A1786" s="6" t="s">
        <v>1947</v>
      </c>
      <c r="B1786" s="6" t="s">
        <v>77</v>
      </c>
      <c r="C1786" s="6" t="s">
        <v>99</v>
      </c>
      <c r="D1786" s="6" t="s">
        <v>319</v>
      </c>
      <c r="E1786" s="6" t="s">
        <v>120</v>
      </c>
      <c r="F1786" s="7">
        <v>74</v>
      </c>
      <c r="G1786" s="7">
        <v>9250</v>
      </c>
      <c r="H1786" s="16">
        <v>45241</v>
      </c>
      <c r="I1786" s="6">
        <v>45</v>
      </c>
      <c r="J1786" s="6" t="s">
        <v>121</v>
      </c>
      <c r="K1786" s="6" t="s">
        <v>347</v>
      </c>
      <c r="L1786" s="11">
        <f>F1786*Controls!$B$6</f>
        <v>74</v>
      </c>
      <c r="M1786" s="11">
        <f>G1786*Controls!$B$6</f>
        <v>9250</v>
      </c>
      <c r="N1786" s="12">
        <f>IF(L1786=0,0,SUMIFS('PSI Plan'!$N$6:$N$173,'PSI Plan'!$B$6:$B$173,B1786,'PSI Plan'!$C$6:$C$173,I1786))</f>
        <v>0</v>
      </c>
      <c r="O1786" s="11">
        <f t="shared" si="54"/>
        <v>0</v>
      </c>
      <c r="P1786" s="11">
        <f t="shared" si="55"/>
        <v>0</v>
      </c>
      <c r="Q1786" s="6"/>
      <c r="R1786" s="6"/>
      <c r="S1786" s="6"/>
      <c r="T1786" s="6"/>
    </row>
    <row r="1787" spans="1:20">
      <c r="A1787" s="6" t="s">
        <v>1948</v>
      </c>
      <c r="B1787" s="6" t="s">
        <v>67</v>
      </c>
      <c r="C1787" s="6" t="s">
        <v>99</v>
      </c>
      <c r="D1787" s="6" t="s">
        <v>319</v>
      </c>
      <c r="E1787" s="6" t="s">
        <v>120</v>
      </c>
      <c r="F1787" s="7">
        <v>30</v>
      </c>
      <c r="G1787" s="7">
        <v>3750</v>
      </c>
      <c r="H1787" s="16">
        <v>45221</v>
      </c>
      <c r="I1787" s="6">
        <v>43</v>
      </c>
      <c r="J1787" s="6" t="s">
        <v>121</v>
      </c>
      <c r="K1787" s="6" t="s">
        <v>347</v>
      </c>
      <c r="L1787" s="11">
        <f>F1787*Controls!$B$6</f>
        <v>30</v>
      </c>
      <c r="M1787" s="11">
        <f>G1787*Controls!$B$6</f>
        <v>3750</v>
      </c>
      <c r="N1787" s="12">
        <f>IF(L1787=0,0,SUMIFS('PSI Plan'!$N$6:$N$173,'PSI Plan'!$B$6:$B$173,B1787,'PSI Plan'!$C$6:$C$173,I1787))</f>
        <v>0</v>
      </c>
      <c r="O1787" s="11">
        <f t="shared" si="54"/>
        <v>0</v>
      </c>
      <c r="P1787" s="11">
        <f t="shared" si="55"/>
        <v>0</v>
      </c>
      <c r="Q1787" s="6"/>
      <c r="R1787" s="6"/>
      <c r="S1787" s="6"/>
      <c r="T1787" s="6"/>
    </row>
    <row r="1788" spans="1:20">
      <c r="A1788" s="6" t="s">
        <v>1949</v>
      </c>
      <c r="B1788" s="6" t="s">
        <v>69</v>
      </c>
      <c r="C1788" s="6" t="s">
        <v>99</v>
      </c>
      <c r="D1788" s="6" t="s">
        <v>319</v>
      </c>
      <c r="E1788" s="6" t="s">
        <v>120</v>
      </c>
      <c r="F1788" s="7">
        <v>54</v>
      </c>
      <c r="G1788" s="7">
        <v>6750</v>
      </c>
      <c r="H1788" s="16">
        <v>45266</v>
      </c>
      <c r="I1788" s="6">
        <v>49</v>
      </c>
      <c r="J1788" s="6" t="s">
        <v>121</v>
      </c>
      <c r="K1788" s="6" t="s">
        <v>347</v>
      </c>
      <c r="L1788" s="11">
        <f>F1788*Controls!$B$6</f>
        <v>54</v>
      </c>
      <c r="M1788" s="11">
        <f>G1788*Controls!$B$6</f>
        <v>6750</v>
      </c>
      <c r="N1788" s="12">
        <f>IF(L1788=0,0,SUMIFS('PSI Plan'!$N$6:$N$173,'PSI Plan'!$B$6:$B$173,B1788,'PSI Plan'!$C$6:$C$173,I1788))</f>
        <v>0</v>
      </c>
      <c r="O1788" s="11">
        <f t="shared" si="54"/>
        <v>0</v>
      </c>
      <c r="P1788" s="11">
        <f t="shared" si="55"/>
        <v>0</v>
      </c>
      <c r="Q1788" s="6"/>
      <c r="R1788" s="6"/>
      <c r="S1788" s="6"/>
      <c r="T1788" s="6"/>
    </row>
    <row r="1789" spans="1:20">
      <c r="A1789" s="6" t="s">
        <v>1950</v>
      </c>
      <c r="B1789" s="6" t="s">
        <v>66</v>
      </c>
      <c r="C1789" s="6" t="s">
        <v>99</v>
      </c>
      <c r="D1789" s="6" t="s">
        <v>319</v>
      </c>
      <c r="E1789" s="6" t="s">
        <v>120</v>
      </c>
      <c r="F1789" s="7">
        <v>18</v>
      </c>
      <c r="G1789" s="7">
        <v>2250</v>
      </c>
      <c r="H1789" s="16">
        <v>45282</v>
      </c>
      <c r="I1789" s="6">
        <v>51</v>
      </c>
      <c r="J1789" s="6" t="s">
        <v>121</v>
      </c>
      <c r="K1789" s="6" t="s">
        <v>1576</v>
      </c>
      <c r="L1789" s="11">
        <f>F1789*Controls!$B$6</f>
        <v>18</v>
      </c>
      <c r="M1789" s="11">
        <f>G1789*Controls!$B$6</f>
        <v>2250</v>
      </c>
      <c r="N1789" s="12">
        <f>IF(L1789=0,0,SUMIFS('PSI Plan'!$N$6:$N$173,'PSI Plan'!$B$6:$B$173,B1789,'PSI Plan'!$C$6:$C$173,I1789))</f>
        <v>0</v>
      </c>
      <c r="O1789" s="11">
        <f t="shared" si="54"/>
        <v>0</v>
      </c>
      <c r="P1789" s="11">
        <f t="shared" si="55"/>
        <v>0</v>
      </c>
      <c r="Q1789" s="6"/>
      <c r="R1789" s="6"/>
      <c r="S1789" s="6"/>
      <c r="T1789" s="6"/>
    </row>
    <row r="1790" spans="1:20">
      <c r="A1790" s="6" t="s">
        <v>1951</v>
      </c>
      <c r="B1790" s="6" t="s">
        <v>77</v>
      </c>
      <c r="C1790" s="6" t="s">
        <v>99</v>
      </c>
      <c r="D1790" s="6" t="s">
        <v>319</v>
      </c>
      <c r="E1790" s="6" t="s">
        <v>120</v>
      </c>
      <c r="F1790" s="7">
        <v>28</v>
      </c>
      <c r="G1790" s="7">
        <v>3500</v>
      </c>
      <c r="H1790" s="16">
        <v>45251</v>
      </c>
      <c r="I1790" s="6">
        <v>47</v>
      </c>
      <c r="J1790" s="6" t="s">
        <v>121</v>
      </c>
      <c r="K1790" s="6" t="s">
        <v>1576</v>
      </c>
      <c r="L1790" s="11">
        <f>F1790*Controls!$B$6</f>
        <v>28</v>
      </c>
      <c r="M1790" s="11">
        <f>G1790*Controls!$B$6</f>
        <v>3500</v>
      </c>
      <c r="N1790" s="12">
        <f>IF(L1790=0,0,SUMIFS('PSI Plan'!$N$6:$N$173,'PSI Plan'!$B$6:$B$173,B1790,'PSI Plan'!$C$6:$C$173,I1790))</f>
        <v>0</v>
      </c>
      <c r="O1790" s="11">
        <f t="shared" si="54"/>
        <v>0</v>
      </c>
      <c r="P1790" s="11">
        <f t="shared" si="55"/>
        <v>0</v>
      </c>
      <c r="Q1790" s="6"/>
      <c r="R1790" s="6"/>
      <c r="S1790" s="6"/>
      <c r="T1790" s="6"/>
    </row>
    <row r="1791" spans="1:20">
      <c r="A1791" s="6" t="s">
        <v>1952</v>
      </c>
      <c r="B1791" s="6" t="s">
        <v>69</v>
      </c>
      <c r="C1791" s="6" t="s">
        <v>99</v>
      </c>
      <c r="D1791" s="6" t="s">
        <v>319</v>
      </c>
      <c r="E1791" s="6" t="s">
        <v>120</v>
      </c>
      <c r="F1791" s="7">
        <v>18</v>
      </c>
      <c r="G1791" s="7">
        <v>2250</v>
      </c>
      <c r="H1791" s="16">
        <v>45241</v>
      </c>
      <c r="I1791" s="6">
        <v>45</v>
      </c>
      <c r="J1791" s="6" t="s">
        <v>121</v>
      </c>
      <c r="K1791" s="6" t="s">
        <v>1576</v>
      </c>
      <c r="L1791" s="11">
        <f>F1791*Controls!$B$6</f>
        <v>18</v>
      </c>
      <c r="M1791" s="11">
        <f>G1791*Controls!$B$6</f>
        <v>2250</v>
      </c>
      <c r="N1791" s="12">
        <f>IF(L1791=0,0,SUMIFS('PSI Plan'!$N$6:$N$173,'PSI Plan'!$B$6:$B$173,B1791,'PSI Plan'!$C$6:$C$173,I1791))</f>
        <v>0</v>
      </c>
      <c r="O1791" s="11">
        <f t="shared" si="54"/>
        <v>0</v>
      </c>
      <c r="P1791" s="11">
        <f t="shared" si="55"/>
        <v>0</v>
      </c>
      <c r="Q1791" s="6"/>
      <c r="R1791" s="6"/>
      <c r="S1791" s="6"/>
      <c r="T1791" s="6"/>
    </row>
    <row r="1792" spans="1:20">
      <c r="A1792" s="6" t="s">
        <v>1953</v>
      </c>
      <c r="B1792" s="6" t="s">
        <v>66</v>
      </c>
      <c r="C1792" s="6" t="s">
        <v>106</v>
      </c>
      <c r="D1792" s="6" t="s">
        <v>1895</v>
      </c>
      <c r="E1792" s="6" t="s">
        <v>120</v>
      </c>
      <c r="F1792" s="7">
        <v>75</v>
      </c>
      <c r="G1792" s="7">
        <v>9375</v>
      </c>
      <c r="H1792" s="16">
        <v>45227</v>
      </c>
      <c r="I1792" s="6">
        <v>43</v>
      </c>
      <c r="J1792" s="6" t="s">
        <v>1791</v>
      </c>
      <c r="K1792" s="6" t="s">
        <v>1954</v>
      </c>
      <c r="L1792" s="11">
        <f>F1792*Controls!$B$6</f>
        <v>75</v>
      </c>
      <c r="M1792" s="11">
        <f>G1792*Controls!$B$6</f>
        <v>9375</v>
      </c>
      <c r="N1792" s="12">
        <f>IF(L1792=0,0,SUMIFS('PSI Plan'!$N$6:$N$173,'PSI Plan'!$B$6:$B$173,B1792,'PSI Plan'!$C$6:$C$173,I1792))</f>
        <v>0</v>
      </c>
      <c r="O1792" s="11">
        <f t="shared" si="54"/>
        <v>0</v>
      </c>
      <c r="P1792" s="11">
        <f t="shared" si="55"/>
        <v>0</v>
      </c>
      <c r="Q1792" s="6"/>
      <c r="R1792" s="6"/>
      <c r="S1792" s="6"/>
      <c r="T1792" s="6"/>
    </row>
    <row r="1793" spans="1:20">
      <c r="A1793" s="6" t="s">
        <v>1955</v>
      </c>
      <c r="B1793" s="6" t="s">
        <v>66</v>
      </c>
      <c r="C1793" s="6" t="s">
        <v>106</v>
      </c>
      <c r="D1793" s="6" t="s">
        <v>1895</v>
      </c>
      <c r="E1793" s="6" t="s">
        <v>120</v>
      </c>
      <c r="F1793" s="7">
        <v>75</v>
      </c>
      <c r="G1793" s="7">
        <v>9375</v>
      </c>
      <c r="H1793" s="16">
        <v>45208</v>
      </c>
      <c r="I1793" s="6">
        <v>41</v>
      </c>
      <c r="J1793" s="6" t="s">
        <v>1791</v>
      </c>
      <c r="K1793" s="6" t="s">
        <v>1954</v>
      </c>
      <c r="L1793" s="11">
        <f>F1793*Controls!$B$6</f>
        <v>75</v>
      </c>
      <c r="M1793" s="11">
        <f>G1793*Controls!$B$6</f>
        <v>9375</v>
      </c>
      <c r="N1793" s="12">
        <f>IF(L1793=0,0,SUMIFS('PSI Plan'!$N$6:$N$173,'PSI Plan'!$B$6:$B$173,B1793,'PSI Plan'!$C$6:$C$173,I1793))</f>
        <v>0.22897465437788017</v>
      </c>
      <c r="O1793" s="11">
        <f t="shared" si="54"/>
        <v>17.173099078341014</v>
      </c>
      <c r="P1793" s="11">
        <f t="shared" si="55"/>
        <v>2146.6373847926266</v>
      </c>
      <c r="Q1793" s="6"/>
      <c r="R1793" s="6"/>
      <c r="S1793" s="6"/>
      <c r="T1793" s="6"/>
    </row>
    <row r="1794" spans="1:20">
      <c r="A1794" s="6" t="s">
        <v>1956</v>
      </c>
      <c r="B1794" s="6" t="s">
        <v>69</v>
      </c>
      <c r="C1794" s="6" t="s">
        <v>106</v>
      </c>
      <c r="D1794" s="6" t="s">
        <v>1895</v>
      </c>
      <c r="E1794" s="6" t="s">
        <v>120</v>
      </c>
      <c r="F1794" s="7">
        <v>75</v>
      </c>
      <c r="G1794" s="7">
        <v>9375</v>
      </c>
      <c r="H1794" s="16">
        <v>45205</v>
      </c>
      <c r="I1794" s="6">
        <v>40</v>
      </c>
      <c r="J1794" s="6" t="s">
        <v>1791</v>
      </c>
      <c r="K1794" s="6" t="s">
        <v>1954</v>
      </c>
      <c r="L1794" s="11">
        <f>F1794*Controls!$B$6</f>
        <v>75</v>
      </c>
      <c r="M1794" s="11">
        <f>G1794*Controls!$B$6</f>
        <v>9375</v>
      </c>
      <c r="N1794" s="12">
        <f>IF(L1794=0,0,SUMIFS('PSI Plan'!$N$6:$N$173,'PSI Plan'!$B$6:$B$173,B1794,'PSI Plan'!$C$6:$C$173,I1794))</f>
        <v>0</v>
      </c>
      <c r="O1794" s="11">
        <f t="shared" ref="O1794:O1857" si="56">L1794*N1794</f>
        <v>0</v>
      </c>
      <c r="P1794" s="11">
        <f t="shared" ref="P1794:P1857" si="57">M1794*N1794</f>
        <v>0</v>
      </c>
      <c r="Q1794" s="6"/>
      <c r="R1794" s="6"/>
      <c r="S1794" s="6"/>
      <c r="T1794" s="6"/>
    </row>
    <row r="1795" spans="1:20">
      <c r="A1795" s="6" t="s">
        <v>1957</v>
      </c>
      <c r="B1795" s="6" t="s">
        <v>66</v>
      </c>
      <c r="C1795" s="6" t="s">
        <v>90</v>
      </c>
      <c r="D1795" s="6" t="s">
        <v>119</v>
      </c>
      <c r="E1795" s="6" t="s">
        <v>120</v>
      </c>
      <c r="F1795" s="7">
        <v>8</v>
      </c>
      <c r="G1795" s="7">
        <v>1000</v>
      </c>
      <c r="H1795" s="16">
        <v>45203</v>
      </c>
      <c r="I1795" s="6">
        <v>40</v>
      </c>
      <c r="J1795" s="6" t="s">
        <v>121</v>
      </c>
      <c r="K1795" s="6" t="s">
        <v>139</v>
      </c>
      <c r="L1795" s="11">
        <f>F1795*Controls!$B$6</f>
        <v>8</v>
      </c>
      <c r="M1795" s="11">
        <f>G1795*Controls!$B$6</f>
        <v>1000</v>
      </c>
      <c r="N1795" s="12">
        <f>IF(L1795=0,0,SUMIFS('PSI Plan'!$N$6:$N$173,'PSI Plan'!$B$6:$B$173,B1795,'PSI Plan'!$C$6:$C$173,I1795))</f>
        <v>0</v>
      </c>
      <c r="O1795" s="11">
        <f t="shared" si="56"/>
        <v>0</v>
      </c>
      <c r="P1795" s="11">
        <f t="shared" si="57"/>
        <v>0</v>
      </c>
      <c r="Q1795" s="6"/>
      <c r="R1795" s="6"/>
      <c r="S1795" s="6"/>
      <c r="T1795" s="6"/>
    </row>
    <row r="1796" spans="1:20">
      <c r="A1796" s="6" t="s">
        <v>1958</v>
      </c>
      <c r="B1796" s="6" t="s">
        <v>77</v>
      </c>
      <c r="C1796" s="6" t="s">
        <v>90</v>
      </c>
      <c r="D1796" s="6" t="s">
        <v>119</v>
      </c>
      <c r="E1796" s="6" t="s">
        <v>120</v>
      </c>
      <c r="F1796" s="7">
        <v>9</v>
      </c>
      <c r="G1796" s="7">
        <v>1125</v>
      </c>
      <c r="H1796" s="16">
        <v>45276</v>
      </c>
      <c r="I1796" s="6">
        <v>50</v>
      </c>
      <c r="J1796" s="6" t="s">
        <v>121</v>
      </c>
      <c r="K1796" s="6" t="s">
        <v>139</v>
      </c>
      <c r="L1796" s="11">
        <f>F1796*Controls!$B$6</f>
        <v>9</v>
      </c>
      <c r="M1796" s="11">
        <f>G1796*Controls!$B$6</f>
        <v>1125</v>
      </c>
      <c r="N1796" s="12">
        <f>IF(L1796=0,0,SUMIFS('PSI Plan'!$N$6:$N$173,'PSI Plan'!$B$6:$B$173,B1796,'PSI Plan'!$C$6:$C$173,I1796))</f>
        <v>0</v>
      </c>
      <c r="O1796" s="11">
        <f t="shared" si="56"/>
        <v>0</v>
      </c>
      <c r="P1796" s="11">
        <f t="shared" si="57"/>
        <v>0</v>
      </c>
      <c r="Q1796" s="6"/>
      <c r="R1796" s="6"/>
      <c r="S1796" s="6"/>
      <c r="T1796" s="6"/>
    </row>
    <row r="1797" spans="1:20">
      <c r="A1797" s="6" t="s">
        <v>1959</v>
      </c>
      <c r="B1797" s="6" t="s">
        <v>76</v>
      </c>
      <c r="C1797" s="6" t="s">
        <v>90</v>
      </c>
      <c r="D1797" s="6" t="s">
        <v>119</v>
      </c>
      <c r="E1797" s="6" t="s">
        <v>120</v>
      </c>
      <c r="F1797" s="7">
        <v>5</v>
      </c>
      <c r="G1797" s="7">
        <v>625</v>
      </c>
      <c r="H1797" s="16">
        <v>45207</v>
      </c>
      <c r="I1797" s="6">
        <v>41</v>
      </c>
      <c r="J1797" s="6" t="s">
        <v>121</v>
      </c>
      <c r="K1797" s="6" t="s">
        <v>139</v>
      </c>
      <c r="L1797" s="11">
        <f>F1797*Controls!$B$6</f>
        <v>5</v>
      </c>
      <c r="M1797" s="11">
        <f>G1797*Controls!$B$6</f>
        <v>625</v>
      </c>
      <c r="N1797" s="12">
        <f>IF(L1797=0,0,SUMIFS('PSI Plan'!$N$6:$N$173,'PSI Plan'!$B$6:$B$173,B1797,'PSI Plan'!$C$6:$C$173,I1797))</f>
        <v>0</v>
      </c>
      <c r="O1797" s="11">
        <f t="shared" si="56"/>
        <v>0</v>
      </c>
      <c r="P1797" s="11">
        <f t="shared" si="57"/>
        <v>0</v>
      </c>
      <c r="Q1797" s="6"/>
      <c r="R1797" s="6"/>
      <c r="S1797" s="6"/>
      <c r="T1797" s="6"/>
    </row>
    <row r="1798" spans="1:20">
      <c r="A1798" s="6" t="s">
        <v>1960</v>
      </c>
      <c r="B1798" s="6" t="s">
        <v>69</v>
      </c>
      <c r="C1798" s="6" t="s">
        <v>90</v>
      </c>
      <c r="D1798" s="6" t="s">
        <v>119</v>
      </c>
      <c r="E1798" s="6" t="s">
        <v>120</v>
      </c>
      <c r="F1798" s="7">
        <v>12</v>
      </c>
      <c r="G1798" s="7">
        <v>1500</v>
      </c>
      <c r="H1798" s="16">
        <v>45279</v>
      </c>
      <c r="I1798" s="6">
        <v>51</v>
      </c>
      <c r="J1798" s="6" t="s">
        <v>121</v>
      </c>
      <c r="K1798" s="6" t="s">
        <v>139</v>
      </c>
      <c r="L1798" s="11">
        <f>F1798*Controls!$B$6</f>
        <v>12</v>
      </c>
      <c r="M1798" s="11">
        <f>G1798*Controls!$B$6</f>
        <v>1500</v>
      </c>
      <c r="N1798" s="12">
        <f>IF(L1798=0,0,SUMIFS('PSI Plan'!$N$6:$N$173,'PSI Plan'!$B$6:$B$173,B1798,'PSI Plan'!$C$6:$C$173,I1798))</f>
        <v>0</v>
      </c>
      <c r="O1798" s="11">
        <f t="shared" si="56"/>
        <v>0</v>
      </c>
      <c r="P1798" s="11">
        <f t="shared" si="57"/>
        <v>0</v>
      </c>
      <c r="Q1798" s="6"/>
      <c r="R1798" s="6"/>
      <c r="S1798" s="6"/>
      <c r="T1798" s="6"/>
    </row>
    <row r="1799" spans="1:20">
      <c r="A1799" s="6" t="s">
        <v>1961</v>
      </c>
      <c r="B1799" s="6" t="s">
        <v>66</v>
      </c>
      <c r="C1799" s="6" t="s">
        <v>90</v>
      </c>
      <c r="D1799" s="6" t="s">
        <v>119</v>
      </c>
      <c r="E1799" s="6" t="s">
        <v>120</v>
      </c>
      <c r="F1799" s="7">
        <v>14</v>
      </c>
      <c r="G1799" s="7">
        <v>1750</v>
      </c>
      <c r="H1799" s="16">
        <v>45209</v>
      </c>
      <c r="I1799" s="6">
        <v>41</v>
      </c>
      <c r="J1799" s="6" t="s">
        <v>121</v>
      </c>
      <c r="K1799" s="6" t="s">
        <v>169</v>
      </c>
      <c r="L1799" s="11">
        <f>F1799*Controls!$B$6</f>
        <v>14</v>
      </c>
      <c r="M1799" s="11">
        <f>G1799*Controls!$B$6</f>
        <v>1750</v>
      </c>
      <c r="N1799" s="12">
        <f>IF(L1799=0,0,SUMIFS('PSI Plan'!$N$6:$N$173,'PSI Plan'!$B$6:$B$173,B1799,'PSI Plan'!$C$6:$C$173,I1799))</f>
        <v>0.22897465437788017</v>
      </c>
      <c r="O1799" s="11">
        <f t="shared" si="56"/>
        <v>3.2056451612903225</v>
      </c>
      <c r="P1799" s="11">
        <f t="shared" si="57"/>
        <v>400.70564516129031</v>
      </c>
      <c r="Q1799" s="6"/>
      <c r="R1799" s="6"/>
      <c r="S1799" s="6"/>
      <c r="T1799" s="6"/>
    </row>
    <row r="1800" spans="1:20">
      <c r="A1800" s="6" t="s">
        <v>1962</v>
      </c>
      <c r="B1800" s="6" t="s">
        <v>77</v>
      </c>
      <c r="C1800" s="6" t="s">
        <v>90</v>
      </c>
      <c r="D1800" s="6" t="s">
        <v>119</v>
      </c>
      <c r="E1800" s="6" t="s">
        <v>120</v>
      </c>
      <c r="F1800" s="7">
        <v>8</v>
      </c>
      <c r="G1800" s="7">
        <v>1000</v>
      </c>
      <c r="H1800" s="16">
        <v>45229</v>
      </c>
      <c r="I1800" s="6">
        <v>44</v>
      </c>
      <c r="J1800" s="6" t="s">
        <v>121</v>
      </c>
      <c r="K1800" s="6" t="s">
        <v>169</v>
      </c>
      <c r="L1800" s="11">
        <f>F1800*Controls!$B$6</f>
        <v>8</v>
      </c>
      <c r="M1800" s="11">
        <f>G1800*Controls!$B$6</f>
        <v>1000</v>
      </c>
      <c r="N1800" s="12">
        <f>IF(L1800=0,0,SUMIFS('PSI Plan'!$N$6:$N$173,'PSI Plan'!$B$6:$B$173,B1800,'PSI Plan'!$C$6:$C$173,I1800))</f>
        <v>0</v>
      </c>
      <c r="O1800" s="11">
        <f t="shared" si="56"/>
        <v>0</v>
      </c>
      <c r="P1800" s="11">
        <f t="shared" si="57"/>
        <v>0</v>
      </c>
      <c r="Q1800" s="6"/>
      <c r="R1800" s="6"/>
      <c r="S1800" s="6"/>
      <c r="T1800" s="6"/>
    </row>
    <row r="1801" spans="1:20">
      <c r="A1801" s="6" t="s">
        <v>1963</v>
      </c>
      <c r="B1801" s="6" t="s">
        <v>69</v>
      </c>
      <c r="C1801" s="6" t="s">
        <v>90</v>
      </c>
      <c r="D1801" s="6" t="s">
        <v>119</v>
      </c>
      <c r="E1801" s="6" t="s">
        <v>120</v>
      </c>
      <c r="F1801" s="7">
        <v>3</v>
      </c>
      <c r="G1801" s="7">
        <v>375</v>
      </c>
      <c r="H1801" s="16">
        <v>45218</v>
      </c>
      <c r="I1801" s="6">
        <v>42</v>
      </c>
      <c r="J1801" s="6" t="s">
        <v>121</v>
      </c>
      <c r="K1801" s="6" t="s">
        <v>169</v>
      </c>
      <c r="L1801" s="11">
        <f>F1801*Controls!$B$6</f>
        <v>3</v>
      </c>
      <c r="M1801" s="11">
        <f>G1801*Controls!$B$6</f>
        <v>375</v>
      </c>
      <c r="N1801" s="12">
        <f>IF(L1801=0,0,SUMIFS('PSI Plan'!$N$6:$N$173,'PSI Plan'!$B$6:$B$173,B1801,'PSI Plan'!$C$6:$C$173,I1801))</f>
        <v>0</v>
      </c>
      <c r="O1801" s="11">
        <f t="shared" si="56"/>
        <v>0</v>
      </c>
      <c r="P1801" s="11">
        <f t="shared" si="57"/>
        <v>0</v>
      </c>
      <c r="Q1801" s="6"/>
      <c r="R1801" s="6"/>
      <c r="S1801" s="6"/>
      <c r="T1801" s="6"/>
    </row>
    <row r="1802" spans="1:20">
      <c r="A1802" s="6" t="s">
        <v>1964</v>
      </c>
      <c r="B1802" s="6" t="s">
        <v>66</v>
      </c>
      <c r="C1802" s="6" t="s">
        <v>90</v>
      </c>
      <c r="D1802" s="6" t="s">
        <v>119</v>
      </c>
      <c r="E1802" s="6" t="s">
        <v>120</v>
      </c>
      <c r="F1802" s="7">
        <v>13</v>
      </c>
      <c r="G1802" s="7">
        <v>1625</v>
      </c>
      <c r="H1802" s="16">
        <v>45232</v>
      </c>
      <c r="I1802" s="6">
        <v>44</v>
      </c>
      <c r="J1802" s="6" t="s">
        <v>121</v>
      </c>
      <c r="K1802" s="6" t="s">
        <v>171</v>
      </c>
      <c r="L1802" s="11">
        <f>F1802*Controls!$B$6</f>
        <v>13</v>
      </c>
      <c r="M1802" s="11">
        <f>G1802*Controls!$B$6</f>
        <v>1625</v>
      </c>
      <c r="N1802" s="12">
        <f>IF(L1802=0,0,SUMIFS('PSI Plan'!$N$6:$N$173,'PSI Plan'!$B$6:$B$173,B1802,'PSI Plan'!$C$6:$C$173,I1802))</f>
        <v>0</v>
      </c>
      <c r="O1802" s="11">
        <f t="shared" si="56"/>
        <v>0</v>
      </c>
      <c r="P1802" s="11">
        <f t="shared" si="57"/>
        <v>0</v>
      </c>
      <c r="Q1802" s="6"/>
      <c r="R1802" s="6"/>
      <c r="S1802" s="6"/>
      <c r="T1802" s="6"/>
    </row>
    <row r="1803" spans="1:20">
      <c r="A1803" s="6" t="s">
        <v>1965</v>
      </c>
      <c r="B1803" s="6" t="s">
        <v>77</v>
      </c>
      <c r="C1803" s="6" t="s">
        <v>90</v>
      </c>
      <c r="D1803" s="6" t="s">
        <v>119</v>
      </c>
      <c r="E1803" s="6" t="s">
        <v>120</v>
      </c>
      <c r="F1803" s="7">
        <v>26</v>
      </c>
      <c r="G1803" s="7">
        <v>3250</v>
      </c>
      <c r="H1803" s="16">
        <v>45284</v>
      </c>
      <c r="I1803" s="6">
        <v>52</v>
      </c>
      <c r="J1803" s="6" t="s">
        <v>121</v>
      </c>
      <c r="K1803" s="6" t="s">
        <v>171</v>
      </c>
      <c r="L1803" s="11">
        <f>F1803*Controls!$B$6</f>
        <v>26</v>
      </c>
      <c r="M1803" s="11">
        <f>G1803*Controls!$B$6</f>
        <v>3250</v>
      </c>
      <c r="N1803" s="12">
        <f>IF(L1803=0,0,SUMIFS('PSI Plan'!$N$6:$N$173,'PSI Plan'!$B$6:$B$173,B1803,'PSI Plan'!$C$6:$C$173,I1803))</f>
        <v>0</v>
      </c>
      <c r="O1803" s="11">
        <f t="shared" si="56"/>
        <v>0</v>
      </c>
      <c r="P1803" s="11">
        <f t="shared" si="57"/>
        <v>0</v>
      </c>
      <c r="Q1803" s="6"/>
      <c r="R1803" s="6"/>
      <c r="S1803" s="6"/>
      <c r="T1803" s="6"/>
    </row>
    <row r="1804" spans="1:20">
      <c r="A1804" s="6" t="s">
        <v>1966</v>
      </c>
      <c r="B1804" s="6" t="s">
        <v>69</v>
      </c>
      <c r="C1804" s="6" t="s">
        <v>90</v>
      </c>
      <c r="D1804" s="6" t="s">
        <v>119</v>
      </c>
      <c r="E1804" s="6" t="s">
        <v>120</v>
      </c>
      <c r="F1804" s="7">
        <v>13</v>
      </c>
      <c r="G1804" s="7">
        <v>1625</v>
      </c>
      <c r="H1804" s="16">
        <v>45245</v>
      </c>
      <c r="I1804" s="6">
        <v>46</v>
      </c>
      <c r="J1804" s="6" t="s">
        <v>121</v>
      </c>
      <c r="K1804" s="6" t="s">
        <v>171</v>
      </c>
      <c r="L1804" s="11">
        <f>F1804*Controls!$B$6</f>
        <v>13</v>
      </c>
      <c r="M1804" s="11">
        <f>G1804*Controls!$B$6</f>
        <v>1625</v>
      </c>
      <c r="N1804" s="12">
        <f>IF(L1804=0,0,SUMIFS('PSI Plan'!$N$6:$N$173,'PSI Plan'!$B$6:$B$173,B1804,'PSI Plan'!$C$6:$C$173,I1804))</f>
        <v>0</v>
      </c>
      <c r="O1804" s="11">
        <f t="shared" si="56"/>
        <v>0</v>
      </c>
      <c r="P1804" s="11">
        <f t="shared" si="57"/>
        <v>0</v>
      </c>
      <c r="Q1804" s="6"/>
      <c r="R1804" s="6"/>
      <c r="S1804" s="6"/>
      <c r="T1804" s="6"/>
    </row>
    <row r="1805" spans="1:20">
      <c r="A1805" s="6" t="s">
        <v>1967</v>
      </c>
      <c r="B1805" s="6" t="s">
        <v>66</v>
      </c>
      <c r="C1805" s="6" t="s">
        <v>90</v>
      </c>
      <c r="D1805" s="6" t="s">
        <v>119</v>
      </c>
      <c r="E1805" s="6" t="s">
        <v>120</v>
      </c>
      <c r="F1805" s="7">
        <v>22</v>
      </c>
      <c r="G1805" s="7">
        <v>2750</v>
      </c>
      <c r="H1805" s="16">
        <v>45235</v>
      </c>
      <c r="I1805" s="6">
        <v>45</v>
      </c>
      <c r="J1805" s="6" t="s">
        <v>121</v>
      </c>
      <c r="K1805" s="6" t="s">
        <v>122</v>
      </c>
      <c r="L1805" s="11">
        <f>F1805*Controls!$B$6</f>
        <v>22</v>
      </c>
      <c r="M1805" s="11">
        <f>G1805*Controls!$B$6</f>
        <v>2750</v>
      </c>
      <c r="N1805" s="12">
        <f>IF(L1805=0,0,SUMIFS('PSI Plan'!$N$6:$N$173,'PSI Plan'!$B$6:$B$173,B1805,'PSI Plan'!$C$6:$C$173,I1805))</f>
        <v>0</v>
      </c>
      <c r="O1805" s="11">
        <f t="shared" si="56"/>
        <v>0</v>
      </c>
      <c r="P1805" s="11">
        <f t="shared" si="57"/>
        <v>0</v>
      </c>
      <c r="Q1805" s="6"/>
      <c r="R1805" s="6"/>
      <c r="S1805" s="6"/>
      <c r="T1805" s="6"/>
    </row>
    <row r="1806" spans="1:20">
      <c r="A1806" s="6" t="s">
        <v>1968</v>
      </c>
      <c r="B1806" s="6" t="s">
        <v>77</v>
      </c>
      <c r="C1806" s="6" t="s">
        <v>90</v>
      </c>
      <c r="D1806" s="6" t="s">
        <v>119</v>
      </c>
      <c r="E1806" s="6" t="s">
        <v>120</v>
      </c>
      <c r="F1806" s="7">
        <v>86</v>
      </c>
      <c r="G1806" s="7">
        <v>10750</v>
      </c>
      <c r="H1806" s="16">
        <v>45283</v>
      </c>
      <c r="I1806" s="6">
        <v>51</v>
      </c>
      <c r="J1806" s="6" t="s">
        <v>121</v>
      </c>
      <c r="K1806" s="6" t="s">
        <v>122</v>
      </c>
      <c r="L1806" s="11">
        <f>F1806*Controls!$B$6</f>
        <v>86</v>
      </c>
      <c r="M1806" s="11">
        <f>G1806*Controls!$B$6</f>
        <v>10750</v>
      </c>
      <c r="N1806" s="12">
        <f>IF(L1806=0,0,SUMIFS('PSI Plan'!$N$6:$N$173,'PSI Plan'!$B$6:$B$173,B1806,'PSI Plan'!$C$6:$C$173,I1806))</f>
        <v>0</v>
      </c>
      <c r="O1806" s="11">
        <f t="shared" si="56"/>
        <v>0</v>
      </c>
      <c r="P1806" s="11">
        <f t="shared" si="57"/>
        <v>0</v>
      </c>
      <c r="Q1806" s="6"/>
      <c r="R1806" s="6"/>
      <c r="S1806" s="6"/>
      <c r="T1806" s="6"/>
    </row>
    <row r="1807" spans="1:20">
      <c r="A1807" s="6" t="s">
        <v>1969</v>
      </c>
      <c r="B1807" s="6" t="s">
        <v>76</v>
      </c>
      <c r="C1807" s="6" t="s">
        <v>90</v>
      </c>
      <c r="D1807" s="6" t="s">
        <v>119</v>
      </c>
      <c r="E1807" s="6" t="s">
        <v>120</v>
      </c>
      <c r="F1807" s="7">
        <v>104</v>
      </c>
      <c r="G1807" s="7">
        <v>13000</v>
      </c>
      <c r="H1807" s="16">
        <v>45218</v>
      </c>
      <c r="I1807" s="6">
        <v>42</v>
      </c>
      <c r="J1807" s="6" t="s">
        <v>121</v>
      </c>
      <c r="K1807" s="6" t="s">
        <v>122</v>
      </c>
      <c r="L1807" s="11">
        <f>F1807*Controls!$B$6</f>
        <v>104</v>
      </c>
      <c r="M1807" s="11">
        <f>G1807*Controls!$B$6</f>
        <v>13000</v>
      </c>
      <c r="N1807" s="12">
        <f>IF(L1807=0,0,SUMIFS('PSI Plan'!$N$6:$N$173,'PSI Plan'!$B$6:$B$173,B1807,'PSI Plan'!$C$6:$C$173,I1807))</f>
        <v>0</v>
      </c>
      <c r="O1807" s="11">
        <f t="shared" si="56"/>
        <v>0</v>
      </c>
      <c r="P1807" s="11">
        <f t="shared" si="57"/>
        <v>0</v>
      </c>
      <c r="Q1807" s="6"/>
      <c r="R1807" s="6"/>
      <c r="S1807" s="6"/>
      <c r="T1807" s="6"/>
    </row>
    <row r="1808" spans="1:20">
      <c r="A1808" s="6" t="s">
        <v>1970</v>
      </c>
      <c r="B1808" s="6" t="s">
        <v>67</v>
      </c>
      <c r="C1808" s="6" t="s">
        <v>90</v>
      </c>
      <c r="D1808" s="6" t="s">
        <v>119</v>
      </c>
      <c r="E1808" s="6" t="s">
        <v>120</v>
      </c>
      <c r="F1808" s="7">
        <v>73</v>
      </c>
      <c r="G1808" s="7">
        <v>9125</v>
      </c>
      <c r="H1808" s="16">
        <v>45276</v>
      </c>
      <c r="I1808" s="6">
        <v>50</v>
      </c>
      <c r="J1808" s="6" t="s">
        <v>121</v>
      </c>
      <c r="K1808" s="6" t="s">
        <v>122</v>
      </c>
      <c r="L1808" s="11">
        <f>F1808*Controls!$B$6</f>
        <v>73</v>
      </c>
      <c r="M1808" s="11">
        <f>G1808*Controls!$B$6</f>
        <v>9125</v>
      </c>
      <c r="N1808" s="12">
        <f>IF(L1808=0,0,SUMIFS('PSI Plan'!$N$6:$N$173,'PSI Plan'!$B$6:$B$173,B1808,'PSI Plan'!$C$6:$C$173,I1808))</f>
        <v>0</v>
      </c>
      <c r="O1808" s="11">
        <f t="shared" si="56"/>
        <v>0</v>
      </c>
      <c r="P1808" s="11">
        <f t="shared" si="57"/>
        <v>0</v>
      </c>
      <c r="Q1808" s="6"/>
      <c r="R1808" s="6"/>
      <c r="S1808" s="6"/>
      <c r="T1808" s="6"/>
    </row>
    <row r="1809" spans="1:20">
      <c r="A1809" s="6" t="s">
        <v>1971</v>
      </c>
      <c r="B1809" s="6" t="s">
        <v>69</v>
      </c>
      <c r="C1809" s="6" t="s">
        <v>90</v>
      </c>
      <c r="D1809" s="6" t="s">
        <v>119</v>
      </c>
      <c r="E1809" s="6" t="s">
        <v>120</v>
      </c>
      <c r="F1809" s="7">
        <v>78</v>
      </c>
      <c r="G1809" s="7">
        <v>9750</v>
      </c>
      <c r="H1809" s="16">
        <v>45278</v>
      </c>
      <c r="I1809" s="6">
        <v>51</v>
      </c>
      <c r="J1809" s="6" t="s">
        <v>121</v>
      </c>
      <c r="K1809" s="6" t="s">
        <v>122</v>
      </c>
      <c r="L1809" s="11">
        <f>F1809*Controls!$B$6</f>
        <v>78</v>
      </c>
      <c r="M1809" s="11">
        <f>G1809*Controls!$B$6</f>
        <v>9750</v>
      </c>
      <c r="N1809" s="12">
        <f>IF(L1809=0,0,SUMIFS('PSI Plan'!$N$6:$N$173,'PSI Plan'!$B$6:$B$173,B1809,'PSI Plan'!$C$6:$C$173,I1809))</f>
        <v>0</v>
      </c>
      <c r="O1809" s="11">
        <f t="shared" si="56"/>
        <v>0</v>
      </c>
      <c r="P1809" s="11">
        <f t="shared" si="57"/>
        <v>0</v>
      </c>
      <c r="Q1809" s="6"/>
      <c r="R1809" s="6"/>
      <c r="S1809" s="6"/>
      <c r="T1809" s="6"/>
    </row>
    <row r="1810" spans="1:20">
      <c r="A1810" s="6" t="s">
        <v>1972</v>
      </c>
      <c r="B1810" s="6" t="s">
        <v>66</v>
      </c>
      <c r="C1810" s="6" t="s">
        <v>90</v>
      </c>
      <c r="D1810" s="6" t="s">
        <v>119</v>
      </c>
      <c r="E1810" s="6" t="s">
        <v>120</v>
      </c>
      <c r="F1810" s="7">
        <v>9</v>
      </c>
      <c r="G1810" s="7">
        <v>1125</v>
      </c>
      <c r="H1810" s="16">
        <v>45262</v>
      </c>
      <c r="I1810" s="6">
        <v>48</v>
      </c>
      <c r="J1810" s="6" t="s">
        <v>121</v>
      </c>
      <c r="K1810" s="6" t="s">
        <v>125</v>
      </c>
      <c r="L1810" s="11">
        <f>F1810*Controls!$B$6</f>
        <v>9</v>
      </c>
      <c r="M1810" s="11">
        <f>G1810*Controls!$B$6</f>
        <v>1125</v>
      </c>
      <c r="N1810" s="12">
        <f>IF(L1810=0,0,SUMIFS('PSI Plan'!$N$6:$N$173,'PSI Plan'!$B$6:$B$173,B1810,'PSI Plan'!$C$6:$C$173,I1810))</f>
        <v>0</v>
      </c>
      <c r="O1810" s="11">
        <f t="shared" si="56"/>
        <v>0</v>
      </c>
      <c r="P1810" s="11">
        <f t="shared" si="57"/>
        <v>0</v>
      </c>
      <c r="Q1810" s="6"/>
      <c r="R1810" s="6"/>
      <c r="S1810" s="6"/>
      <c r="T1810" s="6"/>
    </row>
    <row r="1811" spans="1:20">
      <c r="A1811" s="6" t="s">
        <v>1973</v>
      </c>
      <c r="B1811" s="6" t="s">
        <v>77</v>
      </c>
      <c r="C1811" s="6" t="s">
        <v>90</v>
      </c>
      <c r="D1811" s="6" t="s">
        <v>119</v>
      </c>
      <c r="E1811" s="6" t="s">
        <v>120</v>
      </c>
      <c r="F1811" s="7">
        <v>13</v>
      </c>
      <c r="G1811" s="7">
        <v>1625</v>
      </c>
      <c r="H1811" s="16">
        <v>45242</v>
      </c>
      <c r="I1811" s="6">
        <v>46</v>
      </c>
      <c r="J1811" s="6" t="s">
        <v>121</v>
      </c>
      <c r="K1811" s="6" t="s">
        <v>125</v>
      </c>
      <c r="L1811" s="11">
        <f>F1811*Controls!$B$6</f>
        <v>13</v>
      </c>
      <c r="M1811" s="11">
        <f>G1811*Controls!$B$6</f>
        <v>1625</v>
      </c>
      <c r="N1811" s="12">
        <f>IF(L1811=0,0,SUMIFS('PSI Plan'!$N$6:$N$173,'PSI Plan'!$B$6:$B$173,B1811,'PSI Plan'!$C$6:$C$173,I1811))</f>
        <v>0</v>
      </c>
      <c r="O1811" s="11">
        <f t="shared" si="56"/>
        <v>0</v>
      </c>
      <c r="P1811" s="11">
        <f t="shared" si="57"/>
        <v>0</v>
      </c>
      <c r="Q1811" s="6"/>
      <c r="R1811" s="6"/>
      <c r="S1811" s="6"/>
      <c r="T1811" s="6"/>
    </row>
    <row r="1812" spans="1:20">
      <c r="A1812" s="6" t="s">
        <v>1974</v>
      </c>
      <c r="B1812" s="6" t="s">
        <v>69</v>
      </c>
      <c r="C1812" s="6" t="s">
        <v>90</v>
      </c>
      <c r="D1812" s="6" t="s">
        <v>119</v>
      </c>
      <c r="E1812" s="6" t="s">
        <v>120</v>
      </c>
      <c r="F1812" s="7">
        <v>5</v>
      </c>
      <c r="G1812" s="7">
        <v>625</v>
      </c>
      <c r="H1812" s="16">
        <v>45248</v>
      </c>
      <c r="I1812" s="6">
        <v>46</v>
      </c>
      <c r="J1812" s="6" t="s">
        <v>121</v>
      </c>
      <c r="K1812" s="6" t="s">
        <v>125</v>
      </c>
      <c r="L1812" s="11">
        <f>F1812*Controls!$B$6</f>
        <v>5</v>
      </c>
      <c r="M1812" s="11">
        <f>G1812*Controls!$B$6</f>
        <v>625</v>
      </c>
      <c r="N1812" s="12">
        <f>IF(L1812=0,0,SUMIFS('PSI Plan'!$N$6:$N$173,'PSI Plan'!$B$6:$B$173,B1812,'PSI Plan'!$C$6:$C$173,I1812))</f>
        <v>0</v>
      </c>
      <c r="O1812" s="11">
        <f t="shared" si="56"/>
        <v>0</v>
      </c>
      <c r="P1812" s="11">
        <f t="shared" si="57"/>
        <v>0</v>
      </c>
      <c r="Q1812" s="6"/>
      <c r="R1812" s="6"/>
      <c r="S1812" s="6"/>
      <c r="T1812" s="6"/>
    </row>
    <row r="1813" spans="1:20">
      <c r="A1813" s="6" t="s">
        <v>1975</v>
      </c>
      <c r="B1813" s="6" t="s">
        <v>66</v>
      </c>
      <c r="C1813" s="6" t="s">
        <v>90</v>
      </c>
      <c r="D1813" s="6" t="s">
        <v>119</v>
      </c>
      <c r="E1813" s="6" t="s">
        <v>120</v>
      </c>
      <c r="F1813" s="7">
        <v>8</v>
      </c>
      <c r="G1813" s="7">
        <v>1000</v>
      </c>
      <c r="H1813" s="16">
        <v>45261</v>
      </c>
      <c r="I1813" s="6">
        <v>48</v>
      </c>
      <c r="J1813" s="6" t="s">
        <v>121</v>
      </c>
      <c r="K1813" s="6" t="s">
        <v>1695</v>
      </c>
      <c r="L1813" s="11">
        <f>F1813*Controls!$B$6</f>
        <v>8</v>
      </c>
      <c r="M1813" s="11">
        <f>G1813*Controls!$B$6</f>
        <v>1000</v>
      </c>
      <c r="N1813" s="12">
        <f>IF(L1813=0,0,SUMIFS('PSI Plan'!$N$6:$N$173,'PSI Plan'!$B$6:$B$173,B1813,'PSI Plan'!$C$6:$C$173,I1813))</f>
        <v>0</v>
      </c>
      <c r="O1813" s="11">
        <f t="shared" si="56"/>
        <v>0</v>
      </c>
      <c r="P1813" s="11">
        <f t="shared" si="57"/>
        <v>0</v>
      </c>
      <c r="Q1813" s="6"/>
      <c r="R1813" s="6"/>
      <c r="S1813" s="6"/>
      <c r="T1813" s="6"/>
    </row>
    <row r="1814" spans="1:20">
      <c r="A1814" s="6" t="s">
        <v>1976</v>
      </c>
      <c r="B1814" s="6" t="s">
        <v>77</v>
      </c>
      <c r="C1814" s="6" t="s">
        <v>90</v>
      </c>
      <c r="D1814" s="6" t="s">
        <v>119</v>
      </c>
      <c r="E1814" s="6" t="s">
        <v>120</v>
      </c>
      <c r="F1814" s="7">
        <v>14</v>
      </c>
      <c r="G1814" s="7">
        <v>1750</v>
      </c>
      <c r="H1814" s="16">
        <v>45248</v>
      </c>
      <c r="I1814" s="6">
        <v>46</v>
      </c>
      <c r="J1814" s="6" t="s">
        <v>121</v>
      </c>
      <c r="K1814" s="6" t="s">
        <v>1695</v>
      </c>
      <c r="L1814" s="11">
        <f>F1814*Controls!$B$6</f>
        <v>14</v>
      </c>
      <c r="M1814" s="11">
        <f>G1814*Controls!$B$6</f>
        <v>1750</v>
      </c>
      <c r="N1814" s="12">
        <f>IF(L1814=0,0,SUMIFS('PSI Plan'!$N$6:$N$173,'PSI Plan'!$B$6:$B$173,B1814,'PSI Plan'!$C$6:$C$173,I1814))</f>
        <v>0</v>
      </c>
      <c r="O1814" s="11">
        <f t="shared" si="56"/>
        <v>0</v>
      </c>
      <c r="P1814" s="11">
        <f t="shared" si="57"/>
        <v>0</v>
      </c>
      <c r="Q1814" s="6"/>
      <c r="R1814" s="6"/>
      <c r="S1814" s="6"/>
      <c r="T1814" s="6"/>
    </row>
    <row r="1815" spans="1:20">
      <c r="A1815" s="6" t="s">
        <v>1977</v>
      </c>
      <c r="B1815" s="6" t="s">
        <v>76</v>
      </c>
      <c r="C1815" s="6" t="s">
        <v>90</v>
      </c>
      <c r="D1815" s="6" t="s">
        <v>119</v>
      </c>
      <c r="E1815" s="6" t="s">
        <v>120</v>
      </c>
      <c r="F1815" s="7">
        <v>5</v>
      </c>
      <c r="G1815" s="7">
        <v>625</v>
      </c>
      <c r="H1815" s="16">
        <v>45205</v>
      </c>
      <c r="I1815" s="6">
        <v>40</v>
      </c>
      <c r="J1815" s="6" t="s">
        <v>121</v>
      </c>
      <c r="K1815" s="6" t="s">
        <v>1695</v>
      </c>
      <c r="L1815" s="11">
        <f>F1815*Controls!$B$6</f>
        <v>5</v>
      </c>
      <c r="M1815" s="11">
        <f>G1815*Controls!$B$6</f>
        <v>625</v>
      </c>
      <c r="N1815" s="12">
        <f>IF(L1815=0,0,SUMIFS('PSI Plan'!$N$6:$N$173,'PSI Plan'!$B$6:$B$173,B1815,'PSI Plan'!$C$6:$C$173,I1815))</f>
        <v>0</v>
      </c>
      <c r="O1815" s="11">
        <f t="shared" si="56"/>
        <v>0</v>
      </c>
      <c r="P1815" s="11">
        <f t="shared" si="57"/>
        <v>0</v>
      </c>
      <c r="Q1815" s="6"/>
      <c r="R1815" s="6"/>
      <c r="S1815" s="6"/>
      <c r="T1815" s="6"/>
    </row>
    <row r="1816" spans="1:20">
      <c r="A1816" s="6" t="s">
        <v>1978</v>
      </c>
      <c r="B1816" s="6" t="s">
        <v>69</v>
      </c>
      <c r="C1816" s="6" t="s">
        <v>90</v>
      </c>
      <c r="D1816" s="6" t="s">
        <v>119</v>
      </c>
      <c r="E1816" s="6" t="s">
        <v>120</v>
      </c>
      <c r="F1816" s="7">
        <v>26</v>
      </c>
      <c r="G1816" s="7">
        <v>3250</v>
      </c>
      <c r="H1816" s="16">
        <v>45207</v>
      </c>
      <c r="I1816" s="6">
        <v>41</v>
      </c>
      <c r="J1816" s="6" t="s">
        <v>121</v>
      </c>
      <c r="K1816" s="6" t="s">
        <v>122</v>
      </c>
      <c r="L1816" s="11">
        <f>F1816*Controls!$B$6</f>
        <v>26</v>
      </c>
      <c r="M1816" s="11">
        <f>G1816*Controls!$B$6</f>
        <v>3250</v>
      </c>
      <c r="N1816" s="12">
        <f>IF(L1816=0,0,SUMIFS('PSI Plan'!$N$6:$N$173,'PSI Plan'!$B$6:$B$173,B1816,'PSI Plan'!$C$6:$C$173,I1816))</f>
        <v>0</v>
      </c>
      <c r="O1816" s="11">
        <f t="shared" si="56"/>
        <v>0</v>
      </c>
      <c r="P1816" s="11">
        <f t="shared" si="57"/>
        <v>0</v>
      </c>
      <c r="Q1816" s="6"/>
      <c r="R1816" s="6"/>
      <c r="S1816" s="6"/>
      <c r="T1816" s="6"/>
    </row>
    <row r="1817" spans="1:20">
      <c r="A1817" s="6" t="s">
        <v>1979</v>
      </c>
      <c r="B1817" s="6" t="s">
        <v>66</v>
      </c>
      <c r="C1817" s="6" t="s">
        <v>99</v>
      </c>
      <c r="D1817" s="6" t="s">
        <v>319</v>
      </c>
      <c r="E1817" s="6" t="s">
        <v>120</v>
      </c>
      <c r="F1817" s="7">
        <v>34</v>
      </c>
      <c r="G1817" s="7">
        <v>4250</v>
      </c>
      <c r="H1817" s="16">
        <v>45212</v>
      </c>
      <c r="I1817" s="6">
        <v>41</v>
      </c>
      <c r="J1817" s="6" t="s">
        <v>121</v>
      </c>
      <c r="K1817" s="6" t="s">
        <v>459</v>
      </c>
      <c r="L1817" s="11">
        <f>F1817*Controls!$B$6</f>
        <v>34</v>
      </c>
      <c r="M1817" s="11">
        <f>G1817*Controls!$B$6</f>
        <v>4250</v>
      </c>
      <c r="N1817" s="12">
        <f>IF(L1817=0,0,SUMIFS('PSI Plan'!$N$6:$N$173,'PSI Plan'!$B$6:$B$173,B1817,'PSI Plan'!$C$6:$C$173,I1817))</f>
        <v>0.22897465437788017</v>
      </c>
      <c r="O1817" s="11">
        <f t="shared" si="56"/>
        <v>7.7851382488479262</v>
      </c>
      <c r="P1817" s="11">
        <f t="shared" si="57"/>
        <v>973.14228110599072</v>
      </c>
      <c r="Q1817" s="6"/>
      <c r="R1817" s="6"/>
      <c r="S1817" s="6"/>
      <c r="T1817" s="6"/>
    </row>
    <row r="1818" spans="1:20">
      <c r="A1818" s="6" t="s">
        <v>1980</v>
      </c>
      <c r="B1818" s="6" t="s">
        <v>77</v>
      </c>
      <c r="C1818" s="6" t="s">
        <v>99</v>
      </c>
      <c r="D1818" s="6" t="s">
        <v>319</v>
      </c>
      <c r="E1818" s="6" t="s">
        <v>120</v>
      </c>
      <c r="F1818" s="7">
        <v>17</v>
      </c>
      <c r="G1818" s="7">
        <v>2125</v>
      </c>
      <c r="H1818" s="16">
        <v>45242</v>
      </c>
      <c r="I1818" s="6">
        <v>46</v>
      </c>
      <c r="J1818" s="6" t="s">
        <v>121</v>
      </c>
      <c r="K1818" s="6" t="s">
        <v>459</v>
      </c>
      <c r="L1818" s="11">
        <f>F1818*Controls!$B$6</f>
        <v>17</v>
      </c>
      <c r="M1818" s="11">
        <f>G1818*Controls!$B$6</f>
        <v>2125</v>
      </c>
      <c r="N1818" s="12">
        <f>IF(L1818=0,0,SUMIFS('PSI Plan'!$N$6:$N$173,'PSI Plan'!$B$6:$B$173,B1818,'PSI Plan'!$C$6:$C$173,I1818))</f>
        <v>0</v>
      </c>
      <c r="O1818" s="11">
        <f t="shared" si="56"/>
        <v>0</v>
      </c>
      <c r="P1818" s="11">
        <f t="shared" si="57"/>
        <v>0</v>
      </c>
      <c r="Q1818" s="6"/>
      <c r="R1818" s="6"/>
      <c r="S1818" s="6"/>
      <c r="T1818" s="6"/>
    </row>
    <row r="1819" spans="1:20">
      <c r="A1819" s="6" t="s">
        <v>1981</v>
      </c>
      <c r="B1819" s="6" t="s">
        <v>69</v>
      </c>
      <c r="C1819" s="6" t="s">
        <v>99</v>
      </c>
      <c r="D1819" s="6" t="s">
        <v>319</v>
      </c>
      <c r="E1819" s="6" t="s">
        <v>120</v>
      </c>
      <c r="F1819" s="7">
        <v>8</v>
      </c>
      <c r="G1819" s="7">
        <v>1000</v>
      </c>
      <c r="H1819" s="16">
        <v>45256</v>
      </c>
      <c r="I1819" s="6">
        <v>48</v>
      </c>
      <c r="J1819" s="6" t="s">
        <v>121</v>
      </c>
      <c r="K1819" s="6" t="s">
        <v>459</v>
      </c>
      <c r="L1819" s="11">
        <f>F1819*Controls!$B$6</f>
        <v>8</v>
      </c>
      <c r="M1819" s="11">
        <f>G1819*Controls!$B$6</f>
        <v>1000</v>
      </c>
      <c r="N1819" s="12">
        <f>IF(L1819=0,0,SUMIFS('PSI Plan'!$N$6:$N$173,'PSI Plan'!$B$6:$B$173,B1819,'PSI Plan'!$C$6:$C$173,I1819))</f>
        <v>0</v>
      </c>
      <c r="O1819" s="11">
        <f t="shared" si="56"/>
        <v>0</v>
      </c>
      <c r="P1819" s="11">
        <f t="shared" si="57"/>
        <v>0</v>
      </c>
      <c r="Q1819" s="6"/>
      <c r="R1819" s="6"/>
      <c r="S1819" s="6"/>
      <c r="T1819" s="6"/>
    </row>
    <row r="1820" spans="1:20">
      <c r="A1820" s="6" t="s">
        <v>1982</v>
      </c>
      <c r="B1820" s="6" t="s">
        <v>66</v>
      </c>
      <c r="C1820" s="6" t="s">
        <v>90</v>
      </c>
      <c r="D1820" s="6" t="s">
        <v>119</v>
      </c>
      <c r="E1820" s="6" t="s">
        <v>120</v>
      </c>
      <c r="F1820" s="7">
        <v>26</v>
      </c>
      <c r="G1820" s="7">
        <v>3250</v>
      </c>
      <c r="H1820" s="16">
        <v>45253</v>
      </c>
      <c r="I1820" s="6">
        <v>47</v>
      </c>
      <c r="J1820" s="6" t="s">
        <v>1791</v>
      </c>
      <c r="K1820" s="6" t="s">
        <v>1890</v>
      </c>
      <c r="L1820" s="11">
        <f>F1820*Controls!$B$6</f>
        <v>26</v>
      </c>
      <c r="M1820" s="11">
        <f>G1820*Controls!$B$6</f>
        <v>3250</v>
      </c>
      <c r="N1820" s="12">
        <f>IF(L1820=0,0,SUMIFS('PSI Plan'!$N$6:$N$173,'PSI Plan'!$B$6:$B$173,B1820,'PSI Plan'!$C$6:$C$173,I1820))</f>
        <v>0</v>
      </c>
      <c r="O1820" s="11">
        <f t="shared" si="56"/>
        <v>0</v>
      </c>
      <c r="P1820" s="11">
        <f t="shared" si="57"/>
        <v>0</v>
      </c>
      <c r="Q1820" s="6"/>
      <c r="R1820" s="6"/>
      <c r="S1820" s="6"/>
      <c r="T1820" s="6"/>
    </row>
    <row r="1821" spans="1:20">
      <c r="A1821" s="6" t="s">
        <v>1983</v>
      </c>
      <c r="B1821" s="6" t="s">
        <v>66</v>
      </c>
      <c r="C1821" s="6" t="s">
        <v>90</v>
      </c>
      <c r="D1821" s="6" t="s">
        <v>119</v>
      </c>
      <c r="E1821" s="6" t="s">
        <v>120</v>
      </c>
      <c r="F1821" s="7">
        <v>26</v>
      </c>
      <c r="G1821" s="7">
        <v>3250</v>
      </c>
      <c r="H1821" s="16">
        <v>45211</v>
      </c>
      <c r="I1821" s="6">
        <v>41</v>
      </c>
      <c r="J1821" s="6" t="s">
        <v>1791</v>
      </c>
      <c r="K1821" s="6" t="s">
        <v>1890</v>
      </c>
      <c r="L1821" s="11">
        <f>F1821*Controls!$B$6</f>
        <v>26</v>
      </c>
      <c r="M1821" s="11">
        <f>G1821*Controls!$B$6</f>
        <v>3250</v>
      </c>
      <c r="N1821" s="12">
        <f>IF(L1821=0,0,SUMIFS('PSI Plan'!$N$6:$N$173,'PSI Plan'!$B$6:$B$173,B1821,'PSI Plan'!$C$6:$C$173,I1821))</f>
        <v>0.22897465437788017</v>
      </c>
      <c r="O1821" s="11">
        <f t="shared" si="56"/>
        <v>5.9533410138248843</v>
      </c>
      <c r="P1821" s="11">
        <f t="shared" si="57"/>
        <v>744.16762672811058</v>
      </c>
      <c r="Q1821" s="6"/>
      <c r="R1821" s="6"/>
      <c r="S1821" s="6"/>
      <c r="T1821" s="6"/>
    </row>
    <row r="1822" spans="1:20">
      <c r="A1822" s="6" t="s">
        <v>1984</v>
      </c>
      <c r="B1822" s="6" t="s">
        <v>76</v>
      </c>
      <c r="C1822" s="6" t="s">
        <v>90</v>
      </c>
      <c r="D1822" s="6" t="s">
        <v>119</v>
      </c>
      <c r="E1822" s="6" t="s">
        <v>120</v>
      </c>
      <c r="F1822" s="7">
        <v>26</v>
      </c>
      <c r="G1822" s="7">
        <v>3250</v>
      </c>
      <c r="H1822" s="16">
        <v>45262</v>
      </c>
      <c r="I1822" s="6">
        <v>48</v>
      </c>
      <c r="J1822" s="6" t="s">
        <v>1791</v>
      </c>
      <c r="K1822" s="6" t="s">
        <v>1890</v>
      </c>
      <c r="L1822" s="11">
        <f>F1822*Controls!$B$6</f>
        <v>26</v>
      </c>
      <c r="M1822" s="11">
        <f>G1822*Controls!$B$6</f>
        <v>3250</v>
      </c>
      <c r="N1822" s="12">
        <f>IF(L1822=0,0,SUMIFS('PSI Plan'!$N$6:$N$173,'PSI Plan'!$B$6:$B$173,B1822,'PSI Plan'!$C$6:$C$173,I1822))</f>
        <v>0</v>
      </c>
      <c r="O1822" s="11">
        <f t="shared" si="56"/>
        <v>0</v>
      </c>
      <c r="P1822" s="11">
        <f t="shared" si="57"/>
        <v>0</v>
      </c>
      <c r="Q1822" s="6"/>
      <c r="R1822" s="6"/>
      <c r="S1822" s="6"/>
      <c r="T1822" s="6"/>
    </row>
    <row r="1823" spans="1:20">
      <c r="A1823" s="6" t="s">
        <v>1985</v>
      </c>
      <c r="B1823" s="6" t="s">
        <v>67</v>
      </c>
      <c r="C1823" s="6" t="s">
        <v>90</v>
      </c>
      <c r="D1823" s="6" t="s">
        <v>119</v>
      </c>
      <c r="E1823" s="6" t="s">
        <v>120</v>
      </c>
      <c r="F1823" s="7">
        <v>26</v>
      </c>
      <c r="G1823" s="7">
        <v>3250</v>
      </c>
      <c r="H1823" s="16">
        <v>45282</v>
      </c>
      <c r="I1823" s="6">
        <v>51</v>
      </c>
      <c r="J1823" s="6" t="s">
        <v>1791</v>
      </c>
      <c r="K1823" s="6" t="s">
        <v>1890</v>
      </c>
      <c r="L1823" s="11">
        <f>F1823*Controls!$B$6</f>
        <v>26</v>
      </c>
      <c r="M1823" s="11">
        <f>G1823*Controls!$B$6</f>
        <v>3250</v>
      </c>
      <c r="N1823" s="12">
        <f>IF(L1823=0,0,SUMIFS('PSI Plan'!$N$6:$N$173,'PSI Plan'!$B$6:$B$173,B1823,'PSI Plan'!$C$6:$C$173,I1823))</f>
        <v>0</v>
      </c>
      <c r="O1823" s="11">
        <f t="shared" si="56"/>
        <v>0</v>
      </c>
      <c r="P1823" s="11">
        <f t="shared" si="57"/>
        <v>0</v>
      </c>
      <c r="Q1823" s="6"/>
      <c r="R1823" s="6"/>
      <c r="S1823" s="6"/>
      <c r="T1823" s="6"/>
    </row>
    <row r="1824" spans="1:20">
      <c r="A1824" s="6" t="s">
        <v>1986</v>
      </c>
      <c r="B1824" s="6" t="s">
        <v>77</v>
      </c>
      <c r="C1824" s="6" t="s">
        <v>90</v>
      </c>
      <c r="D1824" s="6" t="s">
        <v>119</v>
      </c>
      <c r="E1824" s="6" t="s">
        <v>120</v>
      </c>
      <c r="F1824" s="7">
        <v>52</v>
      </c>
      <c r="G1824" s="7">
        <v>6500</v>
      </c>
      <c r="H1824" s="16">
        <v>45284</v>
      </c>
      <c r="I1824" s="6">
        <v>52</v>
      </c>
      <c r="J1824" s="6" t="s">
        <v>121</v>
      </c>
      <c r="K1824" s="6" t="s">
        <v>725</v>
      </c>
      <c r="L1824" s="11">
        <f>F1824*Controls!$B$6</f>
        <v>52</v>
      </c>
      <c r="M1824" s="11">
        <f>G1824*Controls!$B$6</f>
        <v>6500</v>
      </c>
      <c r="N1824" s="12">
        <f>IF(L1824=0,0,SUMIFS('PSI Plan'!$N$6:$N$173,'PSI Plan'!$B$6:$B$173,B1824,'PSI Plan'!$C$6:$C$173,I1824))</f>
        <v>0</v>
      </c>
      <c r="O1824" s="11">
        <f t="shared" si="56"/>
        <v>0</v>
      </c>
      <c r="P1824" s="11">
        <f t="shared" si="57"/>
        <v>0</v>
      </c>
      <c r="Q1824" s="6"/>
      <c r="R1824" s="6"/>
      <c r="S1824" s="6"/>
      <c r="T1824" s="6"/>
    </row>
    <row r="1825" spans="1:20">
      <c r="A1825" s="6" t="s">
        <v>1987</v>
      </c>
      <c r="B1825" s="6" t="s">
        <v>69</v>
      </c>
      <c r="C1825" s="6" t="s">
        <v>90</v>
      </c>
      <c r="D1825" s="6" t="s">
        <v>119</v>
      </c>
      <c r="E1825" s="6" t="s">
        <v>120</v>
      </c>
      <c r="F1825" s="7">
        <v>26</v>
      </c>
      <c r="G1825" s="7">
        <v>3250</v>
      </c>
      <c r="H1825" s="16">
        <v>45269</v>
      </c>
      <c r="I1825" s="6">
        <v>49</v>
      </c>
      <c r="J1825" s="6" t="s">
        <v>121</v>
      </c>
      <c r="K1825" s="6" t="s">
        <v>725</v>
      </c>
      <c r="L1825" s="11">
        <f>F1825*Controls!$B$6</f>
        <v>26</v>
      </c>
      <c r="M1825" s="11">
        <f>G1825*Controls!$B$6</f>
        <v>3250</v>
      </c>
      <c r="N1825" s="12">
        <f>IF(L1825=0,0,SUMIFS('PSI Plan'!$N$6:$N$173,'PSI Plan'!$B$6:$B$173,B1825,'PSI Plan'!$C$6:$C$173,I1825))</f>
        <v>0</v>
      </c>
      <c r="O1825" s="11">
        <f t="shared" si="56"/>
        <v>0</v>
      </c>
      <c r="P1825" s="11">
        <f t="shared" si="57"/>
        <v>0</v>
      </c>
      <c r="Q1825" s="6"/>
      <c r="R1825" s="6"/>
      <c r="S1825" s="6"/>
      <c r="T1825" s="6"/>
    </row>
    <row r="1826" spans="1:20">
      <c r="A1826" s="6" t="s">
        <v>1988</v>
      </c>
      <c r="B1826" s="6" t="s">
        <v>66</v>
      </c>
      <c r="C1826" s="6" t="s">
        <v>90</v>
      </c>
      <c r="D1826" s="6" t="s">
        <v>119</v>
      </c>
      <c r="E1826" s="6" t="s">
        <v>120</v>
      </c>
      <c r="F1826" s="7">
        <v>13</v>
      </c>
      <c r="G1826" s="7">
        <v>1625</v>
      </c>
      <c r="H1826" s="16">
        <v>45261</v>
      </c>
      <c r="I1826" s="6">
        <v>48</v>
      </c>
      <c r="J1826" s="6" t="s">
        <v>121</v>
      </c>
      <c r="K1826" s="6" t="s">
        <v>171</v>
      </c>
      <c r="L1826" s="11">
        <f>F1826*Controls!$B$6</f>
        <v>13</v>
      </c>
      <c r="M1826" s="11">
        <f>G1826*Controls!$B$6</f>
        <v>1625</v>
      </c>
      <c r="N1826" s="12">
        <f>IF(L1826=0,0,SUMIFS('PSI Plan'!$N$6:$N$173,'PSI Plan'!$B$6:$B$173,B1826,'PSI Plan'!$C$6:$C$173,I1826))</f>
        <v>0</v>
      </c>
      <c r="O1826" s="11">
        <f t="shared" si="56"/>
        <v>0</v>
      </c>
      <c r="P1826" s="11">
        <f t="shared" si="57"/>
        <v>0</v>
      </c>
      <c r="Q1826" s="6"/>
      <c r="R1826" s="6"/>
      <c r="S1826" s="6"/>
      <c r="T1826" s="6"/>
    </row>
    <row r="1827" spans="1:20">
      <c r="A1827" s="6" t="s">
        <v>1989</v>
      </c>
      <c r="B1827" s="6" t="s">
        <v>77</v>
      </c>
      <c r="C1827" s="6" t="s">
        <v>90</v>
      </c>
      <c r="D1827" s="6" t="s">
        <v>119</v>
      </c>
      <c r="E1827" s="6" t="s">
        <v>120</v>
      </c>
      <c r="F1827" s="7">
        <v>13</v>
      </c>
      <c r="G1827" s="7">
        <v>1625</v>
      </c>
      <c r="H1827" s="16">
        <v>45268</v>
      </c>
      <c r="I1827" s="6">
        <v>49</v>
      </c>
      <c r="J1827" s="6" t="s">
        <v>121</v>
      </c>
      <c r="K1827" s="6" t="s">
        <v>171</v>
      </c>
      <c r="L1827" s="11">
        <f>F1827*Controls!$B$6</f>
        <v>13</v>
      </c>
      <c r="M1827" s="11">
        <f>G1827*Controls!$B$6</f>
        <v>1625</v>
      </c>
      <c r="N1827" s="12">
        <f>IF(L1827=0,0,SUMIFS('PSI Plan'!$N$6:$N$173,'PSI Plan'!$B$6:$B$173,B1827,'PSI Plan'!$C$6:$C$173,I1827))</f>
        <v>0</v>
      </c>
      <c r="O1827" s="11">
        <f t="shared" si="56"/>
        <v>0</v>
      </c>
      <c r="P1827" s="11">
        <f t="shared" si="57"/>
        <v>0</v>
      </c>
      <c r="Q1827" s="6"/>
      <c r="R1827" s="6"/>
      <c r="S1827" s="6"/>
      <c r="T1827" s="6"/>
    </row>
    <row r="1828" spans="1:20">
      <c r="A1828" s="6" t="s">
        <v>1990</v>
      </c>
      <c r="B1828" s="6" t="s">
        <v>69</v>
      </c>
      <c r="C1828" s="6" t="s">
        <v>90</v>
      </c>
      <c r="D1828" s="6" t="s">
        <v>119</v>
      </c>
      <c r="E1828" s="6" t="s">
        <v>120</v>
      </c>
      <c r="F1828" s="7">
        <v>13</v>
      </c>
      <c r="G1828" s="7">
        <v>1625</v>
      </c>
      <c r="H1828" s="16">
        <v>45217</v>
      </c>
      <c r="I1828" s="6">
        <v>42</v>
      </c>
      <c r="J1828" s="6" t="s">
        <v>121</v>
      </c>
      <c r="K1828" s="6" t="s">
        <v>171</v>
      </c>
      <c r="L1828" s="11">
        <f>F1828*Controls!$B$6</f>
        <v>13</v>
      </c>
      <c r="M1828" s="11">
        <f>G1828*Controls!$B$6</f>
        <v>1625</v>
      </c>
      <c r="N1828" s="12">
        <f>IF(L1828=0,0,SUMIFS('PSI Plan'!$N$6:$N$173,'PSI Plan'!$B$6:$B$173,B1828,'PSI Plan'!$C$6:$C$173,I1828))</f>
        <v>0</v>
      </c>
      <c r="O1828" s="11">
        <f t="shared" si="56"/>
        <v>0</v>
      </c>
      <c r="P1828" s="11">
        <f t="shared" si="57"/>
        <v>0</v>
      </c>
      <c r="Q1828" s="6"/>
      <c r="R1828" s="6"/>
      <c r="S1828" s="6"/>
      <c r="T1828" s="6"/>
    </row>
    <row r="1829" spans="1:20">
      <c r="A1829" s="6" t="s">
        <v>1991</v>
      </c>
      <c r="B1829" s="6" t="s">
        <v>66</v>
      </c>
      <c r="C1829" s="6" t="s">
        <v>100</v>
      </c>
      <c r="D1829" s="6" t="s">
        <v>567</v>
      </c>
      <c r="E1829" s="6" t="s">
        <v>120</v>
      </c>
      <c r="F1829" s="7">
        <v>12</v>
      </c>
      <c r="G1829" s="7">
        <v>1500</v>
      </c>
      <c r="H1829" s="16">
        <v>45250</v>
      </c>
      <c r="I1829" s="6">
        <v>47</v>
      </c>
      <c r="J1829" s="6" t="s">
        <v>121</v>
      </c>
      <c r="K1829" s="6" t="s">
        <v>568</v>
      </c>
      <c r="L1829" s="11">
        <f>F1829*Controls!$B$6</f>
        <v>12</v>
      </c>
      <c r="M1829" s="11">
        <f>G1829*Controls!$B$6</f>
        <v>1500</v>
      </c>
      <c r="N1829" s="12">
        <f>IF(L1829=0,0,SUMIFS('PSI Plan'!$N$6:$N$173,'PSI Plan'!$B$6:$B$173,B1829,'PSI Plan'!$C$6:$C$173,I1829))</f>
        <v>0</v>
      </c>
      <c r="O1829" s="11">
        <f t="shared" si="56"/>
        <v>0</v>
      </c>
      <c r="P1829" s="11">
        <f t="shared" si="57"/>
        <v>0</v>
      </c>
      <c r="Q1829" s="6"/>
      <c r="R1829" s="6"/>
      <c r="S1829" s="6"/>
      <c r="T1829" s="6"/>
    </row>
    <row r="1830" spans="1:20">
      <c r="A1830" s="6" t="s">
        <v>1992</v>
      </c>
      <c r="B1830" s="6" t="s">
        <v>77</v>
      </c>
      <c r="C1830" s="6" t="s">
        <v>100</v>
      </c>
      <c r="D1830" s="6" t="s">
        <v>567</v>
      </c>
      <c r="E1830" s="6" t="s">
        <v>120</v>
      </c>
      <c r="F1830" s="7">
        <v>12</v>
      </c>
      <c r="G1830" s="7">
        <v>1500</v>
      </c>
      <c r="H1830" s="16">
        <v>45255</v>
      </c>
      <c r="I1830" s="6">
        <v>47</v>
      </c>
      <c r="J1830" s="6" t="s">
        <v>121</v>
      </c>
      <c r="K1830" s="6" t="s">
        <v>568</v>
      </c>
      <c r="L1830" s="11">
        <f>F1830*Controls!$B$6</f>
        <v>12</v>
      </c>
      <c r="M1830" s="11">
        <f>G1830*Controls!$B$6</f>
        <v>1500</v>
      </c>
      <c r="N1830" s="12">
        <f>IF(L1830=0,0,SUMIFS('PSI Plan'!$N$6:$N$173,'PSI Plan'!$B$6:$B$173,B1830,'PSI Plan'!$C$6:$C$173,I1830))</f>
        <v>0</v>
      </c>
      <c r="O1830" s="11">
        <f t="shared" si="56"/>
        <v>0</v>
      </c>
      <c r="P1830" s="11">
        <f t="shared" si="57"/>
        <v>0</v>
      </c>
      <c r="Q1830" s="6"/>
      <c r="R1830" s="6"/>
      <c r="S1830" s="6"/>
      <c r="T1830" s="6"/>
    </row>
    <row r="1831" spans="1:20">
      <c r="A1831" s="6" t="s">
        <v>1993</v>
      </c>
      <c r="B1831" s="6" t="s">
        <v>76</v>
      </c>
      <c r="C1831" s="6" t="s">
        <v>100</v>
      </c>
      <c r="D1831" s="6" t="s">
        <v>567</v>
      </c>
      <c r="E1831" s="6" t="s">
        <v>120</v>
      </c>
      <c r="F1831" s="7">
        <v>12</v>
      </c>
      <c r="G1831" s="7">
        <v>1500</v>
      </c>
      <c r="H1831" s="16">
        <v>45286</v>
      </c>
      <c r="I1831" s="6">
        <v>52</v>
      </c>
      <c r="J1831" s="6" t="s">
        <v>121</v>
      </c>
      <c r="K1831" s="6" t="s">
        <v>568</v>
      </c>
      <c r="L1831" s="11">
        <f>F1831*Controls!$B$6</f>
        <v>12</v>
      </c>
      <c r="M1831" s="11">
        <f>G1831*Controls!$B$6</f>
        <v>1500</v>
      </c>
      <c r="N1831" s="12">
        <f>IF(L1831=0,0,SUMIFS('PSI Plan'!$N$6:$N$173,'PSI Plan'!$B$6:$B$173,B1831,'PSI Plan'!$C$6:$C$173,I1831))</f>
        <v>0</v>
      </c>
      <c r="O1831" s="11">
        <f t="shared" si="56"/>
        <v>0</v>
      </c>
      <c r="P1831" s="11">
        <f t="shared" si="57"/>
        <v>0</v>
      </c>
      <c r="Q1831" s="6"/>
      <c r="R1831" s="6"/>
      <c r="S1831" s="6"/>
      <c r="T1831" s="6"/>
    </row>
    <row r="1832" spans="1:20">
      <c r="A1832" s="6" t="s">
        <v>1994</v>
      </c>
      <c r="B1832" s="6" t="s">
        <v>69</v>
      </c>
      <c r="C1832" s="6" t="s">
        <v>100</v>
      </c>
      <c r="D1832" s="6" t="s">
        <v>567</v>
      </c>
      <c r="E1832" s="6" t="s">
        <v>120</v>
      </c>
      <c r="F1832" s="7">
        <v>12</v>
      </c>
      <c r="G1832" s="7">
        <v>1500</v>
      </c>
      <c r="H1832" s="16">
        <v>45287</v>
      </c>
      <c r="I1832" s="6">
        <v>52</v>
      </c>
      <c r="J1832" s="6" t="s">
        <v>121</v>
      </c>
      <c r="K1832" s="6" t="s">
        <v>568</v>
      </c>
      <c r="L1832" s="11">
        <f>F1832*Controls!$B$6</f>
        <v>12</v>
      </c>
      <c r="M1832" s="11">
        <f>G1832*Controls!$B$6</f>
        <v>1500</v>
      </c>
      <c r="N1832" s="12">
        <f>IF(L1832=0,0,SUMIFS('PSI Plan'!$N$6:$N$173,'PSI Plan'!$B$6:$B$173,B1832,'PSI Plan'!$C$6:$C$173,I1832))</f>
        <v>0</v>
      </c>
      <c r="O1832" s="11">
        <f t="shared" si="56"/>
        <v>0</v>
      </c>
      <c r="P1832" s="11">
        <f t="shared" si="57"/>
        <v>0</v>
      </c>
      <c r="Q1832" s="6"/>
      <c r="R1832" s="6"/>
      <c r="S1832" s="6"/>
      <c r="T1832" s="6"/>
    </row>
    <row r="1833" spans="1:20">
      <c r="A1833" s="6" t="s">
        <v>1995</v>
      </c>
      <c r="B1833" s="6" t="s">
        <v>77</v>
      </c>
      <c r="C1833" s="6" t="s">
        <v>99</v>
      </c>
      <c r="D1833" s="6" t="s">
        <v>319</v>
      </c>
      <c r="E1833" s="6" t="s">
        <v>120</v>
      </c>
      <c r="F1833" s="7">
        <v>44</v>
      </c>
      <c r="G1833" s="7">
        <v>5500</v>
      </c>
      <c r="H1833" s="16">
        <v>45212</v>
      </c>
      <c r="I1833" s="6">
        <v>41</v>
      </c>
      <c r="J1833" s="6" t="s">
        <v>121</v>
      </c>
      <c r="K1833" s="6" t="s">
        <v>347</v>
      </c>
      <c r="L1833" s="11">
        <f>F1833*Controls!$B$6</f>
        <v>44</v>
      </c>
      <c r="M1833" s="11">
        <f>G1833*Controls!$B$6</f>
        <v>5500</v>
      </c>
      <c r="N1833" s="12">
        <f>IF(L1833=0,0,SUMIFS('PSI Plan'!$N$6:$N$173,'PSI Plan'!$B$6:$B$173,B1833,'PSI Plan'!$C$6:$C$173,I1833))</f>
        <v>0</v>
      </c>
      <c r="O1833" s="11">
        <f t="shared" si="56"/>
        <v>0</v>
      </c>
      <c r="P1833" s="11">
        <f t="shared" si="57"/>
        <v>0</v>
      </c>
      <c r="Q1833" s="6"/>
      <c r="R1833" s="6"/>
      <c r="S1833" s="6"/>
      <c r="T1833" s="6"/>
    </row>
    <row r="1834" spans="1:20">
      <c r="A1834" s="6" t="s">
        <v>1996</v>
      </c>
      <c r="B1834" s="6" t="s">
        <v>67</v>
      </c>
      <c r="C1834" s="6" t="s">
        <v>99</v>
      </c>
      <c r="D1834" s="6" t="s">
        <v>319</v>
      </c>
      <c r="E1834" s="6" t="s">
        <v>120</v>
      </c>
      <c r="F1834" s="7">
        <v>32</v>
      </c>
      <c r="G1834" s="7">
        <v>4000</v>
      </c>
      <c r="H1834" s="16">
        <v>45220</v>
      </c>
      <c r="I1834" s="6">
        <v>42</v>
      </c>
      <c r="J1834" s="6" t="s">
        <v>121</v>
      </c>
      <c r="K1834" s="6" t="s">
        <v>347</v>
      </c>
      <c r="L1834" s="11">
        <f>F1834*Controls!$B$6</f>
        <v>32</v>
      </c>
      <c r="M1834" s="11">
        <f>G1834*Controls!$B$6</f>
        <v>4000</v>
      </c>
      <c r="N1834" s="12">
        <f>IF(L1834=0,0,SUMIFS('PSI Plan'!$N$6:$N$173,'PSI Plan'!$B$6:$B$173,B1834,'PSI Plan'!$C$6:$C$173,I1834))</f>
        <v>0</v>
      </c>
      <c r="O1834" s="11">
        <f t="shared" si="56"/>
        <v>0</v>
      </c>
      <c r="P1834" s="11">
        <f t="shared" si="57"/>
        <v>0</v>
      </c>
      <c r="Q1834" s="6"/>
      <c r="R1834" s="6"/>
      <c r="S1834" s="6"/>
      <c r="T1834" s="6"/>
    </row>
    <row r="1835" spans="1:20">
      <c r="A1835" s="6" t="s">
        <v>1997</v>
      </c>
      <c r="B1835" s="6" t="s">
        <v>69</v>
      </c>
      <c r="C1835" s="6" t="s">
        <v>99</v>
      </c>
      <c r="D1835" s="6" t="s">
        <v>319</v>
      </c>
      <c r="E1835" s="6" t="s">
        <v>120</v>
      </c>
      <c r="F1835" s="7">
        <v>52</v>
      </c>
      <c r="G1835" s="7">
        <v>6500</v>
      </c>
      <c r="H1835" s="16">
        <v>45212</v>
      </c>
      <c r="I1835" s="6">
        <v>41</v>
      </c>
      <c r="J1835" s="6" t="s">
        <v>121</v>
      </c>
      <c r="K1835" s="6" t="s">
        <v>347</v>
      </c>
      <c r="L1835" s="11">
        <f>F1835*Controls!$B$6</f>
        <v>52</v>
      </c>
      <c r="M1835" s="11">
        <f>G1835*Controls!$B$6</f>
        <v>6500</v>
      </c>
      <c r="N1835" s="12">
        <f>IF(L1835=0,0,SUMIFS('PSI Plan'!$N$6:$N$173,'PSI Plan'!$B$6:$B$173,B1835,'PSI Plan'!$C$6:$C$173,I1835))</f>
        <v>0</v>
      </c>
      <c r="O1835" s="11">
        <f t="shared" si="56"/>
        <v>0</v>
      </c>
      <c r="P1835" s="11">
        <f t="shared" si="57"/>
        <v>0</v>
      </c>
      <c r="Q1835" s="6"/>
      <c r="R1835" s="6"/>
      <c r="S1835" s="6"/>
      <c r="T1835" s="6"/>
    </row>
    <row r="1836" spans="1:20">
      <c r="A1836" s="6" t="s">
        <v>1998</v>
      </c>
      <c r="B1836" s="6" t="s">
        <v>66</v>
      </c>
      <c r="C1836" s="6" t="s">
        <v>90</v>
      </c>
      <c r="D1836" s="6" t="s">
        <v>119</v>
      </c>
      <c r="E1836" s="6" t="s">
        <v>120</v>
      </c>
      <c r="F1836" s="7">
        <v>13</v>
      </c>
      <c r="G1836" s="7">
        <v>1625</v>
      </c>
      <c r="H1836" s="16">
        <v>45224</v>
      </c>
      <c r="I1836" s="6">
        <v>43</v>
      </c>
      <c r="J1836" s="6" t="s">
        <v>1791</v>
      </c>
      <c r="K1836" s="6" t="s">
        <v>1890</v>
      </c>
      <c r="L1836" s="11">
        <f>F1836*Controls!$B$6</f>
        <v>13</v>
      </c>
      <c r="M1836" s="11">
        <f>G1836*Controls!$B$6</f>
        <v>1625</v>
      </c>
      <c r="N1836" s="12">
        <f>IF(L1836=0,0,SUMIFS('PSI Plan'!$N$6:$N$173,'PSI Plan'!$B$6:$B$173,B1836,'PSI Plan'!$C$6:$C$173,I1836))</f>
        <v>0</v>
      </c>
      <c r="O1836" s="11">
        <f t="shared" si="56"/>
        <v>0</v>
      </c>
      <c r="P1836" s="11">
        <f t="shared" si="57"/>
        <v>0</v>
      </c>
      <c r="Q1836" s="6"/>
      <c r="R1836" s="6"/>
      <c r="S1836" s="6"/>
      <c r="T1836" s="6"/>
    </row>
    <row r="1837" spans="1:20">
      <c r="A1837" s="6" t="s">
        <v>1999</v>
      </c>
      <c r="B1837" s="6" t="s">
        <v>66</v>
      </c>
      <c r="C1837" s="6" t="s">
        <v>90</v>
      </c>
      <c r="D1837" s="6" t="s">
        <v>119</v>
      </c>
      <c r="E1837" s="6" t="s">
        <v>120</v>
      </c>
      <c r="F1837" s="7">
        <v>26</v>
      </c>
      <c r="G1837" s="7">
        <v>3250</v>
      </c>
      <c r="H1837" s="16">
        <v>45253</v>
      </c>
      <c r="I1837" s="6">
        <v>47</v>
      </c>
      <c r="J1837" s="6" t="s">
        <v>1791</v>
      </c>
      <c r="K1837" s="6" t="s">
        <v>1890</v>
      </c>
      <c r="L1837" s="11">
        <f>F1837*Controls!$B$6</f>
        <v>26</v>
      </c>
      <c r="M1837" s="11">
        <f>G1837*Controls!$B$6</f>
        <v>3250</v>
      </c>
      <c r="N1837" s="12">
        <f>IF(L1837=0,0,SUMIFS('PSI Plan'!$N$6:$N$173,'PSI Plan'!$B$6:$B$173,B1837,'PSI Plan'!$C$6:$C$173,I1837))</f>
        <v>0</v>
      </c>
      <c r="O1837" s="11">
        <f t="shared" si="56"/>
        <v>0</v>
      </c>
      <c r="P1837" s="11">
        <f t="shared" si="57"/>
        <v>0</v>
      </c>
      <c r="Q1837" s="6"/>
      <c r="R1837" s="6"/>
      <c r="S1837" s="6"/>
      <c r="T1837" s="6"/>
    </row>
    <row r="1838" spans="1:20">
      <c r="A1838" s="6" t="s">
        <v>2000</v>
      </c>
      <c r="B1838" s="6" t="s">
        <v>76</v>
      </c>
      <c r="C1838" s="6" t="s">
        <v>90</v>
      </c>
      <c r="D1838" s="6" t="s">
        <v>119</v>
      </c>
      <c r="E1838" s="6" t="s">
        <v>120</v>
      </c>
      <c r="F1838" s="7">
        <v>26</v>
      </c>
      <c r="G1838" s="7">
        <v>3250</v>
      </c>
      <c r="H1838" s="16">
        <v>45232</v>
      </c>
      <c r="I1838" s="6">
        <v>44</v>
      </c>
      <c r="J1838" s="6" t="s">
        <v>1791</v>
      </c>
      <c r="K1838" s="6" t="s">
        <v>1890</v>
      </c>
      <c r="L1838" s="11">
        <f>F1838*Controls!$B$6</f>
        <v>26</v>
      </c>
      <c r="M1838" s="11">
        <f>G1838*Controls!$B$6</f>
        <v>3250</v>
      </c>
      <c r="N1838" s="12">
        <f>IF(L1838=0,0,SUMIFS('PSI Plan'!$N$6:$N$173,'PSI Plan'!$B$6:$B$173,B1838,'PSI Plan'!$C$6:$C$173,I1838))</f>
        <v>0</v>
      </c>
      <c r="O1838" s="11">
        <f t="shared" si="56"/>
        <v>0</v>
      </c>
      <c r="P1838" s="11">
        <f t="shared" si="57"/>
        <v>0</v>
      </c>
      <c r="Q1838" s="6"/>
      <c r="R1838" s="6"/>
      <c r="S1838" s="6"/>
      <c r="T1838" s="6"/>
    </row>
    <row r="1839" spans="1:20">
      <c r="A1839" s="6" t="s">
        <v>2001</v>
      </c>
      <c r="B1839" s="6" t="s">
        <v>67</v>
      </c>
      <c r="C1839" s="6" t="s">
        <v>90</v>
      </c>
      <c r="D1839" s="6" t="s">
        <v>119</v>
      </c>
      <c r="E1839" s="6" t="s">
        <v>120</v>
      </c>
      <c r="F1839" s="7">
        <v>26</v>
      </c>
      <c r="G1839" s="7">
        <v>3250</v>
      </c>
      <c r="H1839" s="16">
        <v>45225</v>
      </c>
      <c r="I1839" s="6">
        <v>43</v>
      </c>
      <c r="J1839" s="6" t="s">
        <v>1791</v>
      </c>
      <c r="K1839" s="6" t="s">
        <v>1890</v>
      </c>
      <c r="L1839" s="11">
        <f>F1839*Controls!$B$6</f>
        <v>26</v>
      </c>
      <c r="M1839" s="11">
        <f>G1839*Controls!$B$6</f>
        <v>3250</v>
      </c>
      <c r="N1839" s="12">
        <f>IF(L1839=0,0,SUMIFS('PSI Plan'!$N$6:$N$173,'PSI Plan'!$B$6:$B$173,B1839,'PSI Plan'!$C$6:$C$173,I1839))</f>
        <v>0</v>
      </c>
      <c r="O1839" s="11">
        <f t="shared" si="56"/>
        <v>0</v>
      </c>
      <c r="P1839" s="11">
        <f t="shared" si="57"/>
        <v>0</v>
      </c>
      <c r="Q1839" s="6"/>
      <c r="R1839" s="6"/>
      <c r="S1839" s="6"/>
      <c r="T1839" s="6"/>
    </row>
    <row r="1840" spans="1:20">
      <c r="A1840" s="6" t="s">
        <v>2002</v>
      </c>
      <c r="B1840" s="6" t="s">
        <v>66</v>
      </c>
      <c r="C1840" s="6" t="s">
        <v>90</v>
      </c>
      <c r="D1840" s="6" t="s">
        <v>119</v>
      </c>
      <c r="E1840" s="6" t="s">
        <v>120</v>
      </c>
      <c r="F1840" s="7">
        <v>26</v>
      </c>
      <c r="G1840" s="7">
        <v>3250</v>
      </c>
      <c r="H1840" s="16">
        <v>45272</v>
      </c>
      <c r="I1840" s="6">
        <v>50</v>
      </c>
      <c r="J1840" s="6" t="s">
        <v>121</v>
      </c>
      <c r="K1840" s="6" t="s">
        <v>122</v>
      </c>
      <c r="L1840" s="11">
        <f>F1840*Controls!$B$6</f>
        <v>26</v>
      </c>
      <c r="M1840" s="11">
        <f>G1840*Controls!$B$6</f>
        <v>3250</v>
      </c>
      <c r="N1840" s="12">
        <f>IF(L1840=0,0,SUMIFS('PSI Plan'!$N$6:$N$173,'PSI Plan'!$B$6:$B$173,B1840,'PSI Plan'!$C$6:$C$173,I1840))</f>
        <v>0</v>
      </c>
      <c r="O1840" s="11">
        <f t="shared" si="56"/>
        <v>0</v>
      </c>
      <c r="P1840" s="11">
        <f t="shared" si="57"/>
        <v>0</v>
      </c>
      <c r="Q1840" s="6"/>
      <c r="R1840" s="6"/>
      <c r="S1840" s="6"/>
      <c r="T1840" s="6"/>
    </row>
    <row r="1841" spans="1:20">
      <c r="A1841" s="6" t="s">
        <v>2003</v>
      </c>
      <c r="B1841" s="6" t="s">
        <v>76</v>
      </c>
      <c r="C1841" s="6" t="s">
        <v>90</v>
      </c>
      <c r="D1841" s="6" t="s">
        <v>119</v>
      </c>
      <c r="E1841" s="6" t="s">
        <v>120</v>
      </c>
      <c r="F1841" s="7">
        <v>26</v>
      </c>
      <c r="G1841" s="7">
        <v>3250</v>
      </c>
      <c r="H1841" s="16">
        <v>45224</v>
      </c>
      <c r="I1841" s="6">
        <v>43</v>
      </c>
      <c r="J1841" s="6" t="s">
        <v>121</v>
      </c>
      <c r="K1841" s="6" t="s">
        <v>122</v>
      </c>
      <c r="L1841" s="11">
        <f>F1841*Controls!$B$6</f>
        <v>26</v>
      </c>
      <c r="M1841" s="11">
        <f>G1841*Controls!$B$6</f>
        <v>3250</v>
      </c>
      <c r="N1841" s="12">
        <f>IF(L1841=0,0,SUMIFS('PSI Plan'!$N$6:$N$173,'PSI Plan'!$B$6:$B$173,B1841,'PSI Plan'!$C$6:$C$173,I1841))</f>
        <v>0</v>
      </c>
      <c r="O1841" s="11">
        <f t="shared" si="56"/>
        <v>0</v>
      </c>
      <c r="P1841" s="11">
        <f t="shared" si="57"/>
        <v>0</v>
      </c>
      <c r="Q1841" s="6"/>
      <c r="R1841" s="6"/>
      <c r="S1841" s="6"/>
      <c r="T1841" s="6"/>
    </row>
    <row r="1842" spans="1:20">
      <c r="A1842" s="6" t="s">
        <v>2004</v>
      </c>
      <c r="B1842" s="6" t="s">
        <v>69</v>
      </c>
      <c r="C1842" s="6" t="s">
        <v>90</v>
      </c>
      <c r="D1842" s="6" t="s">
        <v>119</v>
      </c>
      <c r="E1842" s="6" t="s">
        <v>120</v>
      </c>
      <c r="F1842" s="7">
        <v>26</v>
      </c>
      <c r="G1842" s="7">
        <v>3250</v>
      </c>
      <c r="H1842" s="16">
        <v>45266</v>
      </c>
      <c r="I1842" s="6">
        <v>49</v>
      </c>
      <c r="J1842" s="6" t="s">
        <v>121</v>
      </c>
      <c r="K1842" s="6" t="s">
        <v>122</v>
      </c>
      <c r="L1842" s="11">
        <f>F1842*Controls!$B$6</f>
        <v>26</v>
      </c>
      <c r="M1842" s="11">
        <f>G1842*Controls!$B$6</f>
        <v>3250</v>
      </c>
      <c r="N1842" s="12">
        <f>IF(L1842=0,0,SUMIFS('PSI Plan'!$N$6:$N$173,'PSI Plan'!$B$6:$B$173,B1842,'PSI Plan'!$C$6:$C$173,I1842))</f>
        <v>0</v>
      </c>
      <c r="O1842" s="11">
        <f t="shared" si="56"/>
        <v>0</v>
      </c>
      <c r="P1842" s="11">
        <f t="shared" si="57"/>
        <v>0</v>
      </c>
      <c r="Q1842" s="6"/>
      <c r="R1842" s="6"/>
      <c r="S1842" s="6"/>
      <c r="T1842" s="6"/>
    </row>
    <row r="1843" spans="1:20">
      <c r="A1843" s="6" t="s">
        <v>2005</v>
      </c>
      <c r="B1843" s="6" t="s">
        <v>66</v>
      </c>
      <c r="C1843" s="6" t="s">
        <v>90</v>
      </c>
      <c r="D1843" s="6" t="s">
        <v>119</v>
      </c>
      <c r="E1843" s="6" t="s">
        <v>120</v>
      </c>
      <c r="F1843" s="7">
        <v>13</v>
      </c>
      <c r="G1843" s="7">
        <v>1625</v>
      </c>
      <c r="H1843" s="16">
        <v>45234</v>
      </c>
      <c r="I1843" s="6">
        <v>44</v>
      </c>
      <c r="J1843" s="6" t="s">
        <v>121</v>
      </c>
      <c r="K1843" s="6" t="s">
        <v>171</v>
      </c>
      <c r="L1843" s="11">
        <f>F1843*Controls!$B$6</f>
        <v>13</v>
      </c>
      <c r="M1843" s="11">
        <f>G1843*Controls!$B$6</f>
        <v>1625</v>
      </c>
      <c r="N1843" s="12">
        <f>IF(L1843=0,0,SUMIFS('PSI Plan'!$N$6:$N$173,'PSI Plan'!$B$6:$B$173,B1843,'PSI Plan'!$C$6:$C$173,I1843))</f>
        <v>0</v>
      </c>
      <c r="O1843" s="11">
        <f t="shared" si="56"/>
        <v>0</v>
      </c>
      <c r="P1843" s="11">
        <f t="shared" si="57"/>
        <v>0</v>
      </c>
      <c r="Q1843" s="6"/>
      <c r="R1843" s="6"/>
      <c r="S1843" s="6"/>
      <c r="T1843" s="6"/>
    </row>
    <row r="1844" spans="1:20">
      <c r="A1844" s="6" t="s">
        <v>2006</v>
      </c>
      <c r="B1844" s="6" t="s">
        <v>77</v>
      </c>
      <c r="C1844" s="6" t="s">
        <v>90</v>
      </c>
      <c r="D1844" s="6" t="s">
        <v>119</v>
      </c>
      <c r="E1844" s="6" t="s">
        <v>120</v>
      </c>
      <c r="F1844" s="7">
        <v>13</v>
      </c>
      <c r="G1844" s="7">
        <v>1625</v>
      </c>
      <c r="H1844" s="16">
        <v>45246</v>
      </c>
      <c r="I1844" s="6">
        <v>46</v>
      </c>
      <c r="J1844" s="6" t="s">
        <v>121</v>
      </c>
      <c r="K1844" s="6" t="s">
        <v>171</v>
      </c>
      <c r="L1844" s="11">
        <f>F1844*Controls!$B$6</f>
        <v>13</v>
      </c>
      <c r="M1844" s="11">
        <f>G1844*Controls!$B$6</f>
        <v>1625</v>
      </c>
      <c r="N1844" s="12">
        <f>IF(L1844=0,0,SUMIFS('PSI Plan'!$N$6:$N$173,'PSI Plan'!$B$6:$B$173,B1844,'PSI Plan'!$C$6:$C$173,I1844))</f>
        <v>0</v>
      </c>
      <c r="O1844" s="11">
        <f t="shared" si="56"/>
        <v>0</v>
      </c>
      <c r="P1844" s="11">
        <f t="shared" si="57"/>
        <v>0</v>
      </c>
      <c r="Q1844" s="6"/>
      <c r="R1844" s="6"/>
      <c r="S1844" s="6"/>
      <c r="T1844" s="6"/>
    </row>
    <row r="1845" spans="1:20">
      <c r="A1845" s="6" t="s">
        <v>2007</v>
      </c>
      <c r="B1845" s="6" t="s">
        <v>69</v>
      </c>
      <c r="C1845" s="6" t="s">
        <v>90</v>
      </c>
      <c r="D1845" s="6" t="s">
        <v>119</v>
      </c>
      <c r="E1845" s="6" t="s">
        <v>120</v>
      </c>
      <c r="F1845" s="7">
        <v>26</v>
      </c>
      <c r="G1845" s="7">
        <v>3250</v>
      </c>
      <c r="H1845" s="16">
        <v>45225</v>
      </c>
      <c r="I1845" s="6">
        <v>43</v>
      </c>
      <c r="J1845" s="6" t="s">
        <v>121</v>
      </c>
      <c r="K1845" s="6" t="s">
        <v>171</v>
      </c>
      <c r="L1845" s="11">
        <f>F1845*Controls!$B$6</f>
        <v>26</v>
      </c>
      <c r="M1845" s="11">
        <f>G1845*Controls!$B$6</f>
        <v>3250</v>
      </c>
      <c r="N1845" s="12">
        <f>IF(L1845=0,0,SUMIFS('PSI Plan'!$N$6:$N$173,'PSI Plan'!$B$6:$B$173,B1845,'PSI Plan'!$C$6:$C$173,I1845))</f>
        <v>0</v>
      </c>
      <c r="O1845" s="11">
        <f t="shared" si="56"/>
        <v>0</v>
      </c>
      <c r="P1845" s="11">
        <f t="shared" si="57"/>
        <v>0</v>
      </c>
      <c r="Q1845" s="6"/>
      <c r="R1845" s="6"/>
      <c r="S1845" s="6"/>
      <c r="T1845" s="6"/>
    </row>
    <row r="1846" spans="1:20">
      <c r="A1846" s="6" t="s">
        <v>2008</v>
      </c>
      <c r="B1846" s="6" t="s">
        <v>66</v>
      </c>
      <c r="C1846" s="6" t="s">
        <v>90</v>
      </c>
      <c r="D1846" s="6" t="s">
        <v>119</v>
      </c>
      <c r="E1846" s="6" t="s">
        <v>120</v>
      </c>
      <c r="F1846" s="7">
        <v>13</v>
      </c>
      <c r="G1846" s="7">
        <v>1625</v>
      </c>
      <c r="H1846" s="16">
        <v>45274</v>
      </c>
      <c r="I1846" s="6">
        <v>50</v>
      </c>
      <c r="J1846" s="6" t="s">
        <v>121</v>
      </c>
      <c r="K1846" s="6" t="s">
        <v>298</v>
      </c>
      <c r="L1846" s="11">
        <f>F1846*Controls!$B$6</f>
        <v>13</v>
      </c>
      <c r="M1846" s="11">
        <f>G1846*Controls!$B$6</f>
        <v>1625</v>
      </c>
      <c r="N1846" s="12">
        <f>IF(L1846=0,0,SUMIFS('PSI Plan'!$N$6:$N$173,'PSI Plan'!$B$6:$B$173,B1846,'PSI Plan'!$C$6:$C$173,I1846))</f>
        <v>0</v>
      </c>
      <c r="O1846" s="11">
        <f t="shared" si="56"/>
        <v>0</v>
      </c>
      <c r="P1846" s="11">
        <f t="shared" si="57"/>
        <v>0</v>
      </c>
      <c r="Q1846" s="6"/>
      <c r="R1846" s="6"/>
      <c r="S1846" s="6"/>
      <c r="T1846" s="6"/>
    </row>
    <row r="1847" spans="1:20">
      <c r="A1847" s="6" t="s">
        <v>2009</v>
      </c>
      <c r="B1847" s="6" t="s">
        <v>69</v>
      </c>
      <c r="C1847" s="6" t="s">
        <v>90</v>
      </c>
      <c r="D1847" s="6" t="s">
        <v>119</v>
      </c>
      <c r="E1847" s="6" t="s">
        <v>120</v>
      </c>
      <c r="F1847" s="7">
        <v>26</v>
      </c>
      <c r="G1847" s="7">
        <v>3250</v>
      </c>
      <c r="H1847" s="16">
        <v>45245</v>
      </c>
      <c r="I1847" s="6">
        <v>46</v>
      </c>
      <c r="J1847" s="6" t="s">
        <v>121</v>
      </c>
      <c r="K1847" s="6" t="s">
        <v>298</v>
      </c>
      <c r="L1847" s="11">
        <f>F1847*Controls!$B$6</f>
        <v>26</v>
      </c>
      <c r="M1847" s="11">
        <f>G1847*Controls!$B$6</f>
        <v>3250</v>
      </c>
      <c r="N1847" s="12">
        <f>IF(L1847=0,0,SUMIFS('PSI Plan'!$N$6:$N$173,'PSI Plan'!$B$6:$B$173,B1847,'PSI Plan'!$C$6:$C$173,I1847))</f>
        <v>0</v>
      </c>
      <c r="O1847" s="11">
        <f t="shared" si="56"/>
        <v>0</v>
      </c>
      <c r="P1847" s="11">
        <f t="shared" si="57"/>
        <v>0</v>
      </c>
      <c r="Q1847" s="6"/>
      <c r="R1847" s="6"/>
      <c r="S1847" s="6"/>
      <c r="T1847" s="6"/>
    </row>
    <row r="1848" spans="1:20">
      <c r="A1848" s="6" t="s">
        <v>2010</v>
      </c>
      <c r="B1848" s="6" t="s">
        <v>66</v>
      </c>
      <c r="C1848" s="6" t="s">
        <v>90</v>
      </c>
      <c r="D1848" s="6" t="s">
        <v>119</v>
      </c>
      <c r="E1848" s="6" t="s">
        <v>120</v>
      </c>
      <c r="F1848" s="7">
        <v>13</v>
      </c>
      <c r="G1848" s="7">
        <v>1625</v>
      </c>
      <c r="H1848" s="16">
        <v>45280</v>
      </c>
      <c r="I1848" s="6">
        <v>51</v>
      </c>
      <c r="J1848" s="6" t="s">
        <v>1791</v>
      </c>
      <c r="K1848" s="6" t="s">
        <v>1890</v>
      </c>
      <c r="L1848" s="11">
        <f>F1848*Controls!$B$6</f>
        <v>13</v>
      </c>
      <c r="M1848" s="11">
        <f>G1848*Controls!$B$6</f>
        <v>1625</v>
      </c>
      <c r="N1848" s="12">
        <f>IF(L1848=0,0,SUMIFS('PSI Plan'!$N$6:$N$173,'PSI Plan'!$B$6:$B$173,B1848,'PSI Plan'!$C$6:$C$173,I1848))</f>
        <v>0</v>
      </c>
      <c r="O1848" s="11">
        <f t="shared" si="56"/>
        <v>0</v>
      </c>
      <c r="P1848" s="11">
        <f t="shared" si="57"/>
        <v>0</v>
      </c>
      <c r="Q1848" s="6"/>
      <c r="R1848" s="6"/>
      <c r="S1848" s="6"/>
      <c r="T1848" s="6"/>
    </row>
    <row r="1849" spans="1:20">
      <c r="A1849" s="6" t="s">
        <v>2011</v>
      </c>
      <c r="B1849" s="6" t="s">
        <v>66</v>
      </c>
      <c r="C1849" s="6" t="s">
        <v>90</v>
      </c>
      <c r="D1849" s="6" t="s">
        <v>119</v>
      </c>
      <c r="E1849" s="6" t="s">
        <v>120</v>
      </c>
      <c r="F1849" s="7">
        <v>26</v>
      </c>
      <c r="G1849" s="7">
        <v>3250</v>
      </c>
      <c r="H1849" s="16">
        <v>45229</v>
      </c>
      <c r="I1849" s="6">
        <v>44</v>
      </c>
      <c r="J1849" s="6" t="s">
        <v>1791</v>
      </c>
      <c r="K1849" s="6" t="s">
        <v>1890</v>
      </c>
      <c r="L1849" s="11">
        <f>F1849*Controls!$B$6</f>
        <v>26</v>
      </c>
      <c r="M1849" s="11">
        <f>G1849*Controls!$B$6</f>
        <v>3250</v>
      </c>
      <c r="N1849" s="12">
        <f>IF(L1849=0,0,SUMIFS('PSI Plan'!$N$6:$N$173,'PSI Plan'!$B$6:$B$173,B1849,'PSI Plan'!$C$6:$C$173,I1849))</f>
        <v>0</v>
      </c>
      <c r="O1849" s="11">
        <f t="shared" si="56"/>
        <v>0</v>
      </c>
      <c r="P1849" s="11">
        <f t="shared" si="57"/>
        <v>0</v>
      </c>
      <c r="Q1849" s="6"/>
      <c r="R1849" s="6"/>
      <c r="S1849" s="6"/>
      <c r="T1849" s="6"/>
    </row>
    <row r="1850" spans="1:20">
      <c r="A1850" s="6" t="s">
        <v>2012</v>
      </c>
      <c r="B1850" s="6" t="s">
        <v>76</v>
      </c>
      <c r="C1850" s="6" t="s">
        <v>90</v>
      </c>
      <c r="D1850" s="6" t="s">
        <v>119</v>
      </c>
      <c r="E1850" s="6" t="s">
        <v>120</v>
      </c>
      <c r="F1850" s="7">
        <v>26</v>
      </c>
      <c r="G1850" s="7">
        <v>3250</v>
      </c>
      <c r="H1850" s="16">
        <v>45264</v>
      </c>
      <c r="I1850" s="6">
        <v>49</v>
      </c>
      <c r="J1850" s="6" t="s">
        <v>1791</v>
      </c>
      <c r="K1850" s="6" t="s">
        <v>1890</v>
      </c>
      <c r="L1850" s="11">
        <f>F1850*Controls!$B$6</f>
        <v>26</v>
      </c>
      <c r="M1850" s="11">
        <f>G1850*Controls!$B$6</f>
        <v>3250</v>
      </c>
      <c r="N1850" s="12">
        <f>IF(L1850=0,0,SUMIFS('PSI Plan'!$N$6:$N$173,'PSI Plan'!$B$6:$B$173,B1850,'PSI Plan'!$C$6:$C$173,I1850))</f>
        <v>0</v>
      </c>
      <c r="O1850" s="11">
        <f t="shared" si="56"/>
        <v>0</v>
      </c>
      <c r="P1850" s="11">
        <f t="shared" si="57"/>
        <v>0</v>
      </c>
      <c r="Q1850" s="6"/>
      <c r="R1850" s="6"/>
      <c r="S1850" s="6"/>
      <c r="T1850" s="6"/>
    </row>
    <row r="1851" spans="1:20">
      <c r="A1851" s="6" t="s">
        <v>2013</v>
      </c>
      <c r="B1851" s="6" t="s">
        <v>67</v>
      </c>
      <c r="C1851" s="6" t="s">
        <v>90</v>
      </c>
      <c r="D1851" s="6" t="s">
        <v>119</v>
      </c>
      <c r="E1851" s="6" t="s">
        <v>120</v>
      </c>
      <c r="F1851" s="7">
        <v>13</v>
      </c>
      <c r="G1851" s="7">
        <v>1625</v>
      </c>
      <c r="H1851" s="16">
        <v>45275</v>
      </c>
      <c r="I1851" s="6">
        <v>50</v>
      </c>
      <c r="J1851" s="6" t="s">
        <v>1791</v>
      </c>
      <c r="K1851" s="6" t="s">
        <v>1890</v>
      </c>
      <c r="L1851" s="11">
        <f>F1851*Controls!$B$6</f>
        <v>13</v>
      </c>
      <c r="M1851" s="11">
        <f>G1851*Controls!$B$6</f>
        <v>1625</v>
      </c>
      <c r="N1851" s="12">
        <f>IF(L1851=0,0,SUMIFS('PSI Plan'!$N$6:$N$173,'PSI Plan'!$B$6:$B$173,B1851,'PSI Plan'!$C$6:$C$173,I1851))</f>
        <v>0</v>
      </c>
      <c r="O1851" s="11">
        <f t="shared" si="56"/>
        <v>0</v>
      </c>
      <c r="P1851" s="11">
        <f t="shared" si="57"/>
        <v>0</v>
      </c>
      <c r="Q1851" s="6"/>
      <c r="R1851" s="6"/>
      <c r="S1851" s="6"/>
      <c r="T1851" s="6"/>
    </row>
    <row r="1852" spans="1:20">
      <c r="A1852" s="6" t="s">
        <v>2014</v>
      </c>
      <c r="B1852" s="6" t="s">
        <v>66</v>
      </c>
      <c r="C1852" s="6" t="s">
        <v>90</v>
      </c>
      <c r="D1852" s="6" t="s">
        <v>119</v>
      </c>
      <c r="E1852" s="6" t="s">
        <v>120</v>
      </c>
      <c r="F1852" s="7">
        <v>26</v>
      </c>
      <c r="G1852" s="7">
        <v>3250</v>
      </c>
      <c r="H1852" s="16">
        <v>45271</v>
      </c>
      <c r="I1852" s="6">
        <v>50</v>
      </c>
      <c r="J1852" s="6" t="s">
        <v>121</v>
      </c>
      <c r="K1852" s="6" t="s">
        <v>122</v>
      </c>
      <c r="L1852" s="11">
        <f>F1852*Controls!$B$6</f>
        <v>26</v>
      </c>
      <c r="M1852" s="11">
        <f>G1852*Controls!$B$6</f>
        <v>3250</v>
      </c>
      <c r="N1852" s="12">
        <f>IF(L1852=0,0,SUMIFS('PSI Plan'!$N$6:$N$173,'PSI Plan'!$B$6:$B$173,B1852,'PSI Plan'!$C$6:$C$173,I1852))</f>
        <v>0</v>
      </c>
      <c r="O1852" s="11">
        <f t="shared" si="56"/>
        <v>0</v>
      </c>
      <c r="P1852" s="11">
        <f t="shared" si="57"/>
        <v>0</v>
      </c>
      <c r="Q1852" s="6"/>
      <c r="R1852" s="6"/>
      <c r="S1852" s="6"/>
      <c r="T1852" s="6"/>
    </row>
    <row r="1853" spans="1:20">
      <c r="A1853" s="6" t="s">
        <v>2015</v>
      </c>
      <c r="B1853" s="6" t="s">
        <v>76</v>
      </c>
      <c r="C1853" s="6" t="s">
        <v>90</v>
      </c>
      <c r="D1853" s="6" t="s">
        <v>119</v>
      </c>
      <c r="E1853" s="6" t="s">
        <v>120</v>
      </c>
      <c r="F1853" s="7">
        <v>26</v>
      </c>
      <c r="G1853" s="7">
        <v>3250</v>
      </c>
      <c r="H1853" s="16">
        <v>45255</v>
      </c>
      <c r="I1853" s="6">
        <v>47</v>
      </c>
      <c r="J1853" s="6" t="s">
        <v>121</v>
      </c>
      <c r="K1853" s="6" t="s">
        <v>122</v>
      </c>
      <c r="L1853" s="11">
        <f>F1853*Controls!$B$6</f>
        <v>26</v>
      </c>
      <c r="M1853" s="11">
        <f>G1853*Controls!$B$6</f>
        <v>3250</v>
      </c>
      <c r="N1853" s="12">
        <f>IF(L1853=0,0,SUMIFS('PSI Plan'!$N$6:$N$173,'PSI Plan'!$B$6:$B$173,B1853,'PSI Plan'!$C$6:$C$173,I1853))</f>
        <v>0</v>
      </c>
      <c r="O1853" s="11">
        <f t="shared" si="56"/>
        <v>0</v>
      </c>
      <c r="P1853" s="11">
        <f t="shared" si="57"/>
        <v>0</v>
      </c>
      <c r="Q1853" s="6"/>
      <c r="R1853" s="6"/>
      <c r="S1853" s="6"/>
      <c r="T1853" s="6"/>
    </row>
    <row r="1854" spans="1:20">
      <c r="A1854" s="6" t="s">
        <v>2016</v>
      </c>
      <c r="B1854" s="6" t="s">
        <v>67</v>
      </c>
      <c r="C1854" s="6" t="s">
        <v>90</v>
      </c>
      <c r="D1854" s="6" t="s">
        <v>119</v>
      </c>
      <c r="E1854" s="6" t="s">
        <v>120</v>
      </c>
      <c r="F1854" s="7">
        <v>13</v>
      </c>
      <c r="G1854" s="7">
        <v>1625</v>
      </c>
      <c r="H1854" s="16">
        <v>45201</v>
      </c>
      <c r="I1854" s="6">
        <v>40</v>
      </c>
      <c r="J1854" s="6" t="s">
        <v>121</v>
      </c>
      <c r="K1854" s="6" t="s">
        <v>122</v>
      </c>
      <c r="L1854" s="11">
        <f>F1854*Controls!$B$6</f>
        <v>13</v>
      </c>
      <c r="M1854" s="11">
        <f>G1854*Controls!$B$6</f>
        <v>1625</v>
      </c>
      <c r="N1854" s="12">
        <f>IF(L1854=0,0,SUMIFS('PSI Plan'!$N$6:$N$173,'PSI Plan'!$B$6:$B$173,B1854,'PSI Plan'!$C$6:$C$173,I1854))</f>
        <v>0</v>
      </c>
      <c r="O1854" s="11">
        <f t="shared" si="56"/>
        <v>0</v>
      </c>
      <c r="P1854" s="11">
        <f t="shared" si="57"/>
        <v>0</v>
      </c>
      <c r="Q1854" s="6"/>
      <c r="R1854" s="6"/>
      <c r="S1854" s="6"/>
      <c r="T1854" s="6"/>
    </row>
    <row r="1855" spans="1:20">
      <c r="A1855" s="6" t="s">
        <v>2017</v>
      </c>
      <c r="B1855" s="6" t="s">
        <v>69</v>
      </c>
      <c r="C1855" s="6" t="s">
        <v>90</v>
      </c>
      <c r="D1855" s="6" t="s">
        <v>119</v>
      </c>
      <c r="E1855" s="6" t="s">
        <v>120</v>
      </c>
      <c r="F1855" s="7">
        <v>52</v>
      </c>
      <c r="G1855" s="7">
        <v>6500</v>
      </c>
      <c r="H1855" s="16">
        <v>45233</v>
      </c>
      <c r="I1855" s="6">
        <v>44</v>
      </c>
      <c r="J1855" s="6" t="s">
        <v>121</v>
      </c>
      <c r="K1855" s="6" t="s">
        <v>122</v>
      </c>
      <c r="L1855" s="11">
        <f>F1855*Controls!$B$6</f>
        <v>52</v>
      </c>
      <c r="M1855" s="11">
        <f>G1855*Controls!$B$6</f>
        <v>6500</v>
      </c>
      <c r="N1855" s="12">
        <f>IF(L1855=0,0,SUMIFS('PSI Plan'!$N$6:$N$173,'PSI Plan'!$B$6:$B$173,B1855,'PSI Plan'!$C$6:$C$173,I1855))</f>
        <v>0</v>
      </c>
      <c r="O1855" s="11">
        <f t="shared" si="56"/>
        <v>0</v>
      </c>
      <c r="P1855" s="11">
        <f t="shared" si="57"/>
        <v>0</v>
      </c>
      <c r="Q1855" s="6"/>
      <c r="R1855" s="6"/>
      <c r="S1855" s="6"/>
      <c r="T1855" s="6"/>
    </row>
    <row r="1856" spans="1:20">
      <c r="A1856" s="6" t="s">
        <v>2018</v>
      </c>
      <c r="B1856" s="6" t="s">
        <v>66</v>
      </c>
      <c r="C1856" s="6" t="s">
        <v>90</v>
      </c>
      <c r="D1856" s="6" t="s">
        <v>119</v>
      </c>
      <c r="E1856" s="6" t="s">
        <v>120</v>
      </c>
      <c r="F1856" s="7">
        <v>13</v>
      </c>
      <c r="G1856" s="7">
        <v>1625</v>
      </c>
      <c r="H1856" s="16">
        <v>45213</v>
      </c>
      <c r="I1856" s="6">
        <v>41</v>
      </c>
      <c r="J1856" s="6" t="s">
        <v>121</v>
      </c>
      <c r="K1856" s="6" t="s">
        <v>169</v>
      </c>
      <c r="L1856" s="11">
        <f>F1856*Controls!$B$6</f>
        <v>13</v>
      </c>
      <c r="M1856" s="11">
        <f>G1856*Controls!$B$6</f>
        <v>1625</v>
      </c>
      <c r="N1856" s="12">
        <f>IF(L1856=0,0,SUMIFS('PSI Plan'!$N$6:$N$173,'PSI Plan'!$B$6:$B$173,B1856,'PSI Plan'!$C$6:$C$173,I1856))</f>
        <v>0.22897465437788017</v>
      </c>
      <c r="O1856" s="11">
        <f t="shared" si="56"/>
        <v>2.9766705069124422</v>
      </c>
      <c r="P1856" s="11">
        <f t="shared" si="57"/>
        <v>372.08381336405529</v>
      </c>
      <c r="Q1856" s="6"/>
      <c r="R1856" s="6"/>
      <c r="S1856" s="6"/>
      <c r="T1856" s="6"/>
    </row>
    <row r="1857" spans="1:20">
      <c r="A1857" s="6" t="s">
        <v>2019</v>
      </c>
      <c r="B1857" s="6" t="s">
        <v>77</v>
      </c>
      <c r="C1857" s="6" t="s">
        <v>90</v>
      </c>
      <c r="D1857" s="6" t="s">
        <v>119</v>
      </c>
      <c r="E1857" s="6" t="s">
        <v>120</v>
      </c>
      <c r="F1857" s="7">
        <v>13</v>
      </c>
      <c r="G1857" s="7">
        <v>1625</v>
      </c>
      <c r="H1857" s="16">
        <v>45279</v>
      </c>
      <c r="I1857" s="6">
        <v>51</v>
      </c>
      <c r="J1857" s="6" t="s">
        <v>121</v>
      </c>
      <c r="K1857" s="6" t="s">
        <v>169</v>
      </c>
      <c r="L1857" s="11">
        <f>F1857*Controls!$B$6</f>
        <v>13</v>
      </c>
      <c r="M1857" s="11">
        <f>G1857*Controls!$B$6</f>
        <v>1625</v>
      </c>
      <c r="N1857" s="12">
        <f>IF(L1857=0,0,SUMIFS('PSI Plan'!$N$6:$N$173,'PSI Plan'!$B$6:$B$173,B1857,'PSI Plan'!$C$6:$C$173,I1857))</f>
        <v>0</v>
      </c>
      <c r="O1857" s="11">
        <f t="shared" si="56"/>
        <v>0</v>
      </c>
      <c r="P1857" s="11">
        <f t="shared" si="57"/>
        <v>0</v>
      </c>
      <c r="Q1857" s="6"/>
      <c r="R1857" s="6"/>
      <c r="S1857" s="6"/>
      <c r="T1857" s="6"/>
    </row>
    <row r="1858" spans="1:20">
      <c r="A1858" s="6" t="s">
        <v>2020</v>
      </c>
      <c r="B1858" s="6" t="s">
        <v>69</v>
      </c>
      <c r="C1858" s="6" t="s">
        <v>90</v>
      </c>
      <c r="D1858" s="6" t="s">
        <v>119</v>
      </c>
      <c r="E1858" s="6" t="s">
        <v>120</v>
      </c>
      <c r="F1858" s="7">
        <v>26</v>
      </c>
      <c r="G1858" s="7">
        <v>3250</v>
      </c>
      <c r="H1858" s="16">
        <v>45272</v>
      </c>
      <c r="I1858" s="6">
        <v>50</v>
      </c>
      <c r="J1858" s="6" t="s">
        <v>121</v>
      </c>
      <c r="K1858" s="6" t="s">
        <v>169</v>
      </c>
      <c r="L1858" s="11">
        <f>F1858*Controls!$B$6</f>
        <v>26</v>
      </c>
      <c r="M1858" s="11">
        <f>G1858*Controls!$B$6</f>
        <v>3250</v>
      </c>
      <c r="N1858" s="12">
        <f>IF(L1858=0,0,SUMIFS('PSI Plan'!$N$6:$N$173,'PSI Plan'!$B$6:$B$173,B1858,'PSI Plan'!$C$6:$C$173,I1858))</f>
        <v>0</v>
      </c>
      <c r="O1858" s="11">
        <f t="shared" ref="O1858:O1921" si="58">L1858*N1858</f>
        <v>0</v>
      </c>
      <c r="P1858" s="11">
        <f t="shared" ref="P1858:P1921" si="59">M1858*N1858</f>
        <v>0</v>
      </c>
      <c r="Q1858" s="6"/>
      <c r="R1858" s="6"/>
      <c r="S1858" s="6"/>
      <c r="T1858" s="6"/>
    </row>
    <row r="1859" spans="1:20">
      <c r="A1859" s="6" t="s">
        <v>2021</v>
      </c>
      <c r="B1859" s="6" t="s">
        <v>66</v>
      </c>
      <c r="C1859" s="6" t="s">
        <v>102</v>
      </c>
      <c r="D1859" s="6" t="s">
        <v>1895</v>
      </c>
      <c r="E1859" s="6" t="s">
        <v>120</v>
      </c>
      <c r="F1859" s="7">
        <v>30</v>
      </c>
      <c r="G1859" s="7">
        <v>3750</v>
      </c>
      <c r="H1859" s="16">
        <v>45245</v>
      </c>
      <c r="I1859" s="6">
        <v>46</v>
      </c>
      <c r="J1859" s="6" t="s">
        <v>1791</v>
      </c>
      <c r="K1859" s="6" t="s">
        <v>1896</v>
      </c>
      <c r="L1859" s="11">
        <f>F1859*Controls!$B$6</f>
        <v>30</v>
      </c>
      <c r="M1859" s="11">
        <f>G1859*Controls!$B$6</f>
        <v>3750</v>
      </c>
      <c r="N1859" s="12">
        <f>IF(L1859=0,0,SUMIFS('PSI Plan'!$N$6:$N$173,'PSI Plan'!$B$6:$B$173,B1859,'PSI Plan'!$C$6:$C$173,I1859))</f>
        <v>0</v>
      </c>
      <c r="O1859" s="11">
        <f t="shared" si="58"/>
        <v>0</v>
      </c>
      <c r="P1859" s="11">
        <f t="shared" si="59"/>
        <v>0</v>
      </c>
      <c r="Q1859" s="6"/>
      <c r="R1859" s="6"/>
      <c r="S1859" s="6"/>
      <c r="T1859" s="6"/>
    </row>
    <row r="1860" spans="1:20">
      <c r="A1860" s="6" t="s">
        <v>2022</v>
      </c>
      <c r="B1860" s="6" t="s">
        <v>66</v>
      </c>
      <c r="C1860" s="6" t="s">
        <v>102</v>
      </c>
      <c r="D1860" s="6" t="s">
        <v>1895</v>
      </c>
      <c r="E1860" s="6" t="s">
        <v>120</v>
      </c>
      <c r="F1860" s="7">
        <v>40</v>
      </c>
      <c r="G1860" s="7">
        <v>5000</v>
      </c>
      <c r="H1860" s="16">
        <v>45212</v>
      </c>
      <c r="I1860" s="6">
        <v>41</v>
      </c>
      <c r="J1860" s="6" t="s">
        <v>1791</v>
      </c>
      <c r="K1860" s="6" t="s">
        <v>1896</v>
      </c>
      <c r="L1860" s="11">
        <f>F1860*Controls!$B$6</f>
        <v>40</v>
      </c>
      <c r="M1860" s="11">
        <f>G1860*Controls!$B$6</f>
        <v>5000</v>
      </c>
      <c r="N1860" s="12">
        <f>IF(L1860=0,0,SUMIFS('PSI Plan'!$N$6:$N$173,'PSI Plan'!$B$6:$B$173,B1860,'PSI Plan'!$C$6:$C$173,I1860))</f>
        <v>0.22897465437788017</v>
      </c>
      <c r="O1860" s="11">
        <f t="shared" si="58"/>
        <v>9.1589861751152064</v>
      </c>
      <c r="P1860" s="11">
        <f t="shared" si="59"/>
        <v>1144.8732718894009</v>
      </c>
      <c r="Q1860" s="6"/>
      <c r="R1860" s="6"/>
      <c r="S1860" s="6"/>
      <c r="T1860" s="6"/>
    </row>
    <row r="1861" spans="1:20">
      <c r="A1861" s="6" t="s">
        <v>2023</v>
      </c>
      <c r="B1861" s="6" t="s">
        <v>76</v>
      </c>
      <c r="C1861" s="6" t="s">
        <v>102</v>
      </c>
      <c r="D1861" s="6" t="s">
        <v>1895</v>
      </c>
      <c r="E1861" s="6" t="s">
        <v>120</v>
      </c>
      <c r="F1861" s="7">
        <v>30</v>
      </c>
      <c r="G1861" s="7">
        <v>3750</v>
      </c>
      <c r="H1861" s="16">
        <v>45238</v>
      </c>
      <c r="I1861" s="6">
        <v>45</v>
      </c>
      <c r="J1861" s="6" t="s">
        <v>1791</v>
      </c>
      <c r="K1861" s="6" t="s">
        <v>1896</v>
      </c>
      <c r="L1861" s="11">
        <f>F1861*Controls!$B$6</f>
        <v>30</v>
      </c>
      <c r="M1861" s="11">
        <f>G1861*Controls!$B$6</f>
        <v>3750</v>
      </c>
      <c r="N1861" s="12">
        <f>IF(L1861=0,0,SUMIFS('PSI Plan'!$N$6:$N$173,'PSI Plan'!$B$6:$B$173,B1861,'PSI Plan'!$C$6:$C$173,I1861))</f>
        <v>0</v>
      </c>
      <c r="O1861" s="11">
        <f t="shared" si="58"/>
        <v>0</v>
      </c>
      <c r="P1861" s="11">
        <f t="shared" si="59"/>
        <v>0</v>
      </c>
      <c r="Q1861" s="6"/>
      <c r="R1861" s="6"/>
      <c r="S1861" s="6"/>
      <c r="T1861" s="6"/>
    </row>
    <row r="1862" spans="1:20">
      <c r="A1862" s="6" t="s">
        <v>2024</v>
      </c>
      <c r="B1862" s="6" t="s">
        <v>66</v>
      </c>
      <c r="C1862" s="6" t="s">
        <v>99</v>
      </c>
      <c r="D1862" s="6" t="s">
        <v>319</v>
      </c>
      <c r="E1862" s="6" t="s">
        <v>120</v>
      </c>
      <c r="F1862" s="7">
        <v>22</v>
      </c>
      <c r="G1862" s="7">
        <v>2750</v>
      </c>
      <c r="H1862" s="16">
        <v>45214</v>
      </c>
      <c r="I1862" s="6">
        <v>42</v>
      </c>
      <c r="J1862" s="6" t="s">
        <v>121</v>
      </c>
      <c r="K1862" s="6" t="s">
        <v>1576</v>
      </c>
      <c r="L1862" s="11">
        <f>F1862*Controls!$B$6</f>
        <v>22</v>
      </c>
      <c r="M1862" s="11">
        <f>G1862*Controls!$B$6</f>
        <v>2750</v>
      </c>
      <c r="N1862" s="12">
        <f>IF(L1862=0,0,SUMIFS('PSI Plan'!$N$6:$N$173,'PSI Plan'!$B$6:$B$173,B1862,'PSI Plan'!$C$6:$C$173,I1862))</f>
        <v>0.59807073954983925</v>
      </c>
      <c r="O1862" s="11">
        <f t="shared" si="58"/>
        <v>13.157556270096464</v>
      </c>
      <c r="P1862" s="11">
        <f t="shared" si="59"/>
        <v>1644.694533762058</v>
      </c>
      <c r="Q1862" s="6"/>
      <c r="R1862" s="6"/>
      <c r="S1862" s="6"/>
      <c r="T1862" s="6"/>
    </row>
    <row r="1863" spans="1:20">
      <c r="A1863" s="6" t="s">
        <v>2025</v>
      </c>
      <c r="B1863" s="6" t="s">
        <v>77</v>
      </c>
      <c r="C1863" s="6" t="s">
        <v>99</v>
      </c>
      <c r="D1863" s="6" t="s">
        <v>319</v>
      </c>
      <c r="E1863" s="6" t="s">
        <v>120</v>
      </c>
      <c r="F1863" s="7">
        <v>6</v>
      </c>
      <c r="G1863" s="7">
        <v>750</v>
      </c>
      <c r="H1863" s="16">
        <v>45270</v>
      </c>
      <c r="I1863" s="6">
        <v>50</v>
      </c>
      <c r="J1863" s="6" t="s">
        <v>121</v>
      </c>
      <c r="K1863" s="6" t="s">
        <v>1576</v>
      </c>
      <c r="L1863" s="11">
        <f>F1863*Controls!$B$6</f>
        <v>6</v>
      </c>
      <c r="M1863" s="11">
        <f>G1863*Controls!$B$6</f>
        <v>750</v>
      </c>
      <c r="N1863" s="12">
        <f>IF(L1863=0,0,SUMIFS('PSI Plan'!$N$6:$N$173,'PSI Plan'!$B$6:$B$173,B1863,'PSI Plan'!$C$6:$C$173,I1863))</f>
        <v>0</v>
      </c>
      <c r="O1863" s="11">
        <f t="shared" si="58"/>
        <v>0</v>
      </c>
      <c r="P1863" s="11">
        <f t="shared" si="59"/>
        <v>0</v>
      </c>
      <c r="Q1863" s="6"/>
      <c r="R1863" s="6"/>
      <c r="S1863" s="6"/>
      <c r="T1863" s="6"/>
    </row>
    <row r="1864" spans="1:20">
      <c r="A1864" s="6" t="s">
        <v>2026</v>
      </c>
      <c r="B1864" s="6" t="s">
        <v>69</v>
      </c>
      <c r="C1864" s="6" t="s">
        <v>99</v>
      </c>
      <c r="D1864" s="6" t="s">
        <v>319</v>
      </c>
      <c r="E1864" s="6" t="s">
        <v>120</v>
      </c>
      <c r="F1864" s="7">
        <v>32</v>
      </c>
      <c r="G1864" s="7">
        <v>4000</v>
      </c>
      <c r="H1864" s="16">
        <v>45207</v>
      </c>
      <c r="I1864" s="6">
        <v>41</v>
      </c>
      <c r="J1864" s="6" t="s">
        <v>121</v>
      </c>
      <c r="K1864" s="6" t="s">
        <v>1576</v>
      </c>
      <c r="L1864" s="11">
        <f>F1864*Controls!$B$6</f>
        <v>32</v>
      </c>
      <c r="M1864" s="11">
        <f>G1864*Controls!$B$6</f>
        <v>4000</v>
      </c>
      <c r="N1864" s="12">
        <f>IF(L1864=0,0,SUMIFS('PSI Plan'!$N$6:$N$173,'PSI Plan'!$B$6:$B$173,B1864,'PSI Plan'!$C$6:$C$173,I1864))</f>
        <v>0</v>
      </c>
      <c r="O1864" s="11">
        <f t="shared" si="58"/>
        <v>0</v>
      </c>
      <c r="P1864" s="11">
        <f t="shared" si="59"/>
        <v>0</v>
      </c>
      <c r="Q1864" s="6"/>
      <c r="R1864" s="6"/>
      <c r="S1864" s="6"/>
      <c r="T1864" s="6"/>
    </row>
    <row r="1865" spans="1:20">
      <c r="A1865" s="6" t="s">
        <v>2027</v>
      </c>
      <c r="B1865" s="6" t="s">
        <v>66</v>
      </c>
      <c r="C1865" s="6" t="s">
        <v>90</v>
      </c>
      <c r="D1865" s="6" t="s">
        <v>119</v>
      </c>
      <c r="E1865" s="6" t="s">
        <v>120</v>
      </c>
      <c r="F1865" s="7">
        <v>26</v>
      </c>
      <c r="G1865" s="7">
        <v>3250</v>
      </c>
      <c r="H1865" s="16">
        <v>45227</v>
      </c>
      <c r="I1865" s="6">
        <v>43</v>
      </c>
      <c r="J1865" s="6" t="s">
        <v>1791</v>
      </c>
      <c r="K1865" s="6" t="s">
        <v>1890</v>
      </c>
      <c r="L1865" s="11">
        <f>F1865*Controls!$B$6</f>
        <v>26</v>
      </c>
      <c r="M1865" s="11">
        <f>G1865*Controls!$B$6</f>
        <v>3250</v>
      </c>
      <c r="N1865" s="12">
        <f>IF(L1865=0,0,SUMIFS('PSI Plan'!$N$6:$N$173,'PSI Plan'!$B$6:$B$173,B1865,'PSI Plan'!$C$6:$C$173,I1865))</f>
        <v>0</v>
      </c>
      <c r="O1865" s="11">
        <f t="shared" si="58"/>
        <v>0</v>
      </c>
      <c r="P1865" s="11">
        <f t="shared" si="59"/>
        <v>0</v>
      </c>
      <c r="Q1865" s="6"/>
      <c r="R1865" s="6"/>
      <c r="S1865" s="6"/>
      <c r="T1865" s="6"/>
    </row>
    <row r="1866" spans="1:20">
      <c r="A1866" s="6" t="s">
        <v>2028</v>
      </c>
      <c r="B1866" s="6" t="s">
        <v>66</v>
      </c>
      <c r="C1866" s="6" t="s">
        <v>90</v>
      </c>
      <c r="D1866" s="6" t="s">
        <v>119</v>
      </c>
      <c r="E1866" s="6" t="s">
        <v>120</v>
      </c>
      <c r="F1866" s="7">
        <v>26</v>
      </c>
      <c r="G1866" s="7">
        <v>3250</v>
      </c>
      <c r="H1866" s="16">
        <v>45226</v>
      </c>
      <c r="I1866" s="6">
        <v>43</v>
      </c>
      <c r="J1866" s="6" t="s">
        <v>1791</v>
      </c>
      <c r="K1866" s="6" t="s">
        <v>1890</v>
      </c>
      <c r="L1866" s="11">
        <f>F1866*Controls!$B$6</f>
        <v>26</v>
      </c>
      <c r="M1866" s="11">
        <f>G1866*Controls!$B$6</f>
        <v>3250</v>
      </c>
      <c r="N1866" s="12">
        <f>IF(L1866=0,0,SUMIFS('PSI Plan'!$N$6:$N$173,'PSI Plan'!$B$6:$B$173,B1866,'PSI Plan'!$C$6:$C$173,I1866))</f>
        <v>0</v>
      </c>
      <c r="O1866" s="11">
        <f t="shared" si="58"/>
        <v>0</v>
      </c>
      <c r="P1866" s="11">
        <f t="shared" si="59"/>
        <v>0</v>
      </c>
      <c r="Q1866" s="6"/>
      <c r="R1866" s="6"/>
      <c r="S1866" s="6"/>
      <c r="T1866" s="6"/>
    </row>
    <row r="1867" spans="1:20">
      <c r="A1867" s="6" t="s">
        <v>2029</v>
      </c>
      <c r="B1867" s="6" t="s">
        <v>76</v>
      </c>
      <c r="C1867" s="6" t="s">
        <v>90</v>
      </c>
      <c r="D1867" s="6" t="s">
        <v>119</v>
      </c>
      <c r="E1867" s="6" t="s">
        <v>120</v>
      </c>
      <c r="F1867" s="7">
        <v>26</v>
      </c>
      <c r="G1867" s="7">
        <v>3250</v>
      </c>
      <c r="H1867" s="16">
        <v>45222</v>
      </c>
      <c r="I1867" s="6">
        <v>43</v>
      </c>
      <c r="J1867" s="6" t="s">
        <v>1791</v>
      </c>
      <c r="K1867" s="6" t="s">
        <v>1890</v>
      </c>
      <c r="L1867" s="11">
        <f>F1867*Controls!$B$6</f>
        <v>26</v>
      </c>
      <c r="M1867" s="11">
        <f>G1867*Controls!$B$6</f>
        <v>3250</v>
      </c>
      <c r="N1867" s="12">
        <f>IF(L1867=0,0,SUMIFS('PSI Plan'!$N$6:$N$173,'PSI Plan'!$B$6:$B$173,B1867,'PSI Plan'!$C$6:$C$173,I1867))</f>
        <v>0</v>
      </c>
      <c r="O1867" s="11">
        <f t="shared" si="58"/>
        <v>0</v>
      </c>
      <c r="P1867" s="11">
        <f t="shared" si="59"/>
        <v>0</v>
      </c>
      <c r="Q1867" s="6"/>
      <c r="R1867" s="6"/>
      <c r="S1867" s="6"/>
      <c r="T1867" s="6"/>
    </row>
    <row r="1868" spans="1:20">
      <c r="A1868" s="6" t="s">
        <v>2030</v>
      </c>
      <c r="B1868" s="6" t="s">
        <v>67</v>
      </c>
      <c r="C1868" s="6" t="s">
        <v>90</v>
      </c>
      <c r="D1868" s="6" t="s">
        <v>119</v>
      </c>
      <c r="E1868" s="6" t="s">
        <v>120</v>
      </c>
      <c r="F1868" s="7">
        <v>26</v>
      </c>
      <c r="G1868" s="7">
        <v>3250</v>
      </c>
      <c r="H1868" s="16">
        <v>45213</v>
      </c>
      <c r="I1868" s="6">
        <v>41</v>
      </c>
      <c r="J1868" s="6" t="s">
        <v>1791</v>
      </c>
      <c r="K1868" s="6" t="s">
        <v>1890</v>
      </c>
      <c r="L1868" s="11">
        <f>F1868*Controls!$B$6</f>
        <v>26</v>
      </c>
      <c r="M1868" s="11">
        <f>G1868*Controls!$B$6</f>
        <v>3250</v>
      </c>
      <c r="N1868" s="12">
        <f>IF(L1868=0,0,SUMIFS('PSI Plan'!$N$6:$N$173,'PSI Plan'!$B$6:$B$173,B1868,'PSI Plan'!$C$6:$C$173,I1868))</f>
        <v>0</v>
      </c>
      <c r="O1868" s="11">
        <f t="shared" si="58"/>
        <v>0</v>
      </c>
      <c r="P1868" s="11">
        <f t="shared" si="59"/>
        <v>0</v>
      </c>
      <c r="Q1868" s="6"/>
      <c r="R1868" s="6"/>
      <c r="S1868" s="6"/>
      <c r="T1868" s="6"/>
    </row>
    <row r="1869" spans="1:20">
      <c r="A1869" s="6" t="s">
        <v>2031</v>
      </c>
      <c r="B1869" s="6" t="s">
        <v>66</v>
      </c>
      <c r="C1869" s="6" t="s">
        <v>102</v>
      </c>
      <c r="D1869" s="6" t="s">
        <v>567</v>
      </c>
      <c r="E1869" s="6" t="s">
        <v>120</v>
      </c>
      <c r="F1869" s="7">
        <v>18</v>
      </c>
      <c r="G1869" s="7">
        <v>2250</v>
      </c>
      <c r="H1869" s="16">
        <v>45235</v>
      </c>
      <c r="I1869" s="6">
        <v>45</v>
      </c>
      <c r="J1869" s="6" t="s">
        <v>121</v>
      </c>
      <c r="K1869" s="6" t="s">
        <v>781</v>
      </c>
      <c r="L1869" s="11">
        <f>F1869*Controls!$B$6</f>
        <v>18</v>
      </c>
      <c r="M1869" s="11">
        <f>G1869*Controls!$B$6</f>
        <v>2250</v>
      </c>
      <c r="N1869" s="12">
        <f>IF(L1869=0,0,SUMIFS('PSI Plan'!$N$6:$N$173,'PSI Plan'!$B$6:$B$173,B1869,'PSI Plan'!$C$6:$C$173,I1869))</f>
        <v>0</v>
      </c>
      <c r="O1869" s="11">
        <f t="shared" si="58"/>
        <v>0</v>
      </c>
      <c r="P1869" s="11">
        <f t="shared" si="59"/>
        <v>0</v>
      </c>
      <c r="Q1869" s="6"/>
      <c r="R1869" s="6"/>
      <c r="S1869" s="6"/>
      <c r="T1869" s="6"/>
    </row>
    <row r="1870" spans="1:20">
      <c r="A1870" s="6" t="s">
        <v>2032</v>
      </c>
      <c r="B1870" s="6" t="s">
        <v>77</v>
      </c>
      <c r="C1870" s="6" t="s">
        <v>102</v>
      </c>
      <c r="D1870" s="6" t="s">
        <v>567</v>
      </c>
      <c r="E1870" s="6" t="s">
        <v>120</v>
      </c>
      <c r="F1870" s="7">
        <v>12</v>
      </c>
      <c r="G1870" s="7">
        <v>1500</v>
      </c>
      <c r="H1870" s="16">
        <v>45230</v>
      </c>
      <c r="I1870" s="6">
        <v>44</v>
      </c>
      <c r="J1870" s="6" t="s">
        <v>121</v>
      </c>
      <c r="K1870" s="6" t="s">
        <v>781</v>
      </c>
      <c r="L1870" s="11">
        <f>F1870*Controls!$B$6</f>
        <v>12</v>
      </c>
      <c r="M1870" s="11">
        <f>G1870*Controls!$B$6</f>
        <v>1500</v>
      </c>
      <c r="N1870" s="12">
        <f>IF(L1870=0,0,SUMIFS('PSI Plan'!$N$6:$N$173,'PSI Plan'!$B$6:$B$173,B1870,'PSI Plan'!$C$6:$C$173,I1870))</f>
        <v>0</v>
      </c>
      <c r="O1870" s="11">
        <f t="shared" si="58"/>
        <v>0</v>
      </c>
      <c r="P1870" s="11">
        <f t="shared" si="59"/>
        <v>0</v>
      </c>
      <c r="Q1870" s="6"/>
      <c r="R1870" s="6"/>
      <c r="S1870" s="6"/>
      <c r="T1870" s="6"/>
    </row>
    <row r="1871" spans="1:20">
      <c r="A1871" s="6" t="s">
        <v>2033</v>
      </c>
      <c r="B1871" s="6" t="s">
        <v>76</v>
      </c>
      <c r="C1871" s="6" t="s">
        <v>102</v>
      </c>
      <c r="D1871" s="6" t="s">
        <v>567</v>
      </c>
      <c r="E1871" s="6" t="s">
        <v>120</v>
      </c>
      <c r="F1871" s="7">
        <v>24</v>
      </c>
      <c r="G1871" s="7">
        <v>3000</v>
      </c>
      <c r="H1871" s="16">
        <v>45272</v>
      </c>
      <c r="I1871" s="6">
        <v>50</v>
      </c>
      <c r="J1871" s="6" t="s">
        <v>121</v>
      </c>
      <c r="K1871" s="6" t="s">
        <v>781</v>
      </c>
      <c r="L1871" s="11">
        <f>F1871*Controls!$B$6</f>
        <v>24</v>
      </c>
      <c r="M1871" s="11">
        <f>G1871*Controls!$B$6</f>
        <v>3000</v>
      </c>
      <c r="N1871" s="12">
        <f>IF(L1871=0,0,SUMIFS('PSI Plan'!$N$6:$N$173,'PSI Plan'!$B$6:$B$173,B1871,'PSI Plan'!$C$6:$C$173,I1871))</f>
        <v>0</v>
      </c>
      <c r="O1871" s="11">
        <f t="shared" si="58"/>
        <v>0</v>
      </c>
      <c r="P1871" s="11">
        <f t="shared" si="59"/>
        <v>0</v>
      </c>
      <c r="Q1871" s="6"/>
      <c r="R1871" s="6"/>
      <c r="S1871" s="6"/>
      <c r="T1871" s="6"/>
    </row>
    <row r="1872" spans="1:20">
      <c r="A1872" s="6" t="s">
        <v>2034</v>
      </c>
      <c r="B1872" s="6" t="s">
        <v>67</v>
      </c>
      <c r="C1872" s="6" t="s">
        <v>102</v>
      </c>
      <c r="D1872" s="6" t="s">
        <v>567</v>
      </c>
      <c r="E1872" s="6" t="s">
        <v>120</v>
      </c>
      <c r="F1872" s="7">
        <v>17</v>
      </c>
      <c r="G1872" s="7">
        <v>2125</v>
      </c>
      <c r="H1872" s="16">
        <v>45216</v>
      </c>
      <c r="I1872" s="6">
        <v>42</v>
      </c>
      <c r="J1872" s="6" t="s">
        <v>121</v>
      </c>
      <c r="K1872" s="6" t="s">
        <v>781</v>
      </c>
      <c r="L1872" s="11">
        <f>F1872*Controls!$B$6</f>
        <v>17</v>
      </c>
      <c r="M1872" s="11">
        <f>G1872*Controls!$B$6</f>
        <v>2125</v>
      </c>
      <c r="N1872" s="12">
        <f>IF(L1872=0,0,SUMIFS('PSI Plan'!$N$6:$N$173,'PSI Plan'!$B$6:$B$173,B1872,'PSI Plan'!$C$6:$C$173,I1872))</f>
        <v>0</v>
      </c>
      <c r="O1872" s="11">
        <f t="shared" si="58"/>
        <v>0</v>
      </c>
      <c r="P1872" s="11">
        <f t="shared" si="59"/>
        <v>0</v>
      </c>
      <c r="Q1872" s="6"/>
      <c r="R1872" s="6"/>
      <c r="S1872" s="6"/>
      <c r="T1872" s="6"/>
    </row>
    <row r="1873" spans="1:20">
      <c r="A1873" s="6" t="s">
        <v>2035</v>
      </c>
      <c r="B1873" s="6" t="s">
        <v>69</v>
      </c>
      <c r="C1873" s="6" t="s">
        <v>102</v>
      </c>
      <c r="D1873" s="6" t="s">
        <v>567</v>
      </c>
      <c r="E1873" s="6" t="s">
        <v>120</v>
      </c>
      <c r="F1873" s="7">
        <v>23</v>
      </c>
      <c r="G1873" s="7">
        <v>2875</v>
      </c>
      <c r="H1873" s="16">
        <v>45220</v>
      </c>
      <c r="I1873" s="6">
        <v>42</v>
      </c>
      <c r="J1873" s="6" t="s">
        <v>121</v>
      </c>
      <c r="K1873" s="6" t="s">
        <v>781</v>
      </c>
      <c r="L1873" s="11">
        <f>F1873*Controls!$B$6</f>
        <v>23</v>
      </c>
      <c r="M1873" s="11">
        <f>G1873*Controls!$B$6</f>
        <v>2875</v>
      </c>
      <c r="N1873" s="12">
        <f>IF(L1873=0,0,SUMIFS('PSI Plan'!$N$6:$N$173,'PSI Plan'!$B$6:$B$173,B1873,'PSI Plan'!$C$6:$C$173,I1873))</f>
        <v>0</v>
      </c>
      <c r="O1873" s="11">
        <f t="shared" si="58"/>
        <v>0</v>
      </c>
      <c r="P1873" s="11">
        <f t="shared" si="59"/>
        <v>0</v>
      </c>
      <c r="Q1873" s="6"/>
      <c r="R1873" s="6"/>
      <c r="S1873" s="6"/>
      <c r="T1873" s="6"/>
    </row>
    <row r="1874" spans="1:20">
      <c r="A1874" s="6" t="s">
        <v>2036</v>
      </c>
      <c r="B1874" s="6" t="s">
        <v>77</v>
      </c>
      <c r="C1874" s="6" t="s">
        <v>99</v>
      </c>
      <c r="D1874" s="6" t="s">
        <v>319</v>
      </c>
      <c r="E1874" s="6" t="s">
        <v>120</v>
      </c>
      <c r="F1874" s="7">
        <v>52</v>
      </c>
      <c r="G1874" s="7">
        <v>6500</v>
      </c>
      <c r="H1874" s="16">
        <v>45265</v>
      </c>
      <c r="I1874" s="6">
        <v>49</v>
      </c>
      <c r="J1874" s="6" t="s">
        <v>121</v>
      </c>
      <c r="K1874" s="6" t="s">
        <v>344</v>
      </c>
      <c r="L1874" s="11">
        <f>F1874*Controls!$B$6</f>
        <v>52</v>
      </c>
      <c r="M1874" s="11">
        <f>G1874*Controls!$B$6</f>
        <v>6500</v>
      </c>
      <c r="N1874" s="12">
        <f>IF(L1874=0,0,SUMIFS('PSI Plan'!$N$6:$N$173,'PSI Plan'!$B$6:$B$173,B1874,'PSI Plan'!$C$6:$C$173,I1874))</f>
        <v>0</v>
      </c>
      <c r="O1874" s="11">
        <f t="shared" si="58"/>
        <v>0</v>
      </c>
      <c r="P1874" s="11">
        <f t="shared" si="59"/>
        <v>0</v>
      </c>
      <c r="Q1874" s="6"/>
      <c r="R1874" s="6"/>
      <c r="S1874" s="6"/>
      <c r="T1874" s="6"/>
    </row>
    <row r="1875" spans="1:20">
      <c r="A1875" s="6" t="s">
        <v>2037</v>
      </c>
      <c r="B1875" s="6" t="s">
        <v>69</v>
      </c>
      <c r="C1875" s="6" t="s">
        <v>99</v>
      </c>
      <c r="D1875" s="6" t="s">
        <v>319</v>
      </c>
      <c r="E1875" s="6" t="s">
        <v>120</v>
      </c>
      <c r="F1875" s="7">
        <v>104</v>
      </c>
      <c r="G1875" s="7">
        <v>13000</v>
      </c>
      <c r="H1875" s="16">
        <v>45204</v>
      </c>
      <c r="I1875" s="6">
        <v>40</v>
      </c>
      <c r="J1875" s="6" t="s">
        <v>121</v>
      </c>
      <c r="K1875" s="6" t="s">
        <v>344</v>
      </c>
      <c r="L1875" s="11">
        <f>F1875*Controls!$B$6</f>
        <v>104</v>
      </c>
      <c r="M1875" s="11">
        <f>G1875*Controls!$B$6</f>
        <v>13000</v>
      </c>
      <c r="N1875" s="12">
        <f>IF(L1875=0,0,SUMIFS('PSI Plan'!$N$6:$N$173,'PSI Plan'!$B$6:$B$173,B1875,'PSI Plan'!$C$6:$C$173,I1875))</f>
        <v>0</v>
      </c>
      <c r="O1875" s="11">
        <f t="shared" si="58"/>
        <v>0</v>
      </c>
      <c r="P1875" s="11">
        <f t="shared" si="59"/>
        <v>0</v>
      </c>
      <c r="Q1875" s="6"/>
      <c r="R1875" s="6"/>
      <c r="S1875" s="6"/>
      <c r="T1875" s="6"/>
    </row>
    <row r="1876" spans="1:20">
      <c r="A1876" s="6" t="s">
        <v>2038</v>
      </c>
      <c r="B1876" s="6" t="s">
        <v>77</v>
      </c>
      <c r="C1876" s="6" t="s">
        <v>99</v>
      </c>
      <c r="D1876" s="6" t="s">
        <v>319</v>
      </c>
      <c r="E1876" s="6" t="s">
        <v>120</v>
      </c>
      <c r="F1876" s="7">
        <v>36</v>
      </c>
      <c r="G1876" s="7">
        <v>4500</v>
      </c>
      <c r="H1876" s="16">
        <v>45235</v>
      </c>
      <c r="I1876" s="6">
        <v>45</v>
      </c>
      <c r="J1876" s="6" t="s">
        <v>121</v>
      </c>
      <c r="K1876" s="6" t="s">
        <v>347</v>
      </c>
      <c r="L1876" s="11">
        <f>F1876*Controls!$B$6</f>
        <v>36</v>
      </c>
      <c r="M1876" s="11">
        <f>G1876*Controls!$B$6</f>
        <v>4500</v>
      </c>
      <c r="N1876" s="12">
        <f>IF(L1876=0,0,SUMIFS('PSI Plan'!$N$6:$N$173,'PSI Plan'!$B$6:$B$173,B1876,'PSI Plan'!$C$6:$C$173,I1876))</f>
        <v>0</v>
      </c>
      <c r="O1876" s="11">
        <f t="shared" si="58"/>
        <v>0</v>
      </c>
      <c r="P1876" s="11">
        <f t="shared" si="59"/>
        <v>0</v>
      </c>
      <c r="Q1876" s="6"/>
      <c r="R1876" s="6"/>
      <c r="S1876" s="6"/>
      <c r="T1876" s="6"/>
    </row>
    <row r="1877" spans="1:20">
      <c r="A1877" s="6" t="s">
        <v>2039</v>
      </c>
      <c r="B1877" s="6" t="s">
        <v>67</v>
      </c>
      <c r="C1877" s="6" t="s">
        <v>99</v>
      </c>
      <c r="D1877" s="6" t="s">
        <v>319</v>
      </c>
      <c r="E1877" s="6" t="s">
        <v>120</v>
      </c>
      <c r="F1877" s="7">
        <v>30</v>
      </c>
      <c r="G1877" s="7">
        <v>3750</v>
      </c>
      <c r="H1877" s="16">
        <v>45258</v>
      </c>
      <c r="I1877" s="6">
        <v>48</v>
      </c>
      <c r="J1877" s="6" t="s">
        <v>121</v>
      </c>
      <c r="K1877" s="6" t="s">
        <v>347</v>
      </c>
      <c r="L1877" s="11">
        <f>F1877*Controls!$B$6</f>
        <v>30</v>
      </c>
      <c r="M1877" s="11">
        <f>G1877*Controls!$B$6</f>
        <v>3750</v>
      </c>
      <c r="N1877" s="12">
        <f>IF(L1877=0,0,SUMIFS('PSI Plan'!$N$6:$N$173,'PSI Plan'!$B$6:$B$173,B1877,'PSI Plan'!$C$6:$C$173,I1877))</f>
        <v>0</v>
      </c>
      <c r="O1877" s="11">
        <f t="shared" si="58"/>
        <v>0</v>
      </c>
      <c r="P1877" s="11">
        <f t="shared" si="59"/>
        <v>0</v>
      </c>
      <c r="Q1877" s="6"/>
      <c r="R1877" s="6"/>
      <c r="S1877" s="6"/>
      <c r="T1877" s="6"/>
    </row>
    <row r="1878" spans="1:20">
      <c r="A1878" s="6" t="s">
        <v>2040</v>
      </c>
      <c r="B1878" s="6" t="s">
        <v>69</v>
      </c>
      <c r="C1878" s="6" t="s">
        <v>99</v>
      </c>
      <c r="D1878" s="6" t="s">
        <v>319</v>
      </c>
      <c r="E1878" s="6" t="s">
        <v>120</v>
      </c>
      <c r="F1878" s="7">
        <v>58</v>
      </c>
      <c r="G1878" s="7">
        <v>7250</v>
      </c>
      <c r="H1878" s="16">
        <v>45202</v>
      </c>
      <c r="I1878" s="6">
        <v>40</v>
      </c>
      <c r="J1878" s="6" t="s">
        <v>121</v>
      </c>
      <c r="K1878" s="6" t="s">
        <v>347</v>
      </c>
      <c r="L1878" s="11">
        <f>F1878*Controls!$B$6</f>
        <v>58</v>
      </c>
      <c r="M1878" s="11">
        <f>G1878*Controls!$B$6</f>
        <v>7250</v>
      </c>
      <c r="N1878" s="12">
        <f>IF(L1878=0,0,SUMIFS('PSI Plan'!$N$6:$N$173,'PSI Plan'!$B$6:$B$173,B1878,'PSI Plan'!$C$6:$C$173,I1878))</f>
        <v>0</v>
      </c>
      <c r="O1878" s="11">
        <f t="shared" si="58"/>
        <v>0</v>
      </c>
      <c r="P1878" s="11">
        <f t="shared" si="59"/>
        <v>0</v>
      </c>
      <c r="Q1878" s="6"/>
      <c r="R1878" s="6"/>
      <c r="S1878" s="6"/>
      <c r="T1878" s="6"/>
    </row>
    <row r="1879" spans="1:20">
      <c r="A1879" s="6" t="s">
        <v>2041</v>
      </c>
      <c r="B1879" s="6" t="s">
        <v>66</v>
      </c>
      <c r="C1879" s="6" t="s">
        <v>90</v>
      </c>
      <c r="D1879" s="6" t="s">
        <v>119</v>
      </c>
      <c r="E1879" s="6" t="s">
        <v>120</v>
      </c>
      <c r="F1879" s="7">
        <v>7</v>
      </c>
      <c r="G1879" s="7">
        <v>875</v>
      </c>
      <c r="H1879" s="16">
        <v>45266</v>
      </c>
      <c r="I1879" s="6">
        <v>49</v>
      </c>
      <c r="J1879" s="6" t="s">
        <v>121</v>
      </c>
      <c r="K1879" s="6" t="s">
        <v>298</v>
      </c>
      <c r="L1879" s="11">
        <f>F1879*Controls!$B$6</f>
        <v>7</v>
      </c>
      <c r="M1879" s="11">
        <f>G1879*Controls!$B$6</f>
        <v>875</v>
      </c>
      <c r="N1879" s="12">
        <f>IF(L1879=0,0,SUMIFS('PSI Plan'!$N$6:$N$173,'PSI Plan'!$B$6:$B$173,B1879,'PSI Plan'!$C$6:$C$173,I1879))</f>
        <v>0</v>
      </c>
      <c r="O1879" s="11">
        <f t="shared" si="58"/>
        <v>0</v>
      </c>
      <c r="P1879" s="11">
        <f t="shared" si="59"/>
        <v>0</v>
      </c>
      <c r="Q1879" s="6"/>
      <c r="R1879" s="6"/>
      <c r="S1879" s="6"/>
      <c r="T1879" s="6"/>
    </row>
    <row r="1880" spans="1:20">
      <c r="A1880" s="6" t="s">
        <v>2042</v>
      </c>
      <c r="B1880" s="6" t="s">
        <v>76</v>
      </c>
      <c r="C1880" s="6" t="s">
        <v>90</v>
      </c>
      <c r="D1880" s="6" t="s">
        <v>119</v>
      </c>
      <c r="E1880" s="6" t="s">
        <v>120</v>
      </c>
      <c r="F1880" s="7">
        <v>6</v>
      </c>
      <c r="G1880" s="7">
        <v>750</v>
      </c>
      <c r="H1880" s="16">
        <v>45223</v>
      </c>
      <c r="I1880" s="6">
        <v>43</v>
      </c>
      <c r="J1880" s="6" t="s">
        <v>121</v>
      </c>
      <c r="K1880" s="6" t="s">
        <v>298</v>
      </c>
      <c r="L1880" s="11">
        <f>F1880*Controls!$B$6</f>
        <v>6</v>
      </c>
      <c r="M1880" s="11">
        <f>G1880*Controls!$B$6</f>
        <v>750</v>
      </c>
      <c r="N1880" s="12">
        <f>IF(L1880=0,0,SUMIFS('PSI Plan'!$N$6:$N$173,'PSI Plan'!$B$6:$B$173,B1880,'PSI Plan'!$C$6:$C$173,I1880))</f>
        <v>0</v>
      </c>
      <c r="O1880" s="11">
        <f t="shared" si="58"/>
        <v>0</v>
      </c>
      <c r="P1880" s="11">
        <f t="shared" si="59"/>
        <v>0</v>
      </c>
      <c r="Q1880" s="6"/>
      <c r="R1880" s="6"/>
      <c r="S1880" s="6"/>
      <c r="T1880" s="6"/>
    </row>
    <row r="1881" spans="1:20">
      <c r="A1881" s="6" t="s">
        <v>2043</v>
      </c>
      <c r="B1881" s="6" t="s">
        <v>69</v>
      </c>
      <c r="C1881" s="6" t="s">
        <v>90</v>
      </c>
      <c r="D1881" s="6" t="s">
        <v>119</v>
      </c>
      <c r="E1881" s="6" t="s">
        <v>120</v>
      </c>
      <c r="F1881" s="7">
        <v>13</v>
      </c>
      <c r="G1881" s="7">
        <v>1625</v>
      </c>
      <c r="H1881" s="16">
        <v>45256</v>
      </c>
      <c r="I1881" s="6">
        <v>48</v>
      </c>
      <c r="J1881" s="6" t="s">
        <v>121</v>
      </c>
      <c r="K1881" s="6" t="s">
        <v>298</v>
      </c>
      <c r="L1881" s="11">
        <f>F1881*Controls!$B$6</f>
        <v>13</v>
      </c>
      <c r="M1881" s="11">
        <f>G1881*Controls!$B$6</f>
        <v>1625</v>
      </c>
      <c r="N1881" s="12">
        <f>IF(L1881=0,0,SUMIFS('PSI Plan'!$N$6:$N$173,'PSI Plan'!$B$6:$B$173,B1881,'PSI Plan'!$C$6:$C$173,I1881))</f>
        <v>0</v>
      </c>
      <c r="O1881" s="11">
        <f t="shared" si="58"/>
        <v>0</v>
      </c>
      <c r="P1881" s="11">
        <f t="shared" si="59"/>
        <v>0</v>
      </c>
      <c r="Q1881" s="6"/>
      <c r="R1881" s="6"/>
      <c r="S1881" s="6"/>
      <c r="T1881" s="6"/>
    </row>
    <row r="1882" spans="1:20">
      <c r="A1882" s="6" t="s">
        <v>2044</v>
      </c>
      <c r="B1882" s="6" t="s">
        <v>66</v>
      </c>
      <c r="C1882" s="6" t="s">
        <v>90</v>
      </c>
      <c r="D1882" s="6" t="s">
        <v>119</v>
      </c>
      <c r="E1882" s="6" t="s">
        <v>120</v>
      </c>
      <c r="F1882" s="7">
        <v>26</v>
      </c>
      <c r="G1882" s="7">
        <v>3250</v>
      </c>
      <c r="H1882" s="16">
        <v>45209</v>
      </c>
      <c r="I1882" s="6">
        <v>41</v>
      </c>
      <c r="J1882" s="6" t="s">
        <v>1791</v>
      </c>
      <c r="K1882" s="6" t="s">
        <v>1890</v>
      </c>
      <c r="L1882" s="11">
        <f>F1882*Controls!$B$6</f>
        <v>26</v>
      </c>
      <c r="M1882" s="11">
        <f>G1882*Controls!$B$6</f>
        <v>3250</v>
      </c>
      <c r="N1882" s="12">
        <f>IF(L1882=0,0,SUMIFS('PSI Plan'!$N$6:$N$173,'PSI Plan'!$B$6:$B$173,B1882,'PSI Plan'!$C$6:$C$173,I1882))</f>
        <v>0.22897465437788017</v>
      </c>
      <c r="O1882" s="11">
        <f t="shared" si="58"/>
        <v>5.9533410138248843</v>
      </c>
      <c r="P1882" s="11">
        <f t="shared" si="59"/>
        <v>744.16762672811058</v>
      </c>
      <c r="Q1882" s="6"/>
      <c r="R1882" s="6"/>
      <c r="S1882" s="6"/>
      <c r="T1882" s="6"/>
    </row>
    <row r="1883" spans="1:20">
      <c r="A1883" s="6" t="s">
        <v>2045</v>
      </c>
      <c r="B1883" s="6" t="s">
        <v>66</v>
      </c>
      <c r="C1883" s="6" t="s">
        <v>90</v>
      </c>
      <c r="D1883" s="6" t="s">
        <v>119</v>
      </c>
      <c r="E1883" s="6" t="s">
        <v>120</v>
      </c>
      <c r="F1883" s="7">
        <v>26</v>
      </c>
      <c r="G1883" s="7">
        <v>3250</v>
      </c>
      <c r="H1883" s="16">
        <v>45281</v>
      </c>
      <c r="I1883" s="6">
        <v>51</v>
      </c>
      <c r="J1883" s="6" t="s">
        <v>1791</v>
      </c>
      <c r="K1883" s="6" t="s">
        <v>1890</v>
      </c>
      <c r="L1883" s="11">
        <f>F1883*Controls!$B$6</f>
        <v>26</v>
      </c>
      <c r="M1883" s="11">
        <f>G1883*Controls!$B$6</f>
        <v>3250</v>
      </c>
      <c r="N1883" s="12">
        <f>IF(L1883=0,0,SUMIFS('PSI Plan'!$N$6:$N$173,'PSI Plan'!$B$6:$B$173,B1883,'PSI Plan'!$C$6:$C$173,I1883))</f>
        <v>0</v>
      </c>
      <c r="O1883" s="11">
        <f t="shared" si="58"/>
        <v>0</v>
      </c>
      <c r="P1883" s="11">
        <f t="shared" si="59"/>
        <v>0</v>
      </c>
      <c r="Q1883" s="6"/>
      <c r="R1883" s="6"/>
      <c r="S1883" s="6"/>
      <c r="T1883" s="6"/>
    </row>
    <row r="1884" spans="1:20">
      <c r="A1884" s="6" t="s">
        <v>2046</v>
      </c>
      <c r="B1884" s="6" t="s">
        <v>76</v>
      </c>
      <c r="C1884" s="6" t="s">
        <v>90</v>
      </c>
      <c r="D1884" s="6" t="s">
        <v>119</v>
      </c>
      <c r="E1884" s="6" t="s">
        <v>120</v>
      </c>
      <c r="F1884" s="7">
        <v>26</v>
      </c>
      <c r="G1884" s="7">
        <v>3250</v>
      </c>
      <c r="H1884" s="16">
        <v>45237</v>
      </c>
      <c r="I1884" s="6">
        <v>45</v>
      </c>
      <c r="J1884" s="6" t="s">
        <v>1791</v>
      </c>
      <c r="K1884" s="6" t="s">
        <v>1890</v>
      </c>
      <c r="L1884" s="11">
        <f>F1884*Controls!$B$6</f>
        <v>26</v>
      </c>
      <c r="M1884" s="11">
        <f>G1884*Controls!$B$6</f>
        <v>3250</v>
      </c>
      <c r="N1884" s="12">
        <f>IF(L1884=0,0,SUMIFS('PSI Plan'!$N$6:$N$173,'PSI Plan'!$B$6:$B$173,B1884,'PSI Plan'!$C$6:$C$173,I1884))</f>
        <v>0</v>
      </c>
      <c r="O1884" s="11">
        <f t="shared" si="58"/>
        <v>0</v>
      </c>
      <c r="P1884" s="11">
        <f t="shared" si="59"/>
        <v>0</v>
      </c>
      <c r="Q1884" s="6"/>
      <c r="R1884" s="6"/>
      <c r="S1884" s="6"/>
      <c r="T1884" s="6"/>
    </row>
    <row r="1885" spans="1:20">
      <c r="A1885" s="6" t="s">
        <v>2047</v>
      </c>
      <c r="B1885" s="6" t="s">
        <v>67</v>
      </c>
      <c r="C1885" s="6" t="s">
        <v>90</v>
      </c>
      <c r="D1885" s="6" t="s">
        <v>119</v>
      </c>
      <c r="E1885" s="6" t="s">
        <v>120</v>
      </c>
      <c r="F1885" s="7">
        <v>13</v>
      </c>
      <c r="G1885" s="7">
        <v>1625</v>
      </c>
      <c r="H1885" s="16">
        <v>45237</v>
      </c>
      <c r="I1885" s="6">
        <v>45</v>
      </c>
      <c r="J1885" s="6" t="s">
        <v>1791</v>
      </c>
      <c r="K1885" s="6" t="s">
        <v>1890</v>
      </c>
      <c r="L1885" s="11">
        <f>F1885*Controls!$B$6</f>
        <v>13</v>
      </c>
      <c r="M1885" s="11">
        <f>G1885*Controls!$B$6</f>
        <v>1625</v>
      </c>
      <c r="N1885" s="12">
        <f>IF(L1885=0,0,SUMIFS('PSI Plan'!$N$6:$N$173,'PSI Plan'!$B$6:$B$173,B1885,'PSI Plan'!$C$6:$C$173,I1885))</f>
        <v>0</v>
      </c>
      <c r="O1885" s="11">
        <f t="shared" si="58"/>
        <v>0</v>
      </c>
      <c r="P1885" s="11">
        <f t="shared" si="59"/>
        <v>0</v>
      </c>
      <c r="Q1885" s="6"/>
      <c r="R1885" s="6"/>
      <c r="S1885" s="6"/>
      <c r="T1885" s="6"/>
    </row>
    <row r="1886" spans="1:20">
      <c r="A1886" s="6" t="s">
        <v>2048</v>
      </c>
      <c r="B1886" s="6" t="s">
        <v>77</v>
      </c>
      <c r="C1886" s="6" t="s">
        <v>90</v>
      </c>
      <c r="D1886" s="6" t="s">
        <v>119</v>
      </c>
      <c r="E1886" s="6" t="s">
        <v>120</v>
      </c>
      <c r="F1886" s="7">
        <v>26</v>
      </c>
      <c r="G1886" s="7">
        <v>3250</v>
      </c>
      <c r="H1886" s="16">
        <v>45270</v>
      </c>
      <c r="I1886" s="6">
        <v>50</v>
      </c>
      <c r="J1886" s="6" t="s">
        <v>121</v>
      </c>
      <c r="K1886" s="6" t="s">
        <v>725</v>
      </c>
      <c r="L1886" s="11">
        <f>F1886*Controls!$B$6</f>
        <v>26</v>
      </c>
      <c r="M1886" s="11">
        <f>G1886*Controls!$B$6</f>
        <v>3250</v>
      </c>
      <c r="N1886" s="12">
        <f>IF(L1886=0,0,SUMIFS('PSI Plan'!$N$6:$N$173,'PSI Plan'!$B$6:$B$173,B1886,'PSI Plan'!$C$6:$C$173,I1886))</f>
        <v>0</v>
      </c>
      <c r="O1886" s="11">
        <f t="shared" si="58"/>
        <v>0</v>
      </c>
      <c r="P1886" s="11">
        <f t="shared" si="59"/>
        <v>0</v>
      </c>
      <c r="Q1886" s="6"/>
      <c r="R1886" s="6"/>
      <c r="S1886" s="6"/>
      <c r="T1886" s="6"/>
    </row>
    <row r="1887" spans="1:20">
      <c r="A1887" s="6" t="s">
        <v>2049</v>
      </c>
      <c r="B1887" s="6" t="s">
        <v>69</v>
      </c>
      <c r="C1887" s="6" t="s">
        <v>90</v>
      </c>
      <c r="D1887" s="6" t="s">
        <v>119</v>
      </c>
      <c r="E1887" s="6" t="s">
        <v>120</v>
      </c>
      <c r="F1887" s="7">
        <v>13</v>
      </c>
      <c r="G1887" s="7">
        <v>1625</v>
      </c>
      <c r="H1887" s="16">
        <v>45213</v>
      </c>
      <c r="I1887" s="6">
        <v>41</v>
      </c>
      <c r="J1887" s="6" t="s">
        <v>121</v>
      </c>
      <c r="K1887" s="6" t="s">
        <v>725</v>
      </c>
      <c r="L1887" s="11">
        <f>F1887*Controls!$B$6</f>
        <v>13</v>
      </c>
      <c r="M1887" s="11">
        <f>G1887*Controls!$B$6</f>
        <v>1625</v>
      </c>
      <c r="N1887" s="12">
        <f>IF(L1887=0,0,SUMIFS('PSI Plan'!$N$6:$N$173,'PSI Plan'!$B$6:$B$173,B1887,'PSI Plan'!$C$6:$C$173,I1887))</f>
        <v>0</v>
      </c>
      <c r="O1887" s="11">
        <f t="shared" si="58"/>
        <v>0</v>
      </c>
      <c r="P1887" s="11">
        <f t="shared" si="59"/>
        <v>0</v>
      </c>
      <c r="Q1887" s="6"/>
      <c r="R1887" s="6"/>
      <c r="S1887" s="6"/>
      <c r="T1887" s="6"/>
    </row>
    <row r="1888" spans="1:20">
      <c r="A1888" s="6" t="s">
        <v>2050</v>
      </c>
      <c r="B1888" s="6" t="s">
        <v>77</v>
      </c>
      <c r="C1888" s="6" t="s">
        <v>90</v>
      </c>
      <c r="D1888" s="6" t="s">
        <v>119</v>
      </c>
      <c r="E1888" s="6" t="s">
        <v>120</v>
      </c>
      <c r="F1888" s="7">
        <v>7</v>
      </c>
      <c r="G1888" s="7">
        <v>875</v>
      </c>
      <c r="H1888" s="16">
        <v>45282</v>
      </c>
      <c r="I1888" s="6">
        <v>51</v>
      </c>
      <c r="J1888" s="6" t="s">
        <v>121</v>
      </c>
      <c r="K1888" s="6" t="s">
        <v>122</v>
      </c>
      <c r="L1888" s="11">
        <f>F1888*Controls!$B$6</f>
        <v>7</v>
      </c>
      <c r="M1888" s="11">
        <f>G1888*Controls!$B$6</f>
        <v>875</v>
      </c>
      <c r="N1888" s="12">
        <f>IF(L1888=0,0,SUMIFS('PSI Plan'!$N$6:$N$173,'PSI Plan'!$B$6:$B$173,B1888,'PSI Plan'!$C$6:$C$173,I1888))</f>
        <v>0</v>
      </c>
      <c r="O1888" s="11">
        <f t="shared" si="58"/>
        <v>0</v>
      </c>
      <c r="P1888" s="11">
        <f t="shared" si="59"/>
        <v>0</v>
      </c>
      <c r="Q1888" s="6"/>
      <c r="R1888" s="6"/>
      <c r="S1888" s="6"/>
      <c r="T1888" s="6"/>
    </row>
    <row r="1889" spans="1:20">
      <c r="A1889" s="6" t="s">
        <v>2051</v>
      </c>
      <c r="B1889" s="6" t="s">
        <v>67</v>
      </c>
      <c r="C1889" s="6" t="s">
        <v>90</v>
      </c>
      <c r="D1889" s="6" t="s">
        <v>119</v>
      </c>
      <c r="E1889" s="6" t="s">
        <v>120</v>
      </c>
      <c r="F1889" s="7">
        <v>26</v>
      </c>
      <c r="G1889" s="7">
        <v>3250</v>
      </c>
      <c r="H1889" s="16">
        <v>45206</v>
      </c>
      <c r="I1889" s="6">
        <v>40</v>
      </c>
      <c r="J1889" s="6" t="s">
        <v>121</v>
      </c>
      <c r="K1889" s="6" t="s">
        <v>122</v>
      </c>
      <c r="L1889" s="11">
        <f>F1889*Controls!$B$6</f>
        <v>26</v>
      </c>
      <c r="M1889" s="11">
        <f>G1889*Controls!$B$6</f>
        <v>3250</v>
      </c>
      <c r="N1889" s="12">
        <f>IF(L1889=0,0,SUMIFS('PSI Plan'!$N$6:$N$173,'PSI Plan'!$B$6:$B$173,B1889,'PSI Plan'!$C$6:$C$173,I1889))</f>
        <v>0</v>
      </c>
      <c r="O1889" s="11">
        <f t="shared" si="58"/>
        <v>0</v>
      </c>
      <c r="P1889" s="11">
        <f t="shared" si="59"/>
        <v>0</v>
      </c>
      <c r="Q1889" s="6"/>
      <c r="R1889" s="6"/>
      <c r="S1889" s="6"/>
      <c r="T1889" s="6"/>
    </row>
    <row r="1890" spans="1:20">
      <c r="A1890" s="6" t="s">
        <v>2052</v>
      </c>
      <c r="B1890" s="6" t="s">
        <v>69</v>
      </c>
      <c r="C1890" s="6" t="s">
        <v>90</v>
      </c>
      <c r="D1890" s="6" t="s">
        <v>119</v>
      </c>
      <c r="E1890" s="6" t="s">
        <v>120</v>
      </c>
      <c r="F1890" s="7">
        <v>52</v>
      </c>
      <c r="G1890" s="7">
        <v>6500</v>
      </c>
      <c r="H1890" s="16">
        <v>45221</v>
      </c>
      <c r="I1890" s="6">
        <v>43</v>
      </c>
      <c r="J1890" s="6" t="s">
        <v>121</v>
      </c>
      <c r="K1890" s="6" t="s">
        <v>122</v>
      </c>
      <c r="L1890" s="11">
        <f>F1890*Controls!$B$6</f>
        <v>52</v>
      </c>
      <c r="M1890" s="11">
        <f>G1890*Controls!$B$6</f>
        <v>6500</v>
      </c>
      <c r="N1890" s="12">
        <f>IF(L1890=0,0,SUMIFS('PSI Plan'!$N$6:$N$173,'PSI Plan'!$B$6:$B$173,B1890,'PSI Plan'!$C$6:$C$173,I1890))</f>
        <v>0</v>
      </c>
      <c r="O1890" s="11">
        <f t="shared" si="58"/>
        <v>0</v>
      </c>
      <c r="P1890" s="11">
        <f t="shared" si="59"/>
        <v>0</v>
      </c>
      <c r="Q1890" s="6"/>
      <c r="R1890" s="6"/>
      <c r="S1890" s="6"/>
      <c r="T1890" s="6"/>
    </row>
    <row r="1891" spans="1:20">
      <c r="A1891" s="6" t="s">
        <v>2053</v>
      </c>
      <c r="B1891" s="6" t="s">
        <v>66</v>
      </c>
      <c r="C1891" s="6" t="s">
        <v>90</v>
      </c>
      <c r="D1891" s="6" t="s">
        <v>119</v>
      </c>
      <c r="E1891" s="6" t="s">
        <v>120</v>
      </c>
      <c r="F1891" s="7">
        <v>13</v>
      </c>
      <c r="G1891" s="7">
        <v>1625</v>
      </c>
      <c r="H1891" s="16">
        <v>45221</v>
      </c>
      <c r="I1891" s="6">
        <v>43</v>
      </c>
      <c r="J1891" s="6" t="s">
        <v>121</v>
      </c>
      <c r="K1891" s="6" t="s">
        <v>139</v>
      </c>
      <c r="L1891" s="11">
        <f>F1891*Controls!$B$6</f>
        <v>13</v>
      </c>
      <c r="M1891" s="11">
        <f>G1891*Controls!$B$6</f>
        <v>1625</v>
      </c>
      <c r="N1891" s="12">
        <f>IF(L1891=0,0,SUMIFS('PSI Plan'!$N$6:$N$173,'PSI Plan'!$B$6:$B$173,B1891,'PSI Plan'!$C$6:$C$173,I1891))</f>
        <v>0</v>
      </c>
      <c r="O1891" s="11">
        <f t="shared" si="58"/>
        <v>0</v>
      </c>
      <c r="P1891" s="11">
        <f t="shared" si="59"/>
        <v>0</v>
      </c>
      <c r="Q1891" s="6"/>
      <c r="R1891" s="6"/>
      <c r="S1891" s="6"/>
      <c r="T1891" s="6"/>
    </row>
    <row r="1892" spans="1:20">
      <c r="A1892" s="6" t="s">
        <v>2054</v>
      </c>
      <c r="B1892" s="6" t="s">
        <v>77</v>
      </c>
      <c r="C1892" s="6" t="s">
        <v>90</v>
      </c>
      <c r="D1892" s="6" t="s">
        <v>119</v>
      </c>
      <c r="E1892" s="6" t="s">
        <v>120</v>
      </c>
      <c r="F1892" s="7">
        <v>3</v>
      </c>
      <c r="G1892" s="7">
        <v>375</v>
      </c>
      <c r="H1892" s="16">
        <v>45218</v>
      </c>
      <c r="I1892" s="6">
        <v>42</v>
      </c>
      <c r="J1892" s="6" t="s">
        <v>121</v>
      </c>
      <c r="K1892" s="6" t="s">
        <v>139</v>
      </c>
      <c r="L1892" s="11">
        <f>F1892*Controls!$B$6</f>
        <v>3</v>
      </c>
      <c r="M1892" s="11">
        <f>G1892*Controls!$B$6</f>
        <v>375</v>
      </c>
      <c r="N1892" s="12">
        <f>IF(L1892=0,0,SUMIFS('PSI Plan'!$N$6:$N$173,'PSI Plan'!$B$6:$B$173,B1892,'PSI Plan'!$C$6:$C$173,I1892))</f>
        <v>0</v>
      </c>
      <c r="O1892" s="11">
        <f t="shared" si="58"/>
        <v>0</v>
      </c>
      <c r="P1892" s="11">
        <f t="shared" si="59"/>
        <v>0</v>
      </c>
      <c r="Q1892" s="6"/>
      <c r="R1892" s="6"/>
      <c r="S1892" s="6"/>
      <c r="T1892" s="6"/>
    </row>
    <row r="1893" spans="1:20">
      <c r="A1893" s="6" t="s">
        <v>2055</v>
      </c>
      <c r="B1893" s="6" t="s">
        <v>76</v>
      </c>
      <c r="C1893" s="6" t="s">
        <v>90</v>
      </c>
      <c r="D1893" s="6" t="s">
        <v>119</v>
      </c>
      <c r="E1893" s="6" t="s">
        <v>120</v>
      </c>
      <c r="F1893" s="7">
        <v>5</v>
      </c>
      <c r="G1893" s="7">
        <v>625</v>
      </c>
      <c r="H1893" s="16">
        <v>45225</v>
      </c>
      <c r="I1893" s="6">
        <v>43</v>
      </c>
      <c r="J1893" s="6" t="s">
        <v>121</v>
      </c>
      <c r="K1893" s="6" t="s">
        <v>139</v>
      </c>
      <c r="L1893" s="11">
        <f>F1893*Controls!$B$6</f>
        <v>5</v>
      </c>
      <c r="M1893" s="11">
        <f>G1893*Controls!$B$6</f>
        <v>625</v>
      </c>
      <c r="N1893" s="12">
        <f>IF(L1893=0,0,SUMIFS('PSI Plan'!$N$6:$N$173,'PSI Plan'!$B$6:$B$173,B1893,'PSI Plan'!$C$6:$C$173,I1893))</f>
        <v>0</v>
      </c>
      <c r="O1893" s="11">
        <f t="shared" si="58"/>
        <v>0</v>
      </c>
      <c r="P1893" s="11">
        <f t="shared" si="59"/>
        <v>0</v>
      </c>
      <c r="Q1893" s="6"/>
      <c r="R1893" s="6"/>
      <c r="S1893" s="6"/>
      <c r="T1893" s="6"/>
    </row>
    <row r="1894" spans="1:20">
      <c r="A1894" s="6" t="s">
        <v>2056</v>
      </c>
      <c r="B1894" s="6" t="s">
        <v>69</v>
      </c>
      <c r="C1894" s="6" t="s">
        <v>90</v>
      </c>
      <c r="D1894" s="6" t="s">
        <v>119</v>
      </c>
      <c r="E1894" s="6" t="s">
        <v>120</v>
      </c>
      <c r="F1894" s="7">
        <v>5</v>
      </c>
      <c r="G1894" s="7">
        <v>625</v>
      </c>
      <c r="H1894" s="16">
        <v>45272</v>
      </c>
      <c r="I1894" s="6">
        <v>50</v>
      </c>
      <c r="J1894" s="6" t="s">
        <v>121</v>
      </c>
      <c r="K1894" s="6" t="s">
        <v>139</v>
      </c>
      <c r="L1894" s="11">
        <f>F1894*Controls!$B$6</f>
        <v>5</v>
      </c>
      <c r="M1894" s="11">
        <f>G1894*Controls!$B$6</f>
        <v>625</v>
      </c>
      <c r="N1894" s="12">
        <f>IF(L1894=0,0,SUMIFS('PSI Plan'!$N$6:$N$173,'PSI Plan'!$B$6:$B$173,B1894,'PSI Plan'!$C$6:$C$173,I1894))</f>
        <v>0</v>
      </c>
      <c r="O1894" s="11">
        <f t="shared" si="58"/>
        <v>0</v>
      </c>
      <c r="P1894" s="11">
        <f t="shared" si="59"/>
        <v>0</v>
      </c>
      <c r="Q1894" s="6"/>
      <c r="R1894" s="6"/>
      <c r="S1894" s="6"/>
      <c r="T1894" s="6"/>
    </row>
    <row r="1895" spans="1:20">
      <c r="A1895" s="6" t="s">
        <v>2057</v>
      </c>
      <c r="B1895" s="6" t="s">
        <v>77</v>
      </c>
      <c r="C1895" s="6" t="s">
        <v>90</v>
      </c>
      <c r="D1895" s="6" t="s">
        <v>119</v>
      </c>
      <c r="E1895" s="6" t="s">
        <v>120</v>
      </c>
      <c r="F1895" s="7">
        <v>26</v>
      </c>
      <c r="G1895" s="7">
        <v>3250</v>
      </c>
      <c r="H1895" s="16">
        <v>45255</v>
      </c>
      <c r="I1895" s="6">
        <v>47</v>
      </c>
      <c r="J1895" s="6" t="s">
        <v>121</v>
      </c>
      <c r="K1895" s="6" t="s">
        <v>171</v>
      </c>
      <c r="L1895" s="11">
        <f>F1895*Controls!$B$6</f>
        <v>26</v>
      </c>
      <c r="M1895" s="11">
        <f>G1895*Controls!$B$6</f>
        <v>3250</v>
      </c>
      <c r="N1895" s="12">
        <f>IF(L1895=0,0,SUMIFS('PSI Plan'!$N$6:$N$173,'PSI Plan'!$B$6:$B$173,B1895,'PSI Plan'!$C$6:$C$173,I1895))</f>
        <v>0</v>
      </c>
      <c r="O1895" s="11">
        <f t="shared" si="58"/>
        <v>0</v>
      </c>
      <c r="P1895" s="11">
        <f t="shared" si="59"/>
        <v>0</v>
      </c>
      <c r="Q1895" s="6"/>
      <c r="R1895" s="6"/>
      <c r="S1895" s="6"/>
      <c r="T1895" s="6"/>
    </row>
    <row r="1896" spans="1:20">
      <c r="A1896" s="6" t="s">
        <v>2058</v>
      </c>
      <c r="B1896" s="6" t="s">
        <v>69</v>
      </c>
      <c r="C1896" s="6" t="s">
        <v>90</v>
      </c>
      <c r="D1896" s="6" t="s">
        <v>119</v>
      </c>
      <c r="E1896" s="6" t="s">
        <v>120</v>
      </c>
      <c r="F1896" s="7">
        <v>26</v>
      </c>
      <c r="G1896" s="7">
        <v>3250</v>
      </c>
      <c r="H1896" s="16">
        <v>45247</v>
      </c>
      <c r="I1896" s="6">
        <v>46</v>
      </c>
      <c r="J1896" s="6" t="s">
        <v>121</v>
      </c>
      <c r="K1896" s="6" t="s">
        <v>171</v>
      </c>
      <c r="L1896" s="11">
        <f>F1896*Controls!$B$6</f>
        <v>26</v>
      </c>
      <c r="M1896" s="11">
        <f>G1896*Controls!$B$6</f>
        <v>3250</v>
      </c>
      <c r="N1896" s="12">
        <f>IF(L1896=0,0,SUMIFS('PSI Plan'!$N$6:$N$173,'PSI Plan'!$B$6:$B$173,B1896,'PSI Plan'!$C$6:$C$173,I1896))</f>
        <v>0</v>
      </c>
      <c r="O1896" s="11">
        <f t="shared" si="58"/>
        <v>0</v>
      </c>
      <c r="P1896" s="11">
        <f t="shared" si="59"/>
        <v>0</v>
      </c>
      <c r="Q1896" s="6"/>
      <c r="R1896" s="6"/>
      <c r="S1896" s="6"/>
      <c r="T1896" s="6"/>
    </row>
    <row r="1897" spans="1:20">
      <c r="A1897" s="6" t="s">
        <v>2059</v>
      </c>
      <c r="B1897" s="6" t="s">
        <v>77</v>
      </c>
      <c r="C1897" s="6" t="s">
        <v>99</v>
      </c>
      <c r="D1897" s="6" t="s">
        <v>319</v>
      </c>
      <c r="E1897" s="6" t="s">
        <v>120</v>
      </c>
      <c r="F1897" s="7">
        <v>52</v>
      </c>
      <c r="G1897" s="7">
        <v>6500</v>
      </c>
      <c r="H1897" s="16">
        <v>45272</v>
      </c>
      <c r="I1897" s="6">
        <v>50</v>
      </c>
      <c r="J1897" s="6" t="s">
        <v>121</v>
      </c>
      <c r="K1897" s="6" t="s">
        <v>324</v>
      </c>
      <c r="L1897" s="11">
        <f>F1897*Controls!$B$6</f>
        <v>52</v>
      </c>
      <c r="M1897" s="11">
        <f>G1897*Controls!$B$6</f>
        <v>6500</v>
      </c>
      <c r="N1897" s="12">
        <f>IF(L1897=0,0,SUMIFS('PSI Plan'!$N$6:$N$173,'PSI Plan'!$B$6:$B$173,B1897,'PSI Plan'!$C$6:$C$173,I1897))</f>
        <v>0</v>
      </c>
      <c r="O1897" s="11">
        <f t="shared" si="58"/>
        <v>0</v>
      </c>
      <c r="P1897" s="11">
        <f t="shared" si="59"/>
        <v>0</v>
      </c>
      <c r="Q1897" s="6"/>
      <c r="R1897" s="6"/>
      <c r="S1897" s="6"/>
      <c r="T1897" s="6"/>
    </row>
    <row r="1898" spans="1:20">
      <c r="A1898" s="6" t="s">
        <v>2060</v>
      </c>
      <c r="B1898" s="6" t="s">
        <v>66</v>
      </c>
      <c r="C1898" s="6" t="s">
        <v>99</v>
      </c>
      <c r="D1898" s="6" t="s">
        <v>319</v>
      </c>
      <c r="E1898" s="6" t="s">
        <v>120</v>
      </c>
      <c r="F1898" s="7">
        <v>26</v>
      </c>
      <c r="G1898" s="7">
        <v>3250</v>
      </c>
      <c r="H1898" s="16">
        <v>45220</v>
      </c>
      <c r="I1898" s="6">
        <v>42</v>
      </c>
      <c r="J1898" s="6" t="s">
        <v>121</v>
      </c>
      <c r="K1898" s="6" t="s">
        <v>1576</v>
      </c>
      <c r="L1898" s="11">
        <f>F1898*Controls!$B$6</f>
        <v>26</v>
      </c>
      <c r="M1898" s="11">
        <f>G1898*Controls!$B$6</f>
        <v>3250</v>
      </c>
      <c r="N1898" s="12">
        <f>IF(L1898=0,0,SUMIFS('PSI Plan'!$N$6:$N$173,'PSI Plan'!$B$6:$B$173,B1898,'PSI Plan'!$C$6:$C$173,I1898))</f>
        <v>0.59807073954983925</v>
      </c>
      <c r="O1898" s="11">
        <f t="shared" si="58"/>
        <v>15.54983922829582</v>
      </c>
      <c r="P1898" s="11">
        <f t="shared" si="59"/>
        <v>1943.7299035369776</v>
      </c>
      <c r="Q1898" s="6"/>
      <c r="R1898" s="6"/>
      <c r="S1898" s="6"/>
      <c r="T1898" s="6"/>
    </row>
    <row r="1899" spans="1:20">
      <c r="A1899" s="6" t="s">
        <v>2061</v>
      </c>
      <c r="B1899" s="6" t="s">
        <v>77</v>
      </c>
      <c r="C1899" s="6" t="s">
        <v>99</v>
      </c>
      <c r="D1899" s="6" t="s">
        <v>319</v>
      </c>
      <c r="E1899" s="6" t="s">
        <v>120</v>
      </c>
      <c r="F1899" s="7">
        <v>30</v>
      </c>
      <c r="G1899" s="7">
        <v>3750</v>
      </c>
      <c r="H1899" s="16">
        <v>45244</v>
      </c>
      <c r="I1899" s="6">
        <v>46</v>
      </c>
      <c r="J1899" s="6" t="s">
        <v>121</v>
      </c>
      <c r="K1899" s="6" t="s">
        <v>1576</v>
      </c>
      <c r="L1899" s="11">
        <f>F1899*Controls!$B$6</f>
        <v>30</v>
      </c>
      <c r="M1899" s="11">
        <f>G1899*Controls!$B$6</f>
        <v>3750</v>
      </c>
      <c r="N1899" s="12">
        <f>IF(L1899=0,0,SUMIFS('PSI Plan'!$N$6:$N$173,'PSI Plan'!$B$6:$B$173,B1899,'PSI Plan'!$C$6:$C$173,I1899))</f>
        <v>0</v>
      </c>
      <c r="O1899" s="11">
        <f t="shared" si="58"/>
        <v>0</v>
      </c>
      <c r="P1899" s="11">
        <f t="shared" si="59"/>
        <v>0</v>
      </c>
      <c r="Q1899" s="6"/>
      <c r="R1899" s="6"/>
      <c r="S1899" s="6"/>
      <c r="T1899" s="6"/>
    </row>
    <row r="1900" spans="1:20">
      <c r="A1900" s="6" t="s">
        <v>2062</v>
      </c>
      <c r="B1900" s="6" t="s">
        <v>69</v>
      </c>
      <c r="C1900" s="6" t="s">
        <v>99</v>
      </c>
      <c r="D1900" s="6" t="s">
        <v>319</v>
      </c>
      <c r="E1900" s="6" t="s">
        <v>120</v>
      </c>
      <c r="F1900" s="7">
        <v>24</v>
      </c>
      <c r="G1900" s="7">
        <v>3000</v>
      </c>
      <c r="H1900" s="16">
        <v>45276</v>
      </c>
      <c r="I1900" s="6">
        <v>50</v>
      </c>
      <c r="J1900" s="6" t="s">
        <v>121</v>
      </c>
      <c r="K1900" s="6" t="s">
        <v>1576</v>
      </c>
      <c r="L1900" s="11">
        <f>F1900*Controls!$B$6</f>
        <v>24</v>
      </c>
      <c r="M1900" s="11">
        <f>G1900*Controls!$B$6</f>
        <v>3000</v>
      </c>
      <c r="N1900" s="12">
        <f>IF(L1900=0,0,SUMIFS('PSI Plan'!$N$6:$N$173,'PSI Plan'!$B$6:$B$173,B1900,'PSI Plan'!$C$6:$C$173,I1900))</f>
        <v>0</v>
      </c>
      <c r="O1900" s="11">
        <f t="shared" si="58"/>
        <v>0</v>
      </c>
      <c r="P1900" s="11">
        <f t="shared" si="59"/>
        <v>0</v>
      </c>
      <c r="Q1900" s="6"/>
      <c r="R1900" s="6"/>
      <c r="S1900" s="6"/>
      <c r="T1900" s="6"/>
    </row>
    <row r="1901" spans="1:20">
      <c r="A1901" s="6" t="s">
        <v>2063</v>
      </c>
      <c r="B1901" s="6" t="s">
        <v>66</v>
      </c>
      <c r="C1901" s="6" t="s">
        <v>90</v>
      </c>
      <c r="D1901" s="6" t="s">
        <v>119</v>
      </c>
      <c r="E1901" s="6" t="s">
        <v>120</v>
      </c>
      <c r="F1901" s="7">
        <v>13</v>
      </c>
      <c r="G1901" s="7">
        <v>1625</v>
      </c>
      <c r="H1901" s="16">
        <v>45240</v>
      </c>
      <c r="I1901" s="6">
        <v>45</v>
      </c>
      <c r="J1901" s="6" t="s">
        <v>1791</v>
      </c>
      <c r="K1901" s="6" t="s">
        <v>1890</v>
      </c>
      <c r="L1901" s="11">
        <f>F1901*Controls!$B$6</f>
        <v>13</v>
      </c>
      <c r="M1901" s="11">
        <f>G1901*Controls!$B$6</f>
        <v>1625</v>
      </c>
      <c r="N1901" s="12">
        <f>IF(L1901=0,0,SUMIFS('PSI Plan'!$N$6:$N$173,'PSI Plan'!$B$6:$B$173,B1901,'PSI Plan'!$C$6:$C$173,I1901))</f>
        <v>0</v>
      </c>
      <c r="O1901" s="11">
        <f t="shared" si="58"/>
        <v>0</v>
      </c>
      <c r="P1901" s="11">
        <f t="shared" si="59"/>
        <v>0</v>
      </c>
      <c r="Q1901" s="6"/>
      <c r="R1901" s="6"/>
      <c r="S1901" s="6"/>
      <c r="T1901" s="6"/>
    </row>
    <row r="1902" spans="1:20">
      <c r="A1902" s="6" t="s">
        <v>2064</v>
      </c>
      <c r="B1902" s="6" t="s">
        <v>66</v>
      </c>
      <c r="C1902" s="6" t="s">
        <v>90</v>
      </c>
      <c r="D1902" s="6" t="s">
        <v>119</v>
      </c>
      <c r="E1902" s="6" t="s">
        <v>120</v>
      </c>
      <c r="F1902" s="7">
        <v>13</v>
      </c>
      <c r="G1902" s="7">
        <v>1625</v>
      </c>
      <c r="H1902" s="16">
        <v>45226</v>
      </c>
      <c r="I1902" s="6">
        <v>43</v>
      </c>
      <c r="J1902" s="6" t="s">
        <v>1791</v>
      </c>
      <c r="K1902" s="6" t="s">
        <v>1890</v>
      </c>
      <c r="L1902" s="11">
        <f>F1902*Controls!$B$6</f>
        <v>13</v>
      </c>
      <c r="M1902" s="11">
        <f>G1902*Controls!$B$6</f>
        <v>1625</v>
      </c>
      <c r="N1902" s="12">
        <f>IF(L1902=0,0,SUMIFS('PSI Plan'!$N$6:$N$173,'PSI Plan'!$B$6:$B$173,B1902,'PSI Plan'!$C$6:$C$173,I1902))</f>
        <v>0</v>
      </c>
      <c r="O1902" s="11">
        <f t="shared" si="58"/>
        <v>0</v>
      </c>
      <c r="P1902" s="11">
        <f t="shared" si="59"/>
        <v>0</v>
      </c>
      <c r="Q1902" s="6"/>
      <c r="R1902" s="6"/>
      <c r="S1902" s="6"/>
      <c r="T1902" s="6"/>
    </row>
    <row r="1903" spans="1:20">
      <c r="A1903" s="6" t="s">
        <v>2065</v>
      </c>
      <c r="B1903" s="6" t="s">
        <v>76</v>
      </c>
      <c r="C1903" s="6" t="s">
        <v>90</v>
      </c>
      <c r="D1903" s="6" t="s">
        <v>119</v>
      </c>
      <c r="E1903" s="6" t="s">
        <v>120</v>
      </c>
      <c r="F1903" s="7">
        <v>13</v>
      </c>
      <c r="G1903" s="7">
        <v>1625</v>
      </c>
      <c r="H1903" s="16">
        <v>45203</v>
      </c>
      <c r="I1903" s="6">
        <v>40</v>
      </c>
      <c r="J1903" s="6" t="s">
        <v>1791</v>
      </c>
      <c r="K1903" s="6" t="s">
        <v>1890</v>
      </c>
      <c r="L1903" s="11">
        <f>F1903*Controls!$B$6</f>
        <v>13</v>
      </c>
      <c r="M1903" s="11">
        <f>G1903*Controls!$B$6</f>
        <v>1625</v>
      </c>
      <c r="N1903" s="12">
        <f>IF(L1903=0,0,SUMIFS('PSI Plan'!$N$6:$N$173,'PSI Plan'!$B$6:$B$173,B1903,'PSI Plan'!$C$6:$C$173,I1903))</f>
        <v>0</v>
      </c>
      <c r="O1903" s="11">
        <f t="shared" si="58"/>
        <v>0</v>
      </c>
      <c r="P1903" s="11">
        <f t="shared" si="59"/>
        <v>0</v>
      </c>
      <c r="Q1903" s="6"/>
      <c r="R1903" s="6"/>
      <c r="S1903" s="6"/>
      <c r="T1903" s="6"/>
    </row>
    <row r="1904" spans="1:20">
      <c r="A1904" s="6" t="s">
        <v>2066</v>
      </c>
      <c r="B1904" s="6" t="s">
        <v>67</v>
      </c>
      <c r="C1904" s="6" t="s">
        <v>90</v>
      </c>
      <c r="D1904" s="6" t="s">
        <v>119</v>
      </c>
      <c r="E1904" s="6" t="s">
        <v>120</v>
      </c>
      <c r="F1904" s="7">
        <v>13</v>
      </c>
      <c r="G1904" s="7">
        <v>1625</v>
      </c>
      <c r="H1904" s="16">
        <v>45274</v>
      </c>
      <c r="I1904" s="6">
        <v>50</v>
      </c>
      <c r="J1904" s="6" t="s">
        <v>1791</v>
      </c>
      <c r="K1904" s="6" t="s">
        <v>1890</v>
      </c>
      <c r="L1904" s="11">
        <f>F1904*Controls!$B$6</f>
        <v>13</v>
      </c>
      <c r="M1904" s="11">
        <f>G1904*Controls!$B$6</f>
        <v>1625</v>
      </c>
      <c r="N1904" s="12">
        <f>IF(L1904=0,0,SUMIFS('PSI Plan'!$N$6:$N$173,'PSI Plan'!$B$6:$B$173,B1904,'PSI Plan'!$C$6:$C$173,I1904))</f>
        <v>0</v>
      </c>
      <c r="O1904" s="11">
        <f t="shared" si="58"/>
        <v>0</v>
      </c>
      <c r="P1904" s="11">
        <f t="shared" si="59"/>
        <v>0</v>
      </c>
      <c r="Q1904" s="6"/>
      <c r="R1904" s="6"/>
      <c r="S1904" s="6"/>
      <c r="T1904" s="6"/>
    </row>
    <row r="1905" spans="1:20">
      <c r="A1905" s="6" t="s">
        <v>2067</v>
      </c>
      <c r="B1905" s="6" t="s">
        <v>77</v>
      </c>
      <c r="C1905" s="6" t="s">
        <v>90</v>
      </c>
      <c r="D1905" s="6" t="s">
        <v>119</v>
      </c>
      <c r="E1905" s="6" t="s">
        <v>120</v>
      </c>
      <c r="F1905" s="7">
        <v>26</v>
      </c>
      <c r="G1905" s="7">
        <v>3250</v>
      </c>
      <c r="H1905" s="16">
        <v>45230</v>
      </c>
      <c r="I1905" s="6">
        <v>44</v>
      </c>
      <c r="J1905" s="6" t="s">
        <v>121</v>
      </c>
      <c r="K1905" s="6" t="s">
        <v>725</v>
      </c>
      <c r="L1905" s="11">
        <f>F1905*Controls!$B$6</f>
        <v>26</v>
      </c>
      <c r="M1905" s="11">
        <f>G1905*Controls!$B$6</f>
        <v>3250</v>
      </c>
      <c r="N1905" s="12">
        <f>IF(L1905=0,0,SUMIFS('PSI Plan'!$N$6:$N$173,'PSI Plan'!$B$6:$B$173,B1905,'PSI Plan'!$C$6:$C$173,I1905))</f>
        <v>0</v>
      </c>
      <c r="O1905" s="11">
        <f t="shared" si="58"/>
        <v>0</v>
      </c>
      <c r="P1905" s="11">
        <f t="shared" si="59"/>
        <v>0</v>
      </c>
      <c r="Q1905" s="6"/>
      <c r="R1905" s="6"/>
      <c r="S1905" s="6"/>
      <c r="T1905" s="6"/>
    </row>
    <row r="1906" spans="1:20">
      <c r="A1906" s="6" t="s">
        <v>2068</v>
      </c>
      <c r="B1906" s="6" t="s">
        <v>69</v>
      </c>
      <c r="C1906" s="6" t="s">
        <v>90</v>
      </c>
      <c r="D1906" s="6" t="s">
        <v>119</v>
      </c>
      <c r="E1906" s="6" t="s">
        <v>120</v>
      </c>
      <c r="F1906" s="7">
        <v>26</v>
      </c>
      <c r="G1906" s="7">
        <v>3250</v>
      </c>
      <c r="H1906" s="16">
        <v>45264</v>
      </c>
      <c r="I1906" s="6">
        <v>49</v>
      </c>
      <c r="J1906" s="6" t="s">
        <v>121</v>
      </c>
      <c r="K1906" s="6" t="s">
        <v>725</v>
      </c>
      <c r="L1906" s="11">
        <f>F1906*Controls!$B$6</f>
        <v>26</v>
      </c>
      <c r="M1906" s="11">
        <f>G1906*Controls!$B$6</f>
        <v>3250</v>
      </c>
      <c r="N1906" s="12">
        <f>IF(L1906=0,0,SUMIFS('PSI Plan'!$N$6:$N$173,'PSI Plan'!$B$6:$B$173,B1906,'PSI Plan'!$C$6:$C$173,I1906))</f>
        <v>0</v>
      </c>
      <c r="O1906" s="11">
        <f t="shared" si="58"/>
        <v>0</v>
      </c>
      <c r="P1906" s="11">
        <f t="shared" si="59"/>
        <v>0</v>
      </c>
      <c r="Q1906" s="6"/>
      <c r="R1906" s="6"/>
      <c r="S1906" s="6"/>
      <c r="T1906" s="6"/>
    </row>
    <row r="1907" spans="1:20">
      <c r="A1907" s="6" t="s">
        <v>2069</v>
      </c>
      <c r="B1907" s="6" t="s">
        <v>66</v>
      </c>
      <c r="C1907" s="6" t="s">
        <v>90</v>
      </c>
      <c r="D1907" s="6" t="s">
        <v>119</v>
      </c>
      <c r="E1907" s="6" t="s">
        <v>120</v>
      </c>
      <c r="F1907" s="7">
        <v>20</v>
      </c>
      <c r="G1907" s="7">
        <v>2500</v>
      </c>
      <c r="H1907" s="16">
        <v>45224</v>
      </c>
      <c r="I1907" s="6">
        <v>43</v>
      </c>
      <c r="J1907" s="6" t="s">
        <v>121</v>
      </c>
      <c r="K1907" s="6" t="s">
        <v>122</v>
      </c>
      <c r="L1907" s="11">
        <f>F1907*Controls!$B$6</f>
        <v>20</v>
      </c>
      <c r="M1907" s="11">
        <f>G1907*Controls!$B$6</f>
        <v>2500</v>
      </c>
      <c r="N1907" s="12">
        <f>IF(L1907=0,0,SUMIFS('PSI Plan'!$N$6:$N$173,'PSI Plan'!$B$6:$B$173,B1907,'PSI Plan'!$C$6:$C$173,I1907))</f>
        <v>0</v>
      </c>
      <c r="O1907" s="11">
        <f t="shared" si="58"/>
        <v>0</v>
      </c>
      <c r="P1907" s="11">
        <f t="shared" si="59"/>
        <v>0</v>
      </c>
      <c r="Q1907" s="6"/>
      <c r="R1907" s="6"/>
      <c r="S1907" s="6"/>
      <c r="T1907" s="6"/>
    </row>
    <row r="1908" spans="1:20">
      <c r="A1908" s="6" t="s">
        <v>2070</v>
      </c>
      <c r="B1908" s="6" t="s">
        <v>77</v>
      </c>
      <c r="C1908" s="6" t="s">
        <v>90</v>
      </c>
      <c r="D1908" s="6" t="s">
        <v>119</v>
      </c>
      <c r="E1908" s="6" t="s">
        <v>120</v>
      </c>
      <c r="F1908" s="7">
        <v>78</v>
      </c>
      <c r="G1908" s="7">
        <v>9750</v>
      </c>
      <c r="H1908" s="16">
        <v>45260</v>
      </c>
      <c r="I1908" s="6">
        <v>48</v>
      </c>
      <c r="J1908" s="6" t="s">
        <v>121</v>
      </c>
      <c r="K1908" s="6" t="s">
        <v>122</v>
      </c>
      <c r="L1908" s="11">
        <f>F1908*Controls!$B$6</f>
        <v>78</v>
      </c>
      <c r="M1908" s="11">
        <f>G1908*Controls!$B$6</f>
        <v>9750</v>
      </c>
      <c r="N1908" s="12">
        <f>IF(L1908=0,0,SUMIFS('PSI Plan'!$N$6:$N$173,'PSI Plan'!$B$6:$B$173,B1908,'PSI Plan'!$C$6:$C$173,I1908))</f>
        <v>0</v>
      </c>
      <c r="O1908" s="11">
        <f t="shared" si="58"/>
        <v>0</v>
      </c>
      <c r="P1908" s="11">
        <f t="shared" si="59"/>
        <v>0</v>
      </c>
      <c r="Q1908" s="6"/>
      <c r="R1908" s="6"/>
      <c r="S1908" s="6"/>
      <c r="T1908" s="6"/>
    </row>
    <row r="1909" spans="1:20">
      <c r="A1909" s="6" t="s">
        <v>2071</v>
      </c>
      <c r="B1909" s="6" t="s">
        <v>77</v>
      </c>
      <c r="C1909" s="6" t="s">
        <v>99</v>
      </c>
      <c r="D1909" s="6" t="s">
        <v>319</v>
      </c>
      <c r="E1909" s="6" t="s">
        <v>120</v>
      </c>
      <c r="F1909" s="7">
        <v>70</v>
      </c>
      <c r="G1909" s="7">
        <v>8750</v>
      </c>
      <c r="H1909" s="16">
        <v>45226</v>
      </c>
      <c r="I1909" s="6">
        <v>43</v>
      </c>
      <c r="J1909" s="6" t="s">
        <v>121</v>
      </c>
      <c r="K1909" s="6" t="s">
        <v>347</v>
      </c>
      <c r="L1909" s="11">
        <f>F1909*Controls!$B$6</f>
        <v>70</v>
      </c>
      <c r="M1909" s="11">
        <f>G1909*Controls!$B$6</f>
        <v>8750</v>
      </c>
      <c r="N1909" s="12">
        <f>IF(L1909=0,0,SUMIFS('PSI Plan'!$N$6:$N$173,'PSI Plan'!$B$6:$B$173,B1909,'PSI Plan'!$C$6:$C$173,I1909))</f>
        <v>0</v>
      </c>
      <c r="O1909" s="11">
        <f t="shared" si="58"/>
        <v>0</v>
      </c>
      <c r="P1909" s="11">
        <f t="shared" si="59"/>
        <v>0</v>
      </c>
      <c r="Q1909" s="6"/>
      <c r="R1909" s="6"/>
      <c r="S1909" s="6"/>
      <c r="T1909" s="6"/>
    </row>
    <row r="1910" spans="1:20">
      <c r="A1910" s="6" t="s">
        <v>2072</v>
      </c>
      <c r="B1910" s="6" t="s">
        <v>76</v>
      </c>
      <c r="C1910" s="6" t="s">
        <v>99</v>
      </c>
      <c r="D1910" s="6" t="s">
        <v>319</v>
      </c>
      <c r="E1910" s="6" t="s">
        <v>120</v>
      </c>
      <c r="F1910" s="7">
        <v>8</v>
      </c>
      <c r="G1910" s="7">
        <v>1000</v>
      </c>
      <c r="H1910" s="16">
        <v>45276</v>
      </c>
      <c r="I1910" s="6">
        <v>50</v>
      </c>
      <c r="J1910" s="6" t="s">
        <v>121</v>
      </c>
      <c r="K1910" s="6" t="s">
        <v>347</v>
      </c>
      <c r="L1910" s="11">
        <f>F1910*Controls!$B$6</f>
        <v>8</v>
      </c>
      <c r="M1910" s="11">
        <f>G1910*Controls!$B$6</f>
        <v>1000</v>
      </c>
      <c r="N1910" s="12">
        <f>IF(L1910=0,0,SUMIFS('PSI Plan'!$N$6:$N$173,'PSI Plan'!$B$6:$B$173,B1910,'PSI Plan'!$C$6:$C$173,I1910))</f>
        <v>0</v>
      </c>
      <c r="O1910" s="11">
        <f t="shared" si="58"/>
        <v>0</v>
      </c>
      <c r="P1910" s="11">
        <f t="shared" si="59"/>
        <v>0</v>
      </c>
      <c r="Q1910" s="6"/>
      <c r="R1910" s="6"/>
      <c r="S1910" s="6"/>
      <c r="T1910" s="6"/>
    </row>
    <row r="1911" spans="1:20">
      <c r="A1911" s="6" t="s">
        <v>2073</v>
      </c>
      <c r="B1911" s="6" t="s">
        <v>67</v>
      </c>
      <c r="C1911" s="6" t="s">
        <v>99</v>
      </c>
      <c r="D1911" s="6" t="s">
        <v>319</v>
      </c>
      <c r="E1911" s="6" t="s">
        <v>120</v>
      </c>
      <c r="F1911" s="7">
        <v>26</v>
      </c>
      <c r="G1911" s="7">
        <v>3250</v>
      </c>
      <c r="H1911" s="16">
        <v>45239</v>
      </c>
      <c r="I1911" s="6">
        <v>45</v>
      </c>
      <c r="J1911" s="6" t="s">
        <v>121</v>
      </c>
      <c r="K1911" s="6" t="s">
        <v>347</v>
      </c>
      <c r="L1911" s="11">
        <f>F1911*Controls!$B$6</f>
        <v>26</v>
      </c>
      <c r="M1911" s="11">
        <f>G1911*Controls!$B$6</f>
        <v>3250</v>
      </c>
      <c r="N1911" s="12">
        <f>IF(L1911=0,0,SUMIFS('PSI Plan'!$N$6:$N$173,'PSI Plan'!$B$6:$B$173,B1911,'PSI Plan'!$C$6:$C$173,I1911))</f>
        <v>0</v>
      </c>
      <c r="O1911" s="11">
        <f t="shared" si="58"/>
        <v>0</v>
      </c>
      <c r="P1911" s="11">
        <f t="shared" si="59"/>
        <v>0</v>
      </c>
      <c r="Q1911" s="6"/>
      <c r="R1911" s="6"/>
      <c r="S1911" s="6"/>
      <c r="T1911" s="6"/>
    </row>
    <row r="1912" spans="1:20">
      <c r="A1912" s="6" t="s">
        <v>2074</v>
      </c>
      <c r="B1912" s="6" t="s">
        <v>66</v>
      </c>
      <c r="C1912" s="6" t="s">
        <v>100</v>
      </c>
      <c r="D1912" s="6" t="s">
        <v>567</v>
      </c>
      <c r="E1912" s="6" t="s">
        <v>120</v>
      </c>
      <c r="F1912" s="7">
        <v>12</v>
      </c>
      <c r="G1912" s="7">
        <v>1500</v>
      </c>
      <c r="H1912" s="16">
        <v>45256</v>
      </c>
      <c r="I1912" s="6">
        <v>48</v>
      </c>
      <c r="J1912" s="6" t="s">
        <v>121</v>
      </c>
      <c r="K1912" s="6" t="s">
        <v>568</v>
      </c>
      <c r="L1912" s="11">
        <f>F1912*Controls!$B$6</f>
        <v>12</v>
      </c>
      <c r="M1912" s="11">
        <f>G1912*Controls!$B$6</f>
        <v>1500</v>
      </c>
      <c r="N1912" s="12">
        <f>IF(L1912=0,0,SUMIFS('PSI Plan'!$N$6:$N$173,'PSI Plan'!$B$6:$B$173,B1912,'PSI Plan'!$C$6:$C$173,I1912))</f>
        <v>0</v>
      </c>
      <c r="O1912" s="11">
        <f t="shared" si="58"/>
        <v>0</v>
      </c>
      <c r="P1912" s="11">
        <f t="shared" si="59"/>
        <v>0</v>
      </c>
      <c r="Q1912" s="6"/>
      <c r="R1912" s="6"/>
      <c r="S1912" s="6"/>
      <c r="T1912" s="6"/>
    </row>
    <row r="1913" spans="1:20">
      <c r="A1913" s="6" t="s">
        <v>2075</v>
      </c>
      <c r="B1913" s="6" t="s">
        <v>77</v>
      </c>
      <c r="C1913" s="6" t="s">
        <v>100</v>
      </c>
      <c r="D1913" s="6" t="s">
        <v>567</v>
      </c>
      <c r="E1913" s="6" t="s">
        <v>120</v>
      </c>
      <c r="F1913" s="7">
        <v>12</v>
      </c>
      <c r="G1913" s="7">
        <v>1500</v>
      </c>
      <c r="H1913" s="16">
        <v>45207</v>
      </c>
      <c r="I1913" s="6">
        <v>41</v>
      </c>
      <c r="J1913" s="6" t="s">
        <v>121</v>
      </c>
      <c r="K1913" s="6" t="s">
        <v>568</v>
      </c>
      <c r="L1913" s="11">
        <f>F1913*Controls!$B$6</f>
        <v>12</v>
      </c>
      <c r="M1913" s="11">
        <f>G1913*Controls!$B$6</f>
        <v>1500</v>
      </c>
      <c r="N1913" s="12">
        <f>IF(L1913=0,0,SUMIFS('PSI Plan'!$N$6:$N$173,'PSI Plan'!$B$6:$B$173,B1913,'PSI Plan'!$C$6:$C$173,I1913))</f>
        <v>0</v>
      </c>
      <c r="O1913" s="11">
        <f t="shared" si="58"/>
        <v>0</v>
      </c>
      <c r="P1913" s="11">
        <f t="shared" si="59"/>
        <v>0</v>
      </c>
      <c r="Q1913" s="6"/>
      <c r="R1913" s="6"/>
      <c r="S1913" s="6"/>
      <c r="T1913" s="6"/>
    </row>
    <row r="1914" spans="1:20">
      <c r="A1914" s="6" t="s">
        <v>2076</v>
      </c>
      <c r="B1914" s="6" t="s">
        <v>76</v>
      </c>
      <c r="C1914" s="6" t="s">
        <v>100</v>
      </c>
      <c r="D1914" s="6" t="s">
        <v>567</v>
      </c>
      <c r="E1914" s="6" t="s">
        <v>120</v>
      </c>
      <c r="F1914" s="7">
        <v>8</v>
      </c>
      <c r="G1914" s="7">
        <v>1000</v>
      </c>
      <c r="H1914" s="16">
        <v>45217</v>
      </c>
      <c r="I1914" s="6">
        <v>42</v>
      </c>
      <c r="J1914" s="6" t="s">
        <v>121</v>
      </c>
      <c r="K1914" s="6" t="s">
        <v>568</v>
      </c>
      <c r="L1914" s="11">
        <f>F1914*Controls!$B$6</f>
        <v>8</v>
      </c>
      <c r="M1914" s="11">
        <f>G1914*Controls!$B$6</f>
        <v>1000</v>
      </c>
      <c r="N1914" s="12">
        <f>IF(L1914=0,0,SUMIFS('PSI Plan'!$N$6:$N$173,'PSI Plan'!$B$6:$B$173,B1914,'PSI Plan'!$C$6:$C$173,I1914))</f>
        <v>0</v>
      </c>
      <c r="O1914" s="11">
        <f t="shared" si="58"/>
        <v>0</v>
      </c>
      <c r="P1914" s="11">
        <f t="shared" si="59"/>
        <v>0</v>
      </c>
      <c r="Q1914" s="6"/>
      <c r="R1914" s="6"/>
      <c r="S1914" s="6"/>
      <c r="T1914" s="6"/>
    </row>
    <row r="1915" spans="1:20">
      <c r="A1915" s="6" t="s">
        <v>2077</v>
      </c>
      <c r="B1915" s="6" t="s">
        <v>69</v>
      </c>
      <c r="C1915" s="6" t="s">
        <v>100</v>
      </c>
      <c r="D1915" s="6" t="s">
        <v>567</v>
      </c>
      <c r="E1915" s="6" t="s">
        <v>120</v>
      </c>
      <c r="F1915" s="7">
        <v>8</v>
      </c>
      <c r="G1915" s="7">
        <v>1000</v>
      </c>
      <c r="H1915" s="16">
        <v>45254</v>
      </c>
      <c r="I1915" s="6">
        <v>47</v>
      </c>
      <c r="J1915" s="6" t="s">
        <v>121</v>
      </c>
      <c r="K1915" s="6" t="s">
        <v>568</v>
      </c>
      <c r="L1915" s="11">
        <f>F1915*Controls!$B$6</f>
        <v>8</v>
      </c>
      <c r="M1915" s="11">
        <f>G1915*Controls!$B$6</f>
        <v>1000</v>
      </c>
      <c r="N1915" s="12">
        <f>IF(L1915=0,0,SUMIFS('PSI Plan'!$N$6:$N$173,'PSI Plan'!$B$6:$B$173,B1915,'PSI Plan'!$C$6:$C$173,I1915))</f>
        <v>0</v>
      </c>
      <c r="O1915" s="11">
        <f t="shared" si="58"/>
        <v>0</v>
      </c>
      <c r="P1915" s="11">
        <f t="shared" si="59"/>
        <v>0</v>
      </c>
      <c r="Q1915" s="6"/>
      <c r="R1915" s="6"/>
      <c r="S1915" s="6"/>
      <c r="T1915" s="6"/>
    </row>
    <row r="1916" spans="1:20">
      <c r="A1916" s="6" t="s">
        <v>2078</v>
      </c>
      <c r="B1916" s="6" t="s">
        <v>66</v>
      </c>
      <c r="C1916" s="6" t="s">
        <v>90</v>
      </c>
      <c r="D1916" s="6" t="s">
        <v>119</v>
      </c>
      <c r="E1916" s="6" t="s">
        <v>120</v>
      </c>
      <c r="F1916" s="7">
        <v>13</v>
      </c>
      <c r="G1916" s="7">
        <v>1625</v>
      </c>
      <c r="H1916" s="16">
        <v>45241</v>
      </c>
      <c r="I1916" s="6">
        <v>45</v>
      </c>
      <c r="J1916" s="6" t="s">
        <v>1791</v>
      </c>
      <c r="K1916" s="6" t="s">
        <v>1890</v>
      </c>
      <c r="L1916" s="11">
        <f>F1916*Controls!$B$6</f>
        <v>13</v>
      </c>
      <c r="M1916" s="11">
        <f>G1916*Controls!$B$6</f>
        <v>1625</v>
      </c>
      <c r="N1916" s="12">
        <f>IF(L1916=0,0,SUMIFS('PSI Plan'!$N$6:$N$173,'PSI Plan'!$B$6:$B$173,B1916,'PSI Plan'!$C$6:$C$173,I1916))</f>
        <v>0</v>
      </c>
      <c r="O1916" s="11">
        <f t="shared" si="58"/>
        <v>0</v>
      </c>
      <c r="P1916" s="11">
        <f t="shared" si="59"/>
        <v>0</v>
      </c>
      <c r="Q1916" s="6"/>
      <c r="R1916" s="6"/>
      <c r="S1916" s="6"/>
      <c r="T1916" s="6"/>
    </row>
    <row r="1917" spans="1:20">
      <c r="A1917" s="6" t="s">
        <v>2079</v>
      </c>
      <c r="B1917" s="6" t="s">
        <v>66</v>
      </c>
      <c r="C1917" s="6" t="s">
        <v>90</v>
      </c>
      <c r="D1917" s="6" t="s">
        <v>119</v>
      </c>
      <c r="E1917" s="6" t="s">
        <v>120</v>
      </c>
      <c r="F1917" s="7">
        <v>13</v>
      </c>
      <c r="G1917" s="7">
        <v>1625</v>
      </c>
      <c r="H1917" s="16">
        <v>45271</v>
      </c>
      <c r="I1917" s="6">
        <v>50</v>
      </c>
      <c r="J1917" s="6" t="s">
        <v>1791</v>
      </c>
      <c r="K1917" s="6" t="s">
        <v>1890</v>
      </c>
      <c r="L1917" s="11">
        <f>F1917*Controls!$B$6</f>
        <v>13</v>
      </c>
      <c r="M1917" s="11">
        <f>G1917*Controls!$B$6</f>
        <v>1625</v>
      </c>
      <c r="N1917" s="12">
        <f>IF(L1917=0,0,SUMIFS('PSI Plan'!$N$6:$N$173,'PSI Plan'!$B$6:$B$173,B1917,'PSI Plan'!$C$6:$C$173,I1917))</f>
        <v>0</v>
      </c>
      <c r="O1917" s="11">
        <f t="shared" si="58"/>
        <v>0</v>
      </c>
      <c r="P1917" s="11">
        <f t="shared" si="59"/>
        <v>0</v>
      </c>
      <c r="Q1917" s="6"/>
      <c r="R1917" s="6"/>
      <c r="S1917" s="6"/>
      <c r="T1917" s="6"/>
    </row>
    <row r="1918" spans="1:20">
      <c r="A1918" s="6" t="s">
        <v>2080</v>
      </c>
      <c r="B1918" s="6" t="s">
        <v>76</v>
      </c>
      <c r="C1918" s="6" t="s">
        <v>90</v>
      </c>
      <c r="D1918" s="6" t="s">
        <v>119</v>
      </c>
      <c r="E1918" s="6" t="s">
        <v>120</v>
      </c>
      <c r="F1918" s="7">
        <v>13</v>
      </c>
      <c r="G1918" s="7">
        <v>1625</v>
      </c>
      <c r="H1918" s="16">
        <v>45225</v>
      </c>
      <c r="I1918" s="6">
        <v>43</v>
      </c>
      <c r="J1918" s="6" t="s">
        <v>1791</v>
      </c>
      <c r="K1918" s="6" t="s">
        <v>1890</v>
      </c>
      <c r="L1918" s="11">
        <f>F1918*Controls!$B$6</f>
        <v>13</v>
      </c>
      <c r="M1918" s="11">
        <f>G1918*Controls!$B$6</f>
        <v>1625</v>
      </c>
      <c r="N1918" s="12">
        <f>IF(L1918=0,0,SUMIFS('PSI Plan'!$N$6:$N$173,'PSI Plan'!$B$6:$B$173,B1918,'PSI Plan'!$C$6:$C$173,I1918))</f>
        <v>0</v>
      </c>
      <c r="O1918" s="11">
        <f t="shared" si="58"/>
        <v>0</v>
      </c>
      <c r="P1918" s="11">
        <f t="shared" si="59"/>
        <v>0</v>
      </c>
      <c r="Q1918" s="6"/>
      <c r="R1918" s="6"/>
      <c r="S1918" s="6"/>
      <c r="T1918" s="6"/>
    </row>
    <row r="1919" spans="1:20">
      <c r="A1919" s="6" t="s">
        <v>2081</v>
      </c>
      <c r="B1919" s="6" t="s">
        <v>67</v>
      </c>
      <c r="C1919" s="6" t="s">
        <v>90</v>
      </c>
      <c r="D1919" s="6" t="s">
        <v>119</v>
      </c>
      <c r="E1919" s="6" t="s">
        <v>120</v>
      </c>
      <c r="F1919" s="7">
        <v>13</v>
      </c>
      <c r="G1919" s="7">
        <v>1625</v>
      </c>
      <c r="H1919" s="16">
        <v>45242</v>
      </c>
      <c r="I1919" s="6">
        <v>46</v>
      </c>
      <c r="J1919" s="6" t="s">
        <v>1791</v>
      </c>
      <c r="K1919" s="6" t="s">
        <v>1890</v>
      </c>
      <c r="L1919" s="11">
        <f>F1919*Controls!$B$6</f>
        <v>13</v>
      </c>
      <c r="M1919" s="11">
        <f>G1919*Controls!$B$6</f>
        <v>1625</v>
      </c>
      <c r="N1919" s="12">
        <f>IF(L1919=0,0,SUMIFS('PSI Plan'!$N$6:$N$173,'PSI Plan'!$B$6:$B$173,B1919,'PSI Plan'!$C$6:$C$173,I1919))</f>
        <v>0</v>
      </c>
      <c r="O1919" s="11">
        <f t="shared" si="58"/>
        <v>0</v>
      </c>
      <c r="P1919" s="11">
        <f t="shared" si="59"/>
        <v>0</v>
      </c>
      <c r="Q1919" s="6"/>
      <c r="R1919" s="6"/>
      <c r="S1919" s="6"/>
      <c r="T1919" s="6"/>
    </row>
    <row r="1920" spans="1:20">
      <c r="A1920" s="6" t="s">
        <v>2082</v>
      </c>
      <c r="B1920" s="6" t="s">
        <v>77</v>
      </c>
      <c r="C1920" s="6" t="s">
        <v>90</v>
      </c>
      <c r="D1920" s="6" t="s">
        <v>119</v>
      </c>
      <c r="E1920" s="6" t="s">
        <v>120</v>
      </c>
      <c r="F1920" s="7">
        <v>13</v>
      </c>
      <c r="G1920" s="7">
        <v>1625</v>
      </c>
      <c r="H1920" s="16">
        <v>45218</v>
      </c>
      <c r="I1920" s="6">
        <v>42</v>
      </c>
      <c r="J1920" s="6" t="s">
        <v>121</v>
      </c>
      <c r="K1920" s="6" t="s">
        <v>1695</v>
      </c>
      <c r="L1920" s="11">
        <f>F1920*Controls!$B$6</f>
        <v>13</v>
      </c>
      <c r="M1920" s="11">
        <f>G1920*Controls!$B$6</f>
        <v>1625</v>
      </c>
      <c r="N1920" s="12">
        <f>IF(L1920=0,0,SUMIFS('PSI Plan'!$N$6:$N$173,'PSI Plan'!$B$6:$B$173,B1920,'PSI Plan'!$C$6:$C$173,I1920))</f>
        <v>0</v>
      </c>
      <c r="O1920" s="11">
        <f t="shared" si="58"/>
        <v>0</v>
      </c>
      <c r="P1920" s="11">
        <f t="shared" si="59"/>
        <v>0</v>
      </c>
      <c r="Q1920" s="6"/>
      <c r="R1920" s="6"/>
      <c r="S1920" s="6"/>
      <c r="T1920" s="6"/>
    </row>
    <row r="1921" spans="1:20">
      <c r="A1921" s="6" t="s">
        <v>2083</v>
      </c>
      <c r="B1921" s="6" t="s">
        <v>76</v>
      </c>
      <c r="C1921" s="6" t="s">
        <v>90</v>
      </c>
      <c r="D1921" s="6" t="s">
        <v>119</v>
      </c>
      <c r="E1921" s="6" t="s">
        <v>120</v>
      </c>
      <c r="F1921" s="7">
        <v>13</v>
      </c>
      <c r="G1921" s="7">
        <v>1625</v>
      </c>
      <c r="H1921" s="16">
        <v>45272</v>
      </c>
      <c r="I1921" s="6">
        <v>50</v>
      </c>
      <c r="J1921" s="6" t="s">
        <v>121</v>
      </c>
      <c r="K1921" s="6" t="s">
        <v>1695</v>
      </c>
      <c r="L1921" s="11">
        <f>F1921*Controls!$B$6</f>
        <v>13</v>
      </c>
      <c r="M1921" s="11">
        <f>G1921*Controls!$B$6</f>
        <v>1625</v>
      </c>
      <c r="N1921" s="12">
        <f>IF(L1921=0,0,SUMIFS('PSI Plan'!$N$6:$N$173,'PSI Plan'!$B$6:$B$173,B1921,'PSI Plan'!$C$6:$C$173,I1921))</f>
        <v>0</v>
      </c>
      <c r="O1921" s="11">
        <f t="shared" si="58"/>
        <v>0</v>
      </c>
      <c r="P1921" s="11">
        <f t="shared" si="59"/>
        <v>0</v>
      </c>
      <c r="Q1921" s="6"/>
      <c r="R1921" s="6"/>
      <c r="S1921" s="6"/>
      <c r="T1921" s="6"/>
    </row>
    <row r="1922" spans="1:20">
      <c r="A1922" s="6" t="s">
        <v>2084</v>
      </c>
      <c r="B1922" s="6" t="s">
        <v>69</v>
      </c>
      <c r="C1922" s="6" t="s">
        <v>90</v>
      </c>
      <c r="D1922" s="6" t="s">
        <v>119</v>
      </c>
      <c r="E1922" s="6" t="s">
        <v>120</v>
      </c>
      <c r="F1922" s="7">
        <v>13</v>
      </c>
      <c r="G1922" s="7">
        <v>1625</v>
      </c>
      <c r="H1922" s="16">
        <v>45235</v>
      </c>
      <c r="I1922" s="6">
        <v>45</v>
      </c>
      <c r="J1922" s="6" t="s">
        <v>121</v>
      </c>
      <c r="K1922" s="6" t="s">
        <v>1695</v>
      </c>
      <c r="L1922" s="11">
        <f>F1922*Controls!$B$6</f>
        <v>13</v>
      </c>
      <c r="M1922" s="11">
        <f>G1922*Controls!$B$6</f>
        <v>1625</v>
      </c>
      <c r="N1922" s="12">
        <f>IF(L1922=0,0,SUMIFS('PSI Plan'!$N$6:$N$173,'PSI Plan'!$B$6:$B$173,B1922,'PSI Plan'!$C$6:$C$173,I1922))</f>
        <v>0</v>
      </c>
      <c r="O1922" s="11">
        <f t="shared" ref="O1922:O1985" si="60">L1922*N1922</f>
        <v>0</v>
      </c>
      <c r="P1922" s="11">
        <f t="shared" ref="P1922:P1985" si="61">M1922*N1922</f>
        <v>0</v>
      </c>
      <c r="Q1922" s="6"/>
      <c r="R1922" s="6"/>
      <c r="S1922" s="6"/>
      <c r="T1922" s="6"/>
    </row>
    <row r="1923" spans="1:20">
      <c r="A1923" s="6" t="s">
        <v>2085</v>
      </c>
      <c r="B1923" s="6" t="s">
        <v>66</v>
      </c>
      <c r="C1923" s="6" t="s">
        <v>90</v>
      </c>
      <c r="D1923" s="6" t="s">
        <v>119</v>
      </c>
      <c r="E1923" s="6" t="s">
        <v>120</v>
      </c>
      <c r="F1923" s="7">
        <v>52</v>
      </c>
      <c r="G1923" s="7">
        <v>6500</v>
      </c>
      <c r="H1923" s="16">
        <v>45229</v>
      </c>
      <c r="I1923" s="6">
        <v>44</v>
      </c>
      <c r="J1923" s="6" t="s">
        <v>121</v>
      </c>
      <c r="K1923" s="6" t="s">
        <v>122</v>
      </c>
      <c r="L1923" s="11">
        <f>F1923*Controls!$B$6</f>
        <v>52</v>
      </c>
      <c r="M1923" s="11">
        <f>G1923*Controls!$B$6</f>
        <v>6500</v>
      </c>
      <c r="N1923" s="12">
        <f>IF(L1923=0,0,SUMIFS('PSI Plan'!$N$6:$N$173,'PSI Plan'!$B$6:$B$173,B1923,'PSI Plan'!$C$6:$C$173,I1923))</f>
        <v>0</v>
      </c>
      <c r="O1923" s="11">
        <f t="shared" si="60"/>
        <v>0</v>
      </c>
      <c r="P1923" s="11">
        <f t="shared" si="61"/>
        <v>0</v>
      </c>
      <c r="Q1923" s="6"/>
      <c r="R1923" s="6"/>
      <c r="S1923" s="6"/>
      <c r="T1923" s="6"/>
    </row>
    <row r="1924" spans="1:20">
      <c r="A1924" s="6" t="s">
        <v>2086</v>
      </c>
      <c r="B1924" s="6" t="s">
        <v>77</v>
      </c>
      <c r="C1924" s="6" t="s">
        <v>90</v>
      </c>
      <c r="D1924" s="6" t="s">
        <v>119</v>
      </c>
      <c r="E1924" s="6" t="s">
        <v>120</v>
      </c>
      <c r="F1924" s="7">
        <v>52</v>
      </c>
      <c r="G1924" s="7">
        <v>6500</v>
      </c>
      <c r="H1924" s="16">
        <v>45232</v>
      </c>
      <c r="I1924" s="6">
        <v>44</v>
      </c>
      <c r="J1924" s="6" t="s">
        <v>121</v>
      </c>
      <c r="K1924" s="6" t="s">
        <v>122</v>
      </c>
      <c r="L1924" s="11">
        <f>F1924*Controls!$B$6</f>
        <v>52</v>
      </c>
      <c r="M1924" s="11">
        <f>G1924*Controls!$B$6</f>
        <v>6500</v>
      </c>
      <c r="N1924" s="12">
        <f>IF(L1924=0,0,SUMIFS('PSI Plan'!$N$6:$N$173,'PSI Plan'!$B$6:$B$173,B1924,'PSI Plan'!$C$6:$C$173,I1924))</f>
        <v>0</v>
      </c>
      <c r="O1924" s="11">
        <f t="shared" si="60"/>
        <v>0</v>
      </c>
      <c r="P1924" s="11">
        <f t="shared" si="61"/>
        <v>0</v>
      </c>
      <c r="Q1924" s="6"/>
      <c r="R1924" s="6"/>
      <c r="S1924" s="6"/>
      <c r="T1924" s="6"/>
    </row>
    <row r="1925" spans="1:20">
      <c r="A1925" s="6" t="s">
        <v>2087</v>
      </c>
      <c r="B1925" s="6" t="s">
        <v>76</v>
      </c>
      <c r="C1925" s="6" t="s">
        <v>90</v>
      </c>
      <c r="D1925" s="6" t="s">
        <v>119</v>
      </c>
      <c r="E1925" s="6" t="s">
        <v>120</v>
      </c>
      <c r="F1925" s="7">
        <v>65</v>
      </c>
      <c r="G1925" s="7">
        <v>8125</v>
      </c>
      <c r="H1925" s="16">
        <v>45256</v>
      </c>
      <c r="I1925" s="6">
        <v>48</v>
      </c>
      <c r="J1925" s="6" t="s">
        <v>121</v>
      </c>
      <c r="K1925" s="6" t="s">
        <v>122</v>
      </c>
      <c r="L1925" s="11">
        <f>F1925*Controls!$B$6</f>
        <v>65</v>
      </c>
      <c r="M1925" s="11">
        <f>G1925*Controls!$B$6</f>
        <v>8125</v>
      </c>
      <c r="N1925" s="12">
        <f>IF(L1925=0,0,SUMIFS('PSI Plan'!$N$6:$N$173,'PSI Plan'!$B$6:$B$173,B1925,'PSI Plan'!$C$6:$C$173,I1925))</f>
        <v>0</v>
      </c>
      <c r="O1925" s="11">
        <f t="shared" si="60"/>
        <v>0</v>
      </c>
      <c r="P1925" s="11">
        <f t="shared" si="61"/>
        <v>0</v>
      </c>
      <c r="Q1925" s="6"/>
      <c r="R1925" s="6"/>
      <c r="S1925" s="6"/>
      <c r="T1925" s="6"/>
    </row>
    <row r="1926" spans="1:20">
      <c r="A1926" s="6" t="s">
        <v>2088</v>
      </c>
      <c r="B1926" s="6" t="s">
        <v>67</v>
      </c>
      <c r="C1926" s="6" t="s">
        <v>90</v>
      </c>
      <c r="D1926" s="6" t="s">
        <v>119</v>
      </c>
      <c r="E1926" s="6" t="s">
        <v>120</v>
      </c>
      <c r="F1926" s="7">
        <v>26</v>
      </c>
      <c r="G1926" s="7">
        <v>3250</v>
      </c>
      <c r="H1926" s="16">
        <v>45239</v>
      </c>
      <c r="I1926" s="6">
        <v>45</v>
      </c>
      <c r="J1926" s="6" t="s">
        <v>121</v>
      </c>
      <c r="K1926" s="6" t="s">
        <v>122</v>
      </c>
      <c r="L1926" s="11">
        <f>F1926*Controls!$B$6</f>
        <v>26</v>
      </c>
      <c r="M1926" s="11">
        <f>G1926*Controls!$B$6</f>
        <v>3250</v>
      </c>
      <c r="N1926" s="12">
        <f>IF(L1926=0,0,SUMIFS('PSI Plan'!$N$6:$N$173,'PSI Plan'!$B$6:$B$173,B1926,'PSI Plan'!$C$6:$C$173,I1926))</f>
        <v>0</v>
      </c>
      <c r="O1926" s="11">
        <f t="shared" si="60"/>
        <v>0</v>
      </c>
      <c r="P1926" s="11">
        <f t="shared" si="61"/>
        <v>0</v>
      </c>
      <c r="Q1926" s="6"/>
      <c r="R1926" s="6"/>
      <c r="S1926" s="6"/>
      <c r="T1926" s="6"/>
    </row>
    <row r="1927" spans="1:20">
      <c r="A1927" s="6" t="s">
        <v>2089</v>
      </c>
      <c r="B1927" s="6" t="s">
        <v>66</v>
      </c>
      <c r="C1927" s="6" t="s">
        <v>102</v>
      </c>
      <c r="D1927" s="6" t="s">
        <v>1895</v>
      </c>
      <c r="E1927" s="6" t="s">
        <v>120</v>
      </c>
      <c r="F1927" s="7">
        <v>20</v>
      </c>
      <c r="G1927" s="7">
        <v>2500</v>
      </c>
      <c r="H1927" s="16">
        <v>45260</v>
      </c>
      <c r="I1927" s="6">
        <v>48</v>
      </c>
      <c r="J1927" s="6" t="s">
        <v>1791</v>
      </c>
      <c r="K1927" s="6" t="s">
        <v>1896</v>
      </c>
      <c r="L1927" s="11">
        <f>F1927*Controls!$B$6</f>
        <v>20</v>
      </c>
      <c r="M1927" s="11">
        <f>G1927*Controls!$B$6</f>
        <v>2500</v>
      </c>
      <c r="N1927" s="12">
        <f>IF(L1927=0,0,SUMIFS('PSI Plan'!$N$6:$N$173,'PSI Plan'!$B$6:$B$173,B1927,'PSI Plan'!$C$6:$C$173,I1927))</f>
        <v>0</v>
      </c>
      <c r="O1927" s="11">
        <f t="shared" si="60"/>
        <v>0</v>
      </c>
      <c r="P1927" s="11">
        <f t="shared" si="61"/>
        <v>0</v>
      </c>
      <c r="Q1927" s="6"/>
      <c r="R1927" s="6"/>
      <c r="S1927" s="6"/>
      <c r="T1927" s="6"/>
    </row>
    <row r="1928" spans="1:20">
      <c r="A1928" s="6" t="s">
        <v>2090</v>
      </c>
      <c r="B1928" s="6" t="s">
        <v>66</v>
      </c>
      <c r="C1928" s="6" t="s">
        <v>102</v>
      </c>
      <c r="D1928" s="6" t="s">
        <v>1895</v>
      </c>
      <c r="E1928" s="6" t="s">
        <v>120</v>
      </c>
      <c r="F1928" s="7">
        <v>50</v>
      </c>
      <c r="G1928" s="7">
        <v>6250</v>
      </c>
      <c r="H1928" s="16">
        <v>45274</v>
      </c>
      <c r="I1928" s="6">
        <v>50</v>
      </c>
      <c r="J1928" s="6" t="s">
        <v>1791</v>
      </c>
      <c r="K1928" s="6" t="s">
        <v>1896</v>
      </c>
      <c r="L1928" s="11">
        <f>F1928*Controls!$B$6</f>
        <v>50</v>
      </c>
      <c r="M1928" s="11">
        <f>G1928*Controls!$B$6</f>
        <v>6250</v>
      </c>
      <c r="N1928" s="12">
        <f>IF(L1928=0,0,SUMIFS('PSI Plan'!$N$6:$N$173,'PSI Plan'!$B$6:$B$173,B1928,'PSI Plan'!$C$6:$C$173,I1928))</f>
        <v>0</v>
      </c>
      <c r="O1928" s="11">
        <f t="shared" si="60"/>
        <v>0</v>
      </c>
      <c r="P1928" s="11">
        <f t="shared" si="61"/>
        <v>0</v>
      </c>
      <c r="Q1928" s="6"/>
      <c r="R1928" s="6"/>
      <c r="S1928" s="6"/>
      <c r="T1928" s="6"/>
    </row>
    <row r="1929" spans="1:20">
      <c r="A1929" s="6" t="s">
        <v>2091</v>
      </c>
      <c r="B1929" s="6" t="s">
        <v>67</v>
      </c>
      <c r="C1929" s="6" t="s">
        <v>102</v>
      </c>
      <c r="D1929" s="6" t="s">
        <v>1895</v>
      </c>
      <c r="E1929" s="6" t="s">
        <v>120</v>
      </c>
      <c r="F1929" s="7">
        <v>30</v>
      </c>
      <c r="G1929" s="7">
        <v>3750</v>
      </c>
      <c r="H1929" s="16">
        <v>45230</v>
      </c>
      <c r="I1929" s="6">
        <v>44</v>
      </c>
      <c r="J1929" s="6" t="s">
        <v>1791</v>
      </c>
      <c r="K1929" s="6" t="s">
        <v>1896</v>
      </c>
      <c r="L1929" s="11">
        <f>F1929*Controls!$B$6</f>
        <v>30</v>
      </c>
      <c r="M1929" s="11">
        <f>G1929*Controls!$B$6</f>
        <v>3750</v>
      </c>
      <c r="N1929" s="12">
        <f>IF(L1929=0,0,SUMIFS('PSI Plan'!$N$6:$N$173,'PSI Plan'!$B$6:$B$173,B1929,'PSI Plan'!$C$6:$C$173,I1929))</f>
        <v>0</v>
      </c>
      <c r="O1929" s="11">
        <f t="shared" si="60"/>
        <v>0</v>
      </c>
      <c r="P1929" s="11">
        <f t="shared" si="61"/>
        <v>0</v>
      </c>
      <c r="Q1929" s="6"/>
      <c r="R1929" s="6"/>
      <c r="S1929" s="6"/>
      <c r="T1929" s="6"/>
    </row>
    <row r="1930" spans="1:20">
      <c r="A1930" s="6" t="s">
        <v>2092</v>
      </c>
      <c r="B1930" s="6" t="s">
        <v>77</v>
      </c>
      <c r="C1930" s="6" t="s">
        <v>99</v>
      </c>
      <c r="D1930" s="6" t="s">
        <v>319</v>
      </c>
      <c r="E1930" s="6" t="s">
        <v>120</v>
      </c>
      <c r="F1930" s="7">
        <v>44</v>
      </c>
      <c r="G1930" s="7">
        <v>5500</v>
      </c>
      <c r="H1930" s="16">
        <v>45257</v>
      </c>
      <c r="I1930" s="6">
        <v>48</v>
      </c>
      <c r="J1930" s="6" t="s">
        <v>121</v>
      </c>
      <c r="K1930" s="6" t="s">
        <v>347</v>
      </c>
      <c r="L1930" s="11">
        <f>F1930*Controls!$B$6</f>
        <v>44</v>
      </c>
      <c r="M1930" s="11">
        <f>G1930*Controls!$B$6</f>
        <v>5500</v>
      </c>
      <c r="N1930" s="12">
        <f>IF(L1930=0,0,SUMIFS('PSI Plan'!$N$6:$N$173,'PSI Plan'!$B$6:$B$173,B1930,'PSI Plan'!$C$6:$C$173,I1930))</f>
        <v>0</v>
      </c>
      <c r="O1930" s="11">
        <f t="shared" si="60"/>
        <v>0</v>
      </c>
      <c r="P1930" s="11">
        <f t="shared" si="61"/>
        <v>0</v>
      </c>
      <c r="Q1930" s="6"/>
      <c r="R1930" s="6"/>
      <c r="S1930" s="6"/>
      <c r="T1930" s="6"/>
    </row>
    <row r="1931" spans="1:20">
      <c r="A1931" s="6" t="s">
        <v>2093</v>
      </c>
      <c r="B1931" s="6" t="s">
        <v>76</v>
      </c>
      <c r="C1931" s="6" t="s">
        <v>99</v>
      </c>
      <c r="D1931" s="6" t="s">
        <v>319</v>
      </c>
      <c r="E1931" s="6" t="s">
        <v>120</v>
      </c>
      <c r="F1931" s="7">
        <v>12</v>
      </c>
      <c r="G1931" s="7">
        <v>1500</v>
      </c>
      <c r="H1931" s="16">
        <v>45252</v>
      </c>
      <c r="I1931" s="6">
        <v>47</v>
      </c>
      <c r="J1931" s="6" t="s">
        <v>121</v>
      </c>
      <c r="K1931" s="6" t="s">
        <v>347</v>
      </c>
      <c r="L1931" s="11">
        <f>F1931*Controls!$B$6</f>
        <v>12</v>
      </c>
      <c r="M1931" s="11">
        <f>G1931*Controls!$B$6</f>
        <v>1500</v>
      </c>
      <c r="N1931" s="12">
        <f>IF(L1931=0,0,SUMIFS('PSI Plan'!$N$6:$N$173,'PSI Plan'!$B$6:$B$173,B1931,'PSI Plan'!$C$6:$C$173,I1931))</f>
        <v>0</v>
      </c>
      <c r="O1931" s="11">
        <f t="shared" si="60"/>
        <v>0</v>
      </c>
      <c r="P1931" s="11">
        <f t="shared" si="61"/>
        <v>0</v>
      </c>
      <c r="Q1931" s="6"/>
      <c r="R1931" s="6"/>
      <c r="S1931" s="6"/>
      <c r="T1931" s="6"/>
    </row>
    <row r="1932" spans="1:20">
      <c r="A1932" s="6" t="s">
        <v>2094</v>
      </c>
      <c r="B1932" s="6" t="s">
        <v>67</v>
      </c>
      <c r="C1932" s="6" t="s">
        <v>99</v>
      </c>
      <c r="D1932" s="6" t="s">
        <v>319</v>
      </c>
      <c r="E1932" s="6" t="s">
        <v>120</v>
      </c>
      <c r="F1932" s="7">
        <v>42</v>
      </c>
      <c r="G1932" s="7">
        <v>5250</v>
      </c>
      <c r="H1932" s="16">
        <v>45261</v>
      </c>
      <c r="I1932" s="6">
        <v>48</v>
      </c>
      <c r="J1932" s="6" t="s">
        <v>121</v>
      </c>
      <c r="K1932" s="6" t="s">
        <v>347</v>
      </c>
      <c r="L1932" s="11">
        <f>F1932*Controls!$B$6</f>
        <v>42</v>
      </c>
      <c r="M1932" s="11">
        <f>G1932*Controls!$B$6</f>
        <v>5250</v>
      </c>
      <c r="N1932" s="12">
        <f>IF(L1932=0,0,SUMIFS('PSI Plan'!$N$6:$N$173,'PSI Plan'!$B$6:$B$173,B1932,'PSI Plan'!$C$6:$C$173,I1932))</f>
        <v>0</v>
      </c>
      <c r="O1932" s="11">
        <f t="shared" si="60"/>
        <v>0</v>
      </c>
      <c r="P1932" s="11">
        <f t="shared" si="61"/>
        <v>0</v>
      </c>
      <c r="Q1932" s="6"/>
      <c r="R1932" s="6"/>
      <c r="S1932" s="6"/>
      <c r="T1932" s="6"/>
    </row>
    <row r="1933" spans="1:20">
      <c r="A1933" s="6" t="s">
        <v>2095</v>
      </c>
      <c r="B1933" s="6" t="s">
        <v>69</v>
      </c>
      <c r="C1933" s="6" t="s">
        <v>90</v>
      </c>
      <c r="D1933" s="6" t="s">
        <v>119</v>
      </c>
      <c r="E1933" s="6" t="s">
        <v>120</v>
      </c>
      <c r="F1933" s="7">
        <v>26</v>
      </c>
      <c r="G1933" s="7">
        <v>3250</v>
      </c>
      <c r="H1933" s="16">
        <v>45215</v>
      </c>
      <c r="I1933" s="6">
        <v>42</v>
      </c>
      <c r="J1933" s="6" t="s">
        <v>121</v>
      </c>
      <c r="K1933" s="6" t="s">
        <v>298</v>
      </c>
      <c r="L1933" s="11">
        <f>F1933*Controls!$B$6</f>
        <v>26</v>
      </c>
      <c r="M1933" s="11">
        <f>G1933*Controls!$B$6</f>
        <v>3250</v>
      </c>
      <c r="N1933" s="12">
        <f>IF(L1933=0,0,SUMIFS('PSI Plan'!$N$6:$N$173,'PSI Plan'!$B$6:$B$173,B1933,'PSI Plan'!$C$6:$C$173,I1933))</f>
        <v>0</v>
      </c>
      <c r="O1933" s="11">
        <f t="shared" si="60"/>
        <v>0</v>
      </c>
      <c r="P1933" s="11">
        <f t="shared" si="61"/>
        <v>0</v>
      </c>
      <c r="Q1933" s="6"/>
      <c r="R1933" s="6"/>
      <c r="S1933" s="6"/>
      <c r="T1933" s="6"/>
    </row>
    <row r="1934" spans="1:20">
      <c r="A1934" s="6" t="s">
        <v>2096</v>
      </c>
      <c r="B1934" s="6" t="s">
        <v>66</v>
      </c>
      <c r="C1934" s="6" t="s">
        <v>90</v>
      </c>
      <c r="D1934" s="6" t="s">
        <v>119</v>
      </c>
      <c r="E1934" s="6" t="s">
        <v>120</v>
      </c>
      <c r="F1934" s="7">
        <v>13</v>
      </c>
      <c r="G1934" s="7">
        <v>1625</v>
      </c>
      <c r="H1934" s="16">
        <v>45266</v>
      </c>
      <c r="I1934" s="6">
        <v>49</v>
      </c>
      <c r="J1934" s="6" t="s">
        <v>1791</v>
      </c>
      <c r="K1934" s="6" t="s">
        <v>1890</v>
      </c>
      <c r="L1934" s="11">
        <f>F1934*Controls!$B$6</f>
        <v>13</v>
      </c>
      <c r="M1934" s="11">
        <f>G1934*Controls!$B$6</f>
        <v>1625</v>
      </c>
      <c r="N1934" s="12">
        <f>IF(L1934=0,0,SUMIFS('PSI Plan'!$N$6:$N$173,'PSI Plan'!$B$6:$B$173,B1934,'PSI Plan'!$C$6:$C$173,I1934))</f>
        <v>0</v>
      </c>
      <c r="O1934" s="11">
        <f t="shared" si="60"/>
        <v>0</v>
      </c>
      <c r="P1934" s="11">
        <f t="shared" si="61"/>
        <v>0</v>
      </c>
      <c r="Q1934" s="6"/>
      <c r="R1934" s="6"/>
      <c r="S1934" s="6"/>
      <c r="T1934" s="6"/>
    </row>
    <row r="1935" spans="1:20">
      <c r="A1935" s="6" t="s">
        <v>2097</v>
      </c>
      <c r="B1935" s="6" t="s">
        <v>66</v>
      </c>
      <c r="C1935" s="6" t="s">
        <v>90</v>
      </c>
      <c r="D1935" s="6" t="s">
        <v>119</v>
      </c>
      <c r="E1935" s="6" t="s">
        <v>120</v>
      </c>
      <c r="F1935" s="7">
        <v>13</v>
      </c>
      <c r="G1935" s="7">
        <v>1625</v>
      </c>
      <c r="H1935" s="16">
        <v>45273</v>
      </c>
      <c r="I1935" s="6">
        <v>50</v>
      </c>
      <c r="J1935" s="6" t="s">
        <v>1791</v>
      </c>
      <c r="K1935" s="6" t="s">
        <v>1890</v>
      </c>
      <c r="L1935" s="11">
        <f>F1935*Controls!$B$6</f>
        <v>13</v>
      </c>
      <c r="M1935" s="11">
        <f>G1935*Controls!$B$6</f>
        <v>1625</v>
      </c>
      <c r="N1935" s="12">
        <f>IF(L1935=0,0,SUMIFS('PSI Plan'!$N$6:$N$173,'PSI Plan'!$B$6:$B$173,B1935,'PSI Plan'!$C$6:$C$173,I1935))</f>
        <v>0</v>
      </c>
      <c r="O1935" s="11">
        <f t="shared" si="60"/>
        <v>0</v>
      </c>
      <c r="P1935" s="11">
        <f t="shared" si="61"/>
        <v>0</v>
      </c>
      <c r="Q1935" s="6"/>
      <c r="R1935" s="6"/>
      <c r="S1935" s="6"/>
      <c r="T1935" s="6"/>
    </row>
    <row r="1936" spans="1:20">
      <c r="A1936" s="6" t="s">
        <v>2098</v>
      </c>
      <c r="B1936" s="6" t="s">
        <v>76</v>
      </c>
      <c r="C1936" s="6" t="s">
        <v>90</v>
      </c>
      <c r="D1936" s="6" t="s">
        <v>119</v>
      </c>
      <c r="E1936" s="6" t="s">
        <v>120</v>
      </c>
      <c r="F1936" s="7">
        <v>13</v>
      </c>
      <c r="G1936" s="7">
        <v>1625</v>
      </c>
      <c r="H1936" s="16">
        <v>45273</v>
      </c>
      <c r="I1936" s="6">
        <v>50</v>
      </c>
      <c r="J1936" s="6" t="s">
        <v>1791</v>
      </c>
      <c r="K1936" s="6" t="s">
        <v>1890</v>
      </c>
      <c r="L1936" s="11">
        <f>F1936*Controls!$B$6</f>
        <v>13</v>
      </c>
      <c r="M1936" s="11">
        <f>G1936*Controls!$B$6</f>
        <v>1625</v>
      </c>
      <c r="N1936" s="12">
        <f>IF(L1936=0,0,SUMIFS('PSI Plan'!$N$6:$N$173,'PSI Plan'!$B$6:$B$173,B1936,'PSI Plan'!$C$6:$C$173,I1936))</f>
        <v>0</v>
      </c>
      <c r="O1936" s="11">
        <f t="shared" si="60"/>
        <v>0</v>
      </c>
      <c r="P1936" s="11">
        <f t="shared" si="61"/>
        <v>0</v>
      </c>
      <c r="Q1936" s="6"/>
      <c r="R1936" s="6"/>
      <c r="S1936" s="6"/>
      <c r="T1936" s="6"/>
    </row>
    <row r="1937" spans="1:20">
      <c r="A1937" s="6" t="s">
        <v>2099</v>
      </c>
      <c r="B1937" s="6" t="s">
        <v>67</v>
      </c>
      <c r="C1937" s="6" t="s">
        <v>90</v>
      </c>
      <c r="D1937" s="6" t="s">
        <v>119</v>
      </c>
      <c r="E1937" s="6" t="s">
        <v>120</v>
      </c>
      <c r="F1937" s="7">
        <v>26</v>
      </c>
      <c r="G1937" s="7">
        <v>3250</v>
      </c>
      <c r="H1937" s="16">
        <v>45200</v>
      </c>
      <c r="I1937" s="6">
        <v>40</v>
      </c>
      <c r="J1937" s="6" t="s">
        <v>1791</v>
      </c>
      <c r="K1937" s="6" t="s">
        <v>1890</v>
      </c>
      <c r="L1937" s="11">
        <f>F1937*Controls!$B$6</f>
        <v>26</v>
      </c>
      <c r="M1937" s="11">
        <f>G1937*Controls!$B$6</f>
        <v>3250</v>
      </c>
      <c r="N1937" s="12">
        <f>IF(L1937=0,0,SUMIFS('PSI Plan'!$N$6:$N$173,'PSI Plan'!$B$6:$B$173,B1937,'PSI Plan'!$C$6:$C$173,I1937))</f>
        <v>0</v>
      </c>
      <c r="O1937" s="11">
        <f t="shared" si="60"/>
        <v>0</v>
      </c>
      <c r="P1937" s="11">
        <f t="shared" si="61"/>
        <v>0</v>
      </c>
      <c r="Q1937" s="6"/>
      <c r="R1937" s="6"/>
      <c r="S1937" s="6"/>
      <c r="T1937" s="6"/>
    </row>
    <row r="1938" spans="1:20">
      <c r="A1938" s="6" t="s">
        <v>2100</v>
      </c>
      <c r="B1938" s="6" t="s">
        <v>77</v>
      </c>
      <c r="C1938" s="6" t="s">
        <v>90</v>
      </c>
      <c r="D1938" s="6" t="s">
        <v>119</v>
      </c>
      <c r="E1938" s="6" t="s">
        <v>120</v>
      </c>
      <c r="F1938" s="7">
        <v>13</v>
      </c>
      <c r="G1938" s="7">
        <v>1625</v>
      </c>
      <c r="H1938" s="16">
        <v>45237</v>
      </c>
      <c r="I1938" s="6">
        <v>45</v>
      </c>
      <c r="J1938" s="6" t="s">
        <v>121</v>
      </c>
      <c r="K1938" s="6" t="s">
        <v>725</v>
      </c>
      <c r="L1938" s="11">
        <f>F1938*Controls!$B$6</f>
        <v>13</v>
      </c>
      <c r="M1938" s="11">
        <f>G1938*Controls!$B$6</f>
        <v>1625</v>
      </c>
      <c r="N1938" s="12">
        <f>IF(L1938=0,0,SUMIFS('PSI Plan'!$N$6:$N$173,'PSI Plan'!$B$6:$B$173,B1938,'PSI Plan'!$C$6:$C$173,I1938))</f>
        <v>0</v>
      </c>
      <c r="O1938" s="11">
        <f t="shared" si="60"/>
        <v>0</v>
      </c>
      <c r="P1938" s="11">
        <f t="shared" si="61"/>
        <v>0</v>
      </c>
      <c r="Q1938" s="6"/>
      <c r="R1938" s="6"/>
      <c r="S1938" s="6"/>
      <c r="T1938" s="6"/>
    </row>
    <row r="1939" spans="1:20">
      <c r="A1939" s="6" t="s">
        <v>2101</v>
      </c>
      <c r="B1939" s="6" t="s">
        <v>69</v>
      </c>
      <c r="C1939" s="6" t="s">
        <v>90</v>
      </c>
      <c r="D1939" s="6" t="s">
        <v>119</v>
      </c>
      <c r="E1939" s="6" t="s">
        <v>120</v>
      </c>
      <c r="F1939" s="7">
        <v>13</v>
      </c>
      <c r="G1939" s="7">
        <v>1625</v>
      </c>
      <c r="H1939" s="16">
        <v>45278</v>
      </c>
      <c r="I1939" s="6">
        <v>51</v>
      </c>
      <c r="J1939" s="6" t="s">
        <v>121</v>
      </c>
      <c r="K1939" s="6" t="s">
        <v>725</v>
      </c>
      <c r="L1939" s="11">
        <f>F1939*Controls!$B$6</f>
        <v>13</v>
      </c>
      <c r="M1939" s="11">
        <f>G1939*Controls!$B$6</f>
        <v>1625</v>
      </c>
      <c r="N1939" s="12">
        <f>IF(L1939=0,0,SUMIFS('PSI Plan'!$N$6:$N$173,'PSI Plan'!$B$6:$B$173,B1939,'PSI Plan'!$C$6:$C$173,I1939))</f>
        <v>0</v>
      </c>
      <c r="O1939" s="11">
        <f t="shared" si="60"/>
        <v>0</v>
      </c>
      <c r="P1939" s="11">
        <f t="shared" si="61"/>
        <v>0</v>
      </c>
      <c r="Q1939" s="6"/>
      <c r="R1939" s="6"/>
      <c r="S1939" s="6"/>
      <c r="T1939" s="6"/>
    </row>
    <row r="1940" spans="1:20">
      <c r="A1940" s="6" t="s">
        <v>2102</v>
      </c>
      <c r="B1940" s="6" t="s">
        <v>77</v>
      </c>
      <c r="C1940" s="6" t="s">
        <v>90</v>
      </c>
      <c r="D1940" s="6" t="s">
        <v>119</v>
      </c>
      <c r="E1940" s="6" t="s">
        <v>120</v>
      </c>
      <c r="F1940" s="7">
        <v>13</v>
      </c>
      <c r="G1940" s="7">
        <v>1625</v>
      </c>
      <c r="H1940" s="16">
        <v>45215</v>
      </c>
      <c r="I1940" s="6">
        <v>42</v>
      </c>
      <c r="J1940" s="6" t="s">
        <v>121</v>
      </c>
      <c r="K1940" s="6" t="s">
        <v>139</v>
      </c>
      <c r="L1940" s="11">
        <f>F1940*Controls!$B$6</f>
        <v>13</v>
      </c>
      <c r="M1940" s="11">
        <f>G1940*Controls!$B$6</f>
        <v>1625</v>
      </c>
      <c r="N1940" s="12">
        <f>IF(L1940=0,0,SUMIFS('PSI Plan'!$N$6:$N$173,'PSI Plan'!$B$6:$B$173,B1940,'PSI Plan'!$C$6:$C$173,I1940))</f>
        <v>0</v>
      </c>
      <c r="O1940" s="11">
        <f t="shared" si="60"/>
        <v>0</v>
      </c>
      <c r="P1940" s="11">
        <f t="shared" si="61"/>
        <v>0</v>
      </c>
      <c r="Q1940" s="6"/>
      <c r="R1940" s="6"/>
      <c r="S1940" s="6"/>
      <c r="T1940" s="6"/>
    </row>
    <row r="1941" spans="1:20">
      <c r="A1941" s="6" t="s">
        <v>2103</v>
      </c>
      <c r="B1941" s="6" t="s">
        <v>76</v>
      </c>
      <c r="C1941" s="6" t="s">
        <v>90</v>
      </c>
      <c r="D1941" s="6" t="s">
        <v>119</v>
      </c>
      <c r="E1941" s="6" t="s">
        <v>120</v>
      </c>
      <c r="F1941" s="7">
        <v>13</v>
      </c>
      <c r="G1941" s="7">
        <v>1625</v>
      </c>
      <c r="H1941" s="16">
        <v>45201</v>
      </c>
      <c r="I1941" s="6">
        <v>40</v>
      </c>
      <c r="J1941" s="6" t="s">
        <v>121</v>
      </c>
      <c r="K1941" s="6" t="s">
        <v>139</v>
      </c>
      <c r="L1941" s="11">
        <f>F1941*Controls!$B$6</f>
        <v>13</v>
      </c>
      <c r="M1941" s="11">
        <f>G1941*Controls!$B$6</f>
        <v>1625</v>
      </c>
      <c r="N1941" s="12">
        <f>IF(L1941=0,0,SUMIFS('PSI Plan'!$N$6:$N$173,'PSI Plan'!$B$6:$B$173,B1941,'PSI Plan'!$C$6:$C$173,I1941))</f>
        <v>0</v>
      </c>
      <c r="O1941" s="11">
        <f t="shared" si="60"/>
        <v>0</v>
      </c>
      <c r="P1941" s="11">
        <f t="shared" si="61"/>
        <v>0</v>
      </c>
      <c r="Q1941" s="6"/>
      <c r="R1941" s="6"/>
      <c r="S1941" s="6"/>
      <c r="T1941" s="6"/>
    </row>
    <row r="1942" spans="1:20">
      <c r="A1942" s="6" t="s">
        <v>2104</v>
      </c>
      <c r="B1942" s="6" t="s">
        <v>69</v>
      </c>
      <c r="C1942" s="6" t="s">
        <v>90</v>
      </c>
      <c r="D1942" s="6" t="s">
        <v>119</v>
      </c>
      <c r="E1942" s="6" t="s">
        <v>120</v>
      </c>
      <c r="F1942" s="7">
        <v>13</v>
      </c>
      <c r="G1942" s="7">
        <v>1625</v>
      </c>
      <c r="H1942" s="16">
        <v>45286</v>
      </c>
      <c r="I1942" s="6">
        <v>52</v>
      </c>
      <c r="J1942" s="6" t="s">
        <v>121</v>
      </c>
      <c r="K1942" s="6" t="s">
        <v>139</v>
      </c>
      <c r="L1942" s="11">
        <f>F1942*Controls!$B$6</f>
        <v>13</v>
      </c>
      <c r="M1942" s="11">
        <f>G1942*Controls!$B$6</f>
        <v>1625</v>
      </c>
      <c r="N1942" s="12">
        <f>IF(L1942=0,0,SUMIFS('PSI Plan'!$N$6:$N$173,'PSI Plan'!$B$6:$B$173,B1942,'PSI Plan'!$C$6:$C$173,I1942))</f>
        <v>0</v>
      </c>
      <c r="O1942" s="11">
        <f t="shared" si="60"/>
        <v>0</v>
      </c>
      <c r="P1942" s="11">
        <f t="shared" si="61"/>
        <v>0</v>
      </c>
      <c r="Q1942" s="6"/>
      <c r="R1942" s="6"/>
      <c r="S1942" s="6"/>
      <c r="T1942" s="6"/>
    </row>
    <row r="1943" spans="1:20">
      <c r="A1943" s="6" t="s">
        <v>2105</v>
      </c>
      <c r="B1943" s="6" t="s">
        <v>66</v>
      </c>
      <c r="C1943" s="6" t="s">
        <v>90</v>
      </c>
      <c r="D1943" s="6" t="s">
        <v>119</v>
      </c>
      <c r="E1943" s="6" t="s">
        <v>120</v>
      </c>
      <c r="F1943" s="7">
        <v>13</v>
      </c>
      <c r="G1943" s="7">
        <v>1625</v>
      </c>
      <c r="H1943" s="16">
        <v>45225</v>
      </c>
      <c r="I1943" s="6">
        <v>43</v>
      </c>
      <c r="J1943" s="6" t="s">
        <v>121</v>
      </c>
      <c r="K1943" s="6" t="s">
        <v>171</v>
      </c>
      <c r="L1943" s="11">
        <f>F1943*Controls!$B$6</f>
        <v>13</v>
      </c>
      <c r="M1943" s="11">
        <f>G1943*Controls!$B$6</f>
        <v>1625</v>
      </c>
      <c r="N1943" s="12">
        <f>IF(L1943=0,0,SUMIFS('PSI Plan'!$N$6:$N$173,'PSI Plan'!$B$6:$B$173,B1943,'PSI Plan'!$C$6:$C$173,I1943))</f>
        <v>0</v>
      </c>
      <c r="O1943" s="11">
        <f t="shared" si="60"/>
        <v>0</v>
      </c>
      <c r="P1943" s="11">
        <f t="shared" si="61"/>
        <v>0</v>
      </c>
      <c r="Q1943" s="6"/>
      <c r="R1943" s="6"/>
      <c r="S1943" s="6"/>
      <c r="T1943" s="6"/>
    </row>
    <row r="1944" spans="1:20">
      <c r="A1944" s="6" t="s">
        <v>2106</v>
      </c>
      <c r="B1944" s="6" t="s">
        <v>77</v>
      </c>
      <c r="C1944" s="6" t="s">
        <v>90</v>
      </c>
      <c r="D1944" s="6" t="s">
        <v>119</v>
      </c>
      <c r="E1944" s="6" t="s">
        <v>120</v>
      </c>
      <c r="F1944" s="7">
        <v>13</v>
      </c>
      <c r="G1944" s="7">
        <v>1625</v>
      </c>
      <c r="H1944" s="16">
        <v>45229</v>
      </c>
      <c r="I1944" s="6">
        <v>44</v>
      </c>
      <c r="J1944" s="6" t="s">
        <v>121</v>
      </c>
      <c r="K1944" s="6" t="s">
        <v>171</v>
      </c>
      <c r="L1944" s="11">
        <f>F1944*Controls!$B$6</f>
        <v>13</v>
      </c>
      <c r="M1944" s="11">
        <f>G1944*Controls!$B$6</f>
        <v>1625</v>
      </c>
      <c r="N1944" s="12">
        <f>IF(L1944=0,0,SUMIFS('PSI Plan'!$N$6:$N$173,'PSI Plan'!$B$6:$B$173,B1944,'PSI Plan'!$C$6:$C$173,I1944))</f>
        <v>0</v>
      </c>
      <c r="O1944" s="11">
        <f t="shared" si="60"/>
        <v>0</v>
      </c>
      <c r="P1944" s="11">
        <f t="shared" si="61"/>
        <v>0</v>
      </c>
      <c r="Q1944" s="6"/>
      <c r="R1944" s="6"/>
      <c r="S1944" s="6"/>
      <c r="T1944" s="6"/>
    </row>
    <row r="1945" spans="1:20">
      <c r="A1945" s="6" t="s">
        <v>2107</v>
      </c>
      <c r="B1945" s="6" t="s">
        <v>76</v>
      </c>
      <c r="C1945" s="6" t="s">
        <v>90</v>
      </c>
      <c r="D1945" s="6" t="s">
        <v>119</v>
      </c>
      <c r="E1945" s="6" t="s">
        <v>120</v>
      </c>
      <c r="F1945" s="7">
        <v>13</v>
      </c>
      <c r="G1945" s="7">
        <v>1625</v>
      </c>
      <c r="H1945" s="16">
        <v>45260</v>
      </c>
      <c r="I1945" s="6">
        <v>48</v>
      </c>
      <c r="J1945" s="6" t="s">
        <v>121</v>
      </c>
      <c r="K1945" s="6" t="s">
        <v>171</v>
      </c>
      <c r="L1945" s="11">
        <f>F1945*Controls!$B$6</f>
        <v>13</v>
      </c>
      <c r="M1945" s="11">
        <f>G1945*Controls!$B$6</f>
        <v>1625</v>
      </c>
      <c r="N1945" s="12">
        <f>IF(L1945=0,0,SUMIFS('PSI Plan'!$N$6:$N$173,'PSI Plan'!$B$6:$B$173,B1945,'PSI Plan'!$C$6:$C$173,I1945))</f>
        <v>0</v>
      </c>
      <c r="O1945" s="11">
        <f t="shared" si="60"/>
        <v>0</v>
      </c>
      <c r="P1945" s="11">
        <f t="shared" si="61"/>
        <v>0</v>
      </c>
      <c r="Q1945" s="6"/>
      <c r="R1945" s="6"/>
      <c r="S1945" s="6"/>
      <c r="T1945" s="6"/>
    </row>
    <row r="1946" spans="1:20">
      <c r="A1946" s="6" t="s">
        <v>2108</v>
      </c>
      <c r="B1946" s="6" t="s">
        <v>69</v>
      </c>
      <c r="C1946" s="6" t="s">
        <v>90</v>
      </c>
      <c r="D1946" s="6" t="s">
        <v>119</v>
      </c>
      <c r="E1946" s="6" t="s">
        <v>120</v>
      </c>
      <c r="F1946" s="7">
        <v>13</v>
      </c>
      <c r="G1946" s="7">
        <v>1625</v>
      </c>
      <c r="H1946" s="16">
        <v>45254</v>
      </c>
      <c r="I1946" s="6">
        <v>47</v>
      </c>
      <c r="J1946" s="6" t="s">
        <v>121</v>
      </c>
      <c r="K1946" s="6" t="s">
        <v>171</v>
      </c>
      <c r="L1946" s="11">
        <f>F1946*Controls!$B$6</f>
        <v>13</v>
      </c>
      <c r="M1946" s="11">
        <f>G1946*Controls!$B$6</f>
        <v>1625</v>
      </c>
      <c r="N1946" s="12">
        <f>IF(L1946=0,0,SUMIFS('PSI Plan'!$N$6:$N$173,'PSI Plan'!$B$6:$B$173,B1946,'PSI Plan'!$C$6:$C$173,I1946))</f>
        <v>0</v>
      </c>
      <c r="O1946" s="11">
        <f t="shared" si="60"/>
        <v>0</v>
      </c>
      <c r="P1946" s="11">
        <f t="shared" si="61"/>
        <v>0</v>
      </c>
      <c r="Q1946" s="6"/>
      <c r="R1946" s="6"/>
      <c r="S1946" s="6"/>
      <c r="T1946" s="6"/>
    </row>
    <row r="1947" spans="1:20">
      <c r="A1947" s="6" t="s">
        <v>2109</v>
      </c>
      <c r="B1947" s="6" t="s">
        <v>66</v>
      </c>
      <c r="C1947" s="6" t="s">
        <v>90</v>
      </c>
      <c r="D1947" s="6" t="s">
        <v>119</v>
      </c>
      <c r="E1947" s="6" t="s">
        <v>120</v>
      </c>
      <c r="F1947" s="7">
        <v>13</v>
      </c>
      <c r="G1947" s="7">
        <v>1625</v>
      </c>
      <c r="H1947" s="16">
        <v>45214</v>
      </c>
      <c r="I1947" s="6">
        <v>42</v>
      </c>
      <c r="J1947" s="6" t="s">
        <v>1791</v>
      </c>
      <c r="K1947" s="6" t="s">
        <v>1890</v>
      </c>
      <c r="L1947" s="11">
        <f>F1947*Controls!$B$6</f>
        <v>13</v>
      </c>
      <c r="M1947" s="11">
        <f>G1947*Controls!$B$6</f>
        <v>1625</v>
      </c>
      <c r="N1947" s="12">
        <f>IF(L1947=0,0,SUMIFS('PSI Plan'!$N$6:$N$173,'PSI Plan'!$B$6:$B$173,B1947,'PSI Plan'!$C$6:$C$173,I1947))</f>
        <v>0.59807073954983925</v>
      </c>
      <c r="O1947" s="11">
        <f t="shared" si="60"/>
        <v>7.77491961414791</v>
      </c>
      <c r="P1947" s="11">
        <f t="shared" si="61"/>
        <v>971.86495176848882</v>
      </c>
      <c r="Q1947" s="6"/>
      <c r="R1947" s="6"/>
      <c r="S1947" s="6"/>
      <c r="T1947" s="6"/>
    </row>
    <row r="1948" spans="1:20">
      <c r="A1948" s="6" t="s">
        <v>2110</v>
      </c>
      <c r="B1948" s="6" t="s">
        <v>66</v>
      </c>
      <c r="C1948" s="6" t="s">
        <v>90</v>
      </c>
      <c r="D1948" s="6" t="s">
        <v>119</v>
      </c>
      <c r="E1948" s="6" t="s">
        <v>120</v>
      </c>
      <c r="F1948" s="7">
        <v>26</v>
      </c>
      <c r="G1948" s="7">
        <v>3250</v>
      </c>
      <c r="H1948" s="16">
        <v>45211</v>
      </c>
      <c r="I1948" s="6">
        <v>41</v>
      </c>
      <c r="J1948" s="6" t="s">
        <v>1791</v>
      </c>
      <c r="K1948" s="6" t="s">
        <v>1890</v>
      </c>
      <c r="L1948" s="11">
        <f>F1948*Controls!$B$6</f>
        <v>26</v>
      </c>
      <c r="M1948" s="11">
        <f>G1948*Controls!$B$6</f>
        <v>3250</v>
      </c>
      <c r="N1948" s="12">
        <f>IF(L1948=0,0,SUMIFS('PSI Plan'!$N$6:$N$173,'PSI Plan'!$B$6:$B$173,B1948,'PSI Plan'!$C$6:$C$173,I1948))</f>
        <v>0.22897465437788017</v>
      </c>
      <c r="O1948" s="11">
        <f t="shared" si="60"/>
        <v>5.9533410138248843</v>
      </c>
      <c r="P1948" s="11">
        <f t="shared" si="61"/>
        <v>744.16762672811058</v>
      </c>
      <c r="Q1948" s="6"/>
      <c r="R1948" s="6"/>
      <c r="S1948" s="6"/>
      <c r="T1948" s="6"/>
    </row>
    <row r="1949" spans="1:20">
      <c r="A1949" s="6" t="s">
        <v>2111</v>
      </c>
      <c r="B1949" s="6" t="s">
        <v>76</v>
      </c>
      <c r="C1949" s="6" t="s">
        <v>90</v>
      </c>
      <c r="D1949" s="6" t="s">
        <v>119</v>
      </c>
      <c r="E1949" s="6" t="s">
        <v>120</v>
      </c>
      <c r="F1949" s="7">
        <v>13</v>
      </c>
      <c r="G1949" s="7">
        <v>1625</v>
      </c>
      <c r="H1949" s="16">
        <v>45276</v>
      </c>
      <c r="I1949" s="6">
        <v>50</v>
      </c>
      <c r="J1949" s="6" t="s">
        <v>1791</v>
      </c>
      <c r="K1949" s="6" t="s">
        <v>1890</v>
      </c>
      <c r="L1949" s="11">
        <f>F1949*Controls!$B$6</f>
        <v>13</v>
      </c>
      <c r="M1949" s="11">
        <f>G1949*Controls!$B$6</f>
        <v>1625</v>
      </c>
      <c r="N1949" s="12">
        <f>IF(L1949=0,0,SUMIFS('PSI Plan'!$N$6:$N$173,'PSI Plan'!$B$6:$B$173,B1949,'PSI Plan'!$C$6:$C$173,I1949))</f>
        <v>0</v>
      </c>
      <c r="O1949" s="11">
        <f t="shared" si="60"/>
        <v>0</v>
      </c>
      <c r="P1949" s="11">
        <f t="shared" si="61"/>
        <v>0</v>
      </c>
      <c r="Q1949" s="6"/>
      <c r="R1949" s="6"/>
      <c r="S1949" s="6"/>
      <c r="T1949" s="6"/>
    </row>
    <row r="1950" spans="1:20">
      <c r="A1950" s="6" t="s">
        <v>2112</v>
      </c>
      <c r="B1950" s="6" t="s">
        <v>67</v>
      </c>
      <c r="C1950" s="6" t="s">
        <v>90</v>
      </c>
      <c r="D1950" s="6" t="s">
        <v>119</v>
      </c>
      <c r="E1950" s="6" t="s">
        <v>120</v>
      </c>
      <c r="F1950" s="7">
        <v>13</v>
      </c>
      <c r="G1950" s="7">
        <v>1625</v>
      </c>
      <c r="H1950" s="16">
        <v>45240</v>
      </c>
      <c r="I1950" s="6">
        <v>45</v>
      </c>
      <c r="J1950" s="6" t="s">
        <v>1791</v>
      </c>
      <c r="K1950" s="6" t="s">
        <v>1890</v>
      </c>
      <c r="L1950" s="11">
        <f>F1950*Controls!$B$6</f>
        <v>13</v>
      </c>
      <c r="M1950" s="11">
        <f>G1950*Controls!$B$6</f>
        <v>1625</v>
      </c>
      <c r="N1950" s="12">
        <f>IF(L1950=0,0,SUMIFS('PSI Plan'!$N$6:$N$173,'PSI Plan'!$B$6:$B$173,B1950,'PSI Plan'!$C$6:$C$173,I1950))</f>
        <v>0</v>
      </c>
      <c r="O1950" s="11">
        <f t="shared" si="60"/>
        <v>0</v>
      </c>
      <c r="P1950" s="11">
        <f t="shared" si="61"/>
        <v>0</v>
      </c>
      <c r="Q1950" s="6"/>
      <c r="R1950" s="6"/>
      <c r="S1950" s="6"/>
      <c r="T1950" s="6"/>
    </row>
    <row r="1951" spans="1:20">
      <c r="A1951" s="6" t="s">
        <v>2113</v>
      </c>
      <c r="B1951" s="6" t="s">
        <v>66</v>
      </c>
      <c r="C1951" s="6" t="s">
        <v>90</v>
      </c>
      <c r="D1951" s="6" t="s">
        <v>119</v>
      </c>
      <c r="E1951" s="6" t="s">
        <v>120</v>
      </c>
      <c r="F1951" s="7">
        <v>26</v>
      </c>
      <c r="G1951" s="7">
        <v>3250</v>
      </c>
      <c r="H1951" s="16">
        <v>45232</v>
      </c>
      <c r="I1951" s="6">
        <v>44</v>
      </c>
      <c r="J1951" s="6" t="s">
        <v>121</v>
      </c>
      <c r="K1951" s="6" t="s">
        <v>122</v>
      </c>
      <c r="L1951" s="11">
        <f>F1951*Controls!$B$6</f>
        <v>26</v>
      </c>
      <c r="M1951" s="11">
        <f>G1951*Controls!$B$6</f>
        <v>3250</v>
      </c>
      <c r="N1951" s="12">
        <f>IF(L1951=0,0,SUMIFS('PSI Plan'!$N$6:$N$173,'PSI Plan'!$B$6:$B$173,B1951,'PSI Plan'!$C$6:$C$173,I1951))</f>
        <v>0</v>
      </c>
      <c r="O1951" s="11">
        <f t="shared" si="60"/>
        <v>0</v>
      </c>
      <c r="P1951" s="11">
        <f t="shared" si="61"/>
        <v>0</v>
      </c>
      <c r="Q1951" s="6"/>
      <c r="R1951" s="6"/>
      <c r="S1951" s="6"/>
      <c r="T1951" s="6"/>
    </row>
    <row r="1952" spans="1:20">
      <c r="A1952" s="6" t="s">
        <v>2114</v>
      </c>
      <c r="B1952" s="6" t="s">
        <v>77</v>
      </c>
      <c r="C1952" s="6" t="s">
        <v>90</v>
      </c>
      <c r="D1952" s="6" t="s">
        <v>119</v>
      </c>
      <c r="E1952" s="6" t="s">
        <v>120</v>
      </c>
      <c r="F1952" s="7">
        <v>39</v>
      </c>
      <c r="G1952" s="7">
        <v>4875</v>
      </c>
      <c r="H1952" s="16">
        <v>45268</v>
      </c>
      <c r="I1952" s="6">
        <v>49</v>
      </c>
      <c r="J1952" s="6" t="s">
        <v>121</v>
      </c>
      <c r="K1952" s="6" t="s">
        <v>122</v>
      </c>
      <c r="L1952" s="11">
        <f>F1952*Controls!$B$6</f>
        <v>39</v>
      </c>
      <c r="M1952" s="11">
        <f>G1952*Controls!$B$6</f>
        <v>4875</v>
      </c>
      <c r="N1952" s="12">
        <f>IF(L1952=0,0,SUMIFS('PSI Plan'!$N$6:$N$173,'PSI Plan'!$B$6:$B$173,B1952,'PSI Plan'!$C$6:$C$173,I1952))</f>
        <v>0</v>
      </c>
      <c r="O1952" s="11">
        <f t="shared" si="60"/>
        <v>0</v>
      </c>
      <c r="P1952" s="11">
        <f t="shared" si="61"/>
        <v>0</v>
      </c>
      <c r="Q1952" s="6"/>
      <c r="R1952" s="6"/>
      <c r="S1952" s="6"/>
      <c r="T1952" s="6"/>
    </row>
    <row r="1953" spans="1:20">
      <c r="A1953" s="6" t="s">
        <v>2115</v>
      </c>
      <c r="B1953" s="6" t="s">
        <v>76</v>
      </c>
      <c r="C1953" s="6" t="s">
        <v>90</v>
      </c>
      <c r="D1953" s="6" t="s">
        <v>119</v>
      </c>
      <c r="E1953" s="6" t="s">
        <v>120</v>
      </c>
      <c r="F1953" s="7">
        <v>26</v>
      </c>
      <c r="G1953" s="7">
        <v>3250</v>
      </c>
      <c r="H1953" s="16">
        <v>45249</v>
      </c>
      <c r="I1953" s="6">
        <v>47</v>
      </c>
      <c r="J1953" s="6" t="s">
        <v>121</v>
      </c>
      <c r="K1953" s="6" t="s">
        <v>122</v>
      </c>
      <c r="L1953" s="11">
        <f>F1953*Controls!$B$6</f>
        <v>26</v>
      </c>
      <c r="M1953" s="11">
        <f>G1953*Controls!$B$6</f>
        <v>3250</v>
      </c>
      <c r="N1953" s="12">
        <f>IF(L1953=0,0,SUMIFS('PSI Plan'!$N$6:$N$173,'PSI Plan'!$B$6:$B$173,B1953,'PSI Plan'!$C$6:$C$173,I1953))</f>
        <v>0</v>
      </c>
      <c r="O1953" s="11">
        <f t="shared" si="60"/>
        <v>0</v>
      </c>
      <c r="P1953" s="11">
        <f t="shared" si="61"/>
        <v>0</v>
      </c>
      <c r="Q1953" s="6"/>
      <c r="R1953" s="6"/>
      <c r="S1953" s="6"/>
      <c r="T1953" s="6"/>
    </row>
    <row r="1954" spans="1:20">
      <c r="A1954" s="6" t="s">
        <v>2116</v>
      </c>
      <c r="B1954" s="6" t="s">
        <v>66</v>
      </c>
      <c r="C1954" s="6" t="s">
        <v>90</v>
      </c>
      <c r="D1954" s="6" t="s">
        <v>119</v>
      </c>
      <c r="E1954" s="6" t="s">
        <v>120</v>
      </c>
      <c r="F1954" s="7">
        <v>26</v>
      </c>
      <c r="G1954" s="7">
        <v>3250</v>
      </c>
      <c r="H1954" s="16">
        <v>45221</v>
      </c>
      <c r="I1954" s="6">
        <v>43</v>
      </c>
      <c r="J1954" s="6" t="s">
        <v>121</v>
      </c>
      <c r="K1954" s="6" t="s">
        <v>855</v>
      </c>
      <c r="L1954" s="11">
        <f>F1954*Controls!$B$6</f>
        <v>26</v>
      </c>
      <c r="M1954" s="11">
        <f>G1954*Controls!$B$6</f>
        <v>3250</v>
      </c>
      <c r="N1954" s="12">
        <f>IF(L1954=0,0,SUMIFS('PSI Plan'!$N$6:$N$173,'PSI Plan'!$B$6:$B$173,B1954,'PSI Plan'!$C$6:$C$173,I1954))</f>
        <v>0</v>
      </c>
      <c r="O1954" s="11">
        <f t="shared" si="60"/>
        <v>0</v>
      </c>
      <c r="P1954" s="11">
        <f t="shared" si="61"/>
        <v>0</v>
      </c>
      <c r="Q1954" s="6"/>
      <c r="R1954" s="6"/>
      <c r="S1954" s="6"/>
      <c r="T1954" s="6"/>
    </row>
    <row r="1955" spans="1:20">
      <c r="A1955" s="6" t="s">
        <v>2117</v>
      </c>
      <c r="B1955" s="6" t="s">
        <v>77</v>
      </c>
      <c r="C1955" s="6" t="s">
        <v>90</v>
      </c>
      <c r="D1955" s="6" t="s">
        <v>119</v>
      </c>
      <c r="E1955" s="6" t="s">
        <v>120</v>
      </c>
      <c r="F1955" s="7">
        <v>39</v>
      </c>
      <c r="G1955" s="7">
        <v>4875</v>
      </c>
      <c r="H1955" s="16">
        <v>45289</v>
      </c>
      <c r="I1955" s="6">
        <v>52</v>
      </c>
      <c r="J1955" s="6" t="s">
        <v>121</v>
      </c>
      <c r="K1955" s="6" t="s">
        <v>855</v>
      </c>
      <c r="L1955" s="11">
        <f>F1955*Controls!$B$6</f>
        <v>39</v>
      </c>
      <c r="M1955" s="11">
        <f>G1955*Controls!$B$6</f>
        <v>4875</v>
      </c>
      <c r="N1955" s="12">
        <f>IF(L1955=0,0,SUMIFS('PSI Plan'!$N$6:$N$173,'PSI Plan'!$B$6:$B$173,B1955,'PSI Plan'!$C$6:$C$173,I1955))</f>
        <v>0</v>
      </c>
      <c r="O1955" s="11">
        <f t="shared" si="60"/>
        <v>0</v>
      </c>
      <c r="P1955" s="11">
        <f t="shared" si="61"/>
        <v>0</v>
      </c>
      <c r="Q1955" s="6"/>
      <c r="R1955" s="6"/>
      <c r="S1955" s="6"/>
      <c r="T1955" s="6"/>
    </row>
    <row r="1956" spans="1:20">
      <c r="A1956" s="6" t="s">
        <v>2118</v>
      </c>
      <c r="B1956" s="6" t="s">
        <v>76</v>
      </c>
      <c r="C1956" s="6" t="s">
        <v>90</v>
      </c>
      <c r="D1956" s="6" t="s">
        <v>119</v>
      </c>
      <c r="E1956" s="6" t="s">
        <v>120</v>
      </c>
      <c r="F1956" s="7">
        <v>13</v>
      </c>
      <c r="G1956" s="7">
        <v>1625</v>
      </c>
      <c r="H1956" s="16">
        <v>45218</v>
      </c>
      <c r="I1956" s="6">
        <v>42</v>
      </c>
      <c r="J1956" s="6" t="s">
        <v>121</v>
      </c>
      <c r="K1956" s="6" t="s">
        <v>855</v>
      </c>
      <c r="L1956" s="11">
        <f>F1956*Controls!$B$6</f>
        <v>13</v>
      </c>
      <c r="M1956" s="11">
        <f>G1956*Controls!$B$6</f>
        <v>1625</v>
      </c>
      <c r="N1956" s="12">
        <f>IF(L1956=0,0,SUMIFS('PSI Plan'!$N$6:$N$173,'PSI Plan'!$B$6:$B$173,B1956,'PSI Plan'!$C$6:$C$173,I1956))</f>
        <v>0</v>
      </c>
      <c r="O1956" s="11">
        <f t="shared" si="60"/>
        <v>0</v>
      </c>
      <c r="P1956" s="11">
        <f t="shared" si="61"/>
        <v>0</v>
      </c>
      <c r="Q1956" s="6"/>
      <c r="R1956" s="6"/>
      <c r="S1956" s="6"/>
      <c r="T1956" s="6"/>
    </row>
    <row r="1957" spans="1:20">
      <c r="A1957" s="6" t="s">
        <v>2119</v>
      </c>
      <c r="B1957" s="6" t="s">
        <v>66</v>
      </c>
      <c r="C1957" s="6" t="s">
        <v>90</v>
      </c>
      <c r="D1957" s="6" t="s">
        <v>119</v>
      </c>
      <c r="E1957" s="6" t="s">
        <v>120</v>
      </c>
      <c r="F1957" s="7">
        <v>26</v>
      </c>
      <c r="G1957" s="7">
        <v>3250</v>
      </c>
      <c r="H1957" s="16">
        <v>45204</v>
      </c>
      <c r="I1957" s="6">
        <v>40</v>
      </c>
      <c r="J1957" s="6" t="s">
        <v>121</v>
      </c>
      <c r="K1957" s="6" t="s">
        <v>139</v>
      </c>
      <c r="L1957" s="11">
        <f>F1957*Controls!$B$6</f>
        <v>26</v>
      </c>
      <c r="M1957" s="11">
        <f>G1957*Controls!$B$6</f>
        <v>3250</v>
      </c>
      <c r="N1957" s="12">
        <f>IF(L1957=0,0,SUMIFS('PSI Plan'!$N$6:$N$173,'PSI Plan'!$B$6:$B$173,B1957,'PSI Plan'!$C$6:$C$173,I1957))</f>
        <v>0</v>
      </c>
      <c r="O1957" s="11">
        <f t="shared" si="60"/>
        <v>0</v>
      </c>
      <c r="P1957" s="11">
        <f t="shared" si="61"/>
        <v>0</v>
      </c>
      <c r="Q1957" s="6"/>
      <c r="R1957" s="6"/>
      <c r="S1957" s="6"/>
      <c r="T1957" s="6"/>
    </row>
    <row r="1958" spans="1:20">
      <c r="A1958" s="6" t="s">
        <v>2120</v>
      </c>
      <c r="B1958" s="6" t="s">
        <v>77</v>
      </c>
      <c r="C1958" s="6" t="s">
        <v>90</v>
      </c>
      <c r="D1958" s="6" t="s">
        <v>119</v>
      </c>
      <c r="E1958" s="6" t="s">
        <v>120</v>
      </c>
      <c r="F1958" s="7">
        <v>13</v>
      </c>
      <c r="G1958" s="7">
        <v>1625</v>
      </c>
      <c r="H1958" s="16">
        <v>45279</v>
      </c>
      <c r="I1958" s="6">
        <v>51</v>
      </c>
      <c r="J1958" s="6" t="s">
        <v>121</v>
      </c>
      <c r="K1958" s="6" t="s">
        <v>139</v>
      </c>
      <c r="L1958" s="11">
        <f>F1958*Controls!$B$6</f>
        <v>13</v>
      </c>
      <c r="M1958" s="11">
        <f>G1958*Controls!$B$6</f>
        <v>1625</v>
      </c>
      <c r="N1958" s="12">
        <f>IF(L1958=0,0,SUMIFS('PSI Plan'!$N$6:$N$173,'PSI Plan'!$B$6:$B$173,B1958,'PSI Plan'!$C$6:$C$173,I1958))</f>
        <v>0</v>
      </c>
      <c r="O1958" s="11">
        <f t="shared" si="60"/>
        <v>0</v>
      </c>
      <c r="P1958" s="11">
        <f t="shared" si="61"/>
        <v>0</v>
      </c>
      <c r="Q1958" s="6"/>
      <c r="R1958" s="6"/>
      <c r="S1958" s="6"/>
      <c r="T1958" s="6"/>
    </row>
    <row r="1959" spans="1:20">
      <c r="A1959" s="6" t="s">
        <v>2121</v>
      </c>
      <c r="B1959" s="6" t="s">
        <v>66</v>
      </c>
      <c r="C1959" s="6" t="s">
        <v>90</v>
      </c>
      <c r="D1959" s="6" t="s">
        <v>119</v>
      </c>
      <c r="E1959" s="6" t="s">
        <v>120</v>
      </c>
      <c r="F1959" s="7">
        <v>26</v>
      </c>
      <c r="G1959" s="7">
        <v>3250</v>
      </c>
      <c r="H1959" s="16">
        <v>45267</v>
      </c>
      <c r="I1959" s="6">
        <v>49</v>
      </c>
      <c r="J1959" s="6" t="s">
        <v>121</v>
      </c>
      <c r="K1959" s="6" t="s">
        <v>169</v>
      </c>
      <c r="L1959" s="11">
        <f>F1959*Controls!$B$6</f>
        <v>26</v>
      </c>
      <c r="M1959" s="11">
        <f>G1959*Controls!$B$6</f>
        <v>3250</v>
      </c>
      <c r="N1959" s="12">
        <f>IF(L1959=0,0,SUMIFS('PSI Plan'!$N$6:$N$173,'PSI Plan'!$B$6:$B$173,B1959,'PSI Plan'!$C$6:$C$173,I1959))</f>
        <v>0</v>
      </c>
      <c r="O1959" s="11">
        <f t="shared" si="60"/>
        <v>0</v>
      </c>
      <c r="P1959" s="11">
        <f t="shared" si="61"/>
        <v>0</v>
      </c>
      <c r="Q1959" s="6"/>
      <c r="R1959" s="6"/>
      <c r="S1959" s="6"/>
      <c r="T1959" s="6"/>
    </row>
    <row r="1960" spans="1:20">
      <c r="A1960" s="6" t="s">
        <v>2122</v>
      </c>
      <c r="B1960" s="6" t="s">
        <v>69</v>
      </c>
      <c r="C1960" s="6" t="s">
        <v>90</v>
      </c>
      <c r="D1960" s="6" t="s">
        <v>119</v>
      </c>
      <c r="E1960" s="6" t="s">
        <v>120</v>
      </c>
      <c r="F1960" s="7">
        <v>13</v>
      </c>
      <c r="G1960" s="7">
        <v>1625</v>
      </c>
      <c r="H1960" s="16">
        <v>45273</v>
      </c>
      <c r="I1960" s="6">
        <v>50</v>
      </c>
      <c r="J1960" s="6" t="s">
        <v>121</v>
      </c>
      <c r="K1960" s="6" t="s">
        <v>169</v>
      </c>
      <c r="L1960" s="11">
        <f>F1960*Controls!$B$6</f>
        <v>13</v>
      </c>
      <c r="M1960" s="11">
        <f>G1960*Controls!$B$6</f>
        <v>1625</v>
      </c>
      <c r="N1960" s="12">
        <f>IF(L1960=0,0,SUMIFS('PSI Plan'!$N$6:$N$173,'PSI Plan'!$B$6:$B$173,B1960,'PSI Plan'!$C$6:$C$173,I1960))</f>
        <v>0</v>
      </c>
      <c r="O1960" s="11">
        <f t="shared" si="60"/>
        <v>0</v>
      </c>
      <c r="P1960" s="11">
        <f t="shared" si="61"/>
        <v>0</v>
      </c>
      <c r="Q1960" s="6"/>
      <c r="R1960" s="6"/>
      <c r="S1960" s="6"/>
      <c r="T1960" s="6"/>
    </row>
    <row r="1961" spans="1:20">
      <c r="A1961" s="6" t="s">
        <v>2123</v>
      </c>
      <c r="B1961" s="6" t="s">
        <v>66</v>
      </c>
      <c r="C1961" s="6" t="s">
        <v>99</v>
      </c>
      <c r="D1961" s="6" t="s">
        <v>319</v>
      </c>
      <c r="E1961" s="6" t="s">
        <v>120</v>
      </c>
      <c r="F1961" s="7">
        <v>92</v>
      </c>
      <c r="G1961" s="7">
        <v>11500</v>
      </c>
      <c r="H1961" s="16">
        <v>45276</v>
      </c>
      <c r="I1961" s="6">
        <v>50</v>
      </c>
      <c r="J1961" s="6" t="s">
        <v>121</v>
      </c>
      <c r="K1961" s="6" t="s">
        <v>361</v>
      </c>
      <c r="L1961" s="11">
        <f>F1961*Controls!$B$6</f>
        <v>92</v>
      </c>
      <c r="M1961" s="11">
        <f>G1961*Controls!$B$6</f>
        <v>11500</v>
      </c>
      <c r="N1961" s="12">
        <f>IF(L1961=0,0,SUMIFS('PSI Plan'!$N$6:$N$173,'PSI Plan'!$B$6:$B$173,B1961,'PSI Plan'!$C$6:$C$173,I1961))</f>
        <v>0</v>
      </c>
      <c r="O1961" s="11">
        <f t="shared" si="60"/>
        <v>0</v>
      </c>
      <c r="P1961" s="11">
        <f t="shared" si="61"/>
        <v>0</v>
      </c>
      <c r="Q1961" s="6"/>
      <c r="R1961" s="6"/>
      <c r="S1961" s="6"/>
      <c r="T1961" s="6"/>
    </row>
    <row r="1962" spans="1:20">
      <c r="A1962" s="6" t="s">
        <v>2124</v>
      </c>
      <c r="B1962" s="6" t="s">
        <v>77</v>
      </c>
      <c r="C1962" s="6" t="s">
        <v>99</v>
      </c>
      <c r="D1962" s="6" t="s">
        <v>319</v>
      </c>
      <c r="E1962" s="6" t="s">
        <v>120</v>
      </c>
      <c r="F1962" s="7">
        <v>94</v>
      </c>
      <c r="G1962" s="7">
        <v>11750</v>
      </c>
      <c r="H1962" s="16">
        <v>45282</v>
      </c>
      <c r="I1962" s="6">
        <v>51</v>
      </c>
      <c r="J1962" s="6" t="s">
        <v>121</v>
      </c>
      <c r="K1962" s="6" t="s">
        <v>361</v>
      </c>
      <c r="L1962" s="11">
        <f>F1962*Controls!$B$6</f>
        <v>94</v>
      </c>
      <c r="M1962" s="11">
        <f>G1962*Controls!$B$6</f>
        <v>11750</v>
      </c>
      <c r="N1962" s="12">
        <f>IF(L1962=0,0,SUMIFS('PSI Plan'!$N$6:$N$173,'PSI Plan'!$B$6:$B$173,B1962,'PSI Plan'!$C$6:$C$173,I1962))</f>
        <v>0</v>
      </c>
      <c r="O1962" s="11">
        <f t="shared" si="60"/>
        <v>0</v>
      </c>
      <c r="P1962" s="11">
        <f t="shared" si="61"/>
        <v>0</v>
      </c>
      <c r="Q1962" s="6"/>
      <c r="R1962" s="6"/>
      <c r="S1962" s="6"/>
      <c r="T1962" s="6"/>
    </row>
    <row r="1963" spans="1:20">
      <c r="A1963" s="6" t="s">
        <v>2125</v>
      </c>
      <c r="B1963" s="6" t="s">
        <v>69</v>
      </c>
      <c r="C1963" s="6" t="s">
        <v>99</v>
      </c>
      <c r="D1963" s="6" t="s">
        <v>319</v>
      </c>
      <c r="E1963" s="6" t="s">
        <v>120</v>
      </c>
      <c r="F1963" s="7">
        <v>111</v>
      </c>
      <c r="G1963" s="7">
        <v>13875</v>
      </c>
      <c r="H1963" s="16">
        <v>45206</v>
      </c>
      <c r="I1963" s="6">
        <v>40</v>
      </c>
      <c r="J1963" s="6" t="s">
        <v>121</v>
      </c>
      <c r="K1963" s="6" t="s">
        <v>361</v>
      </c>
      <c r="L1963" s="11">
        <f>F1963*Controls!$B$6</f>
        <v>111</v>
      </c>
      <c r="M1963" s="11">
        <f>G1963*Controls!$B$6</f>
        <v>13875</v>
      </c>
      <c r="N1963" s="12">
        <f>IF(L1963=0,0,SUMIFS('PSI Plan'!$N$6:$N$173,'PSI Plan'!$B$6:$B$173,B1963,'PSI Plan'!$C$6:$C$173,I1963))</f>
        <v>0</v>
      </c>
      <c r="O1963" s="11">
        <f t="shared" si="60"/>
        <v>0</v>
      </c>
      <c r="P1963" s="11">
        <f t="shared" si="61"/>
        <v>0</v>
      </c>
      <c r="Q1963" s="6"/>
      <c r="R1963" s="6"/>
      <c r="S1963" s="6"/>
      <c r="T1963" s="6"/>
    </row>
    <row r="1964" spans="1:20">
      <c r="A1964" s="6" t="s">
        <v>2126</v>
      </c>
      <c r="B1964" s="6" t="s">
        <v>66</v>
      </c>
      <c r="C1964" s="6" t="s">
        <v>91</v>
      </c>
      <c r="D1964" s="6" t="s">
        <v>567</v>
      </c>
      <c r="E1964" s="6" t="s">
        <v>120</v>
      </c>
      <c r="F1964" s="7">
        <v>50</v>
      </c>
      <c r="G1964" s="7">
        <v>6250</v>
      </c>
      <c r="H1964" s="16">
        <v>45248</v>
      </c>
      <c r="I1964" s="6">
        <v>46</v>
      </c>
      <c r="J1964" s="6" t="s">
        <v>121</v>
      </c>
      <c r="K1964" s="6" t="s">
        <v>1740</v>
      </c>
      <c r="L1964" s="11">
        <f>F1964*Controls!$B$6</f>
        <v>50</v>
      </c>
      <c r="M1964" s="11">
        <f>G1964*Controls!$B$6</f>
        <v>6250</v>
      </c>
      <c r="N1964" s="12">
        <f>IF(L1964=0,0,SUMIFS('PSI Plan'!$N$6:$N$173,'PSI Plan'!$B$6:$B$173,B1964,'PSI Plan'!$C$6:$C$173,I1964))</f>
        <v>0</v>
      </c>
      <c r="O1964" s="11">
        <f t="shared" si="60"/>
        <v>0</v>
      </c>
      <c r="P1964" s="11">
        <f t="shared" si="61"/>
        <v>0</v>
      </c>
      <c r="Q1964" s="6"/>
      <c r="R1964" s="6"/>
      <c r="S1964" s="6"/>
      <c r="T1964" s="6"/>
    </row>
    <row r="1965" spans="1:20">
      <c r="A1965" s="6" t="s">
        <v>2127</v>
      </c>
      <c r="B1965" s="6" t="s">
        <v>67</v>
      </c>
      <c r="C1965" s="6" t="s">
        <v>91</v>
      </c>
      <c r="D1965" s="6" t="s">
        <v>567</v>
      </c>
      <c r="E1965" s="6" t="s">
        <v>120</v>
      </c>
      <c r="F1965" s="7">
        <v>40</v>
      </c>
      <c r="G1965" s="7">
        <v>5000</v>
      </c>
      <c r="H1965" s="16">
        <v>45216</v>
      </c>
      <c r="I1965" s="6">
        <v>42</v>
      </c>
      <c r="J1965" s="6" t="s">
        <v>121</v>
      </c>
      <c r="K1965" s="6" t="s">
        <v>1740</v>
      </c>
      <c r="L1965" s="11">
        <f>F1965*Controls!$B$6</f>
        <v>40</v>
      </c>
      <c r="M1965" s="11">
        <f>G1965*Controls!$B$6</f>
        <v>5000</v>
      </c>
      <c r="N1965" s="12">
        <f>IF(L1965=0,0,SUMIFS('PSI Plan'!$N$6:$N$173,'PSI Plan'!$B$6:$B$173,B1965,'PSI Plan'!$C$6:$C$173,I1965))</f>
        <v>0</v>
      </c>
      <c r="O1965" s="11">
        <f t="shared" si="60"/>
        <v>0</v>
      </c>
      <c r="P1965" s="11">
        <f t="shared" si="61"/>
        <v>0</v>
      </c>
      <c r="Q1965" s="6"/>
      <c r="R1965" s="6"/>
      <c r="S1965" s="6"/>
      <c r="T1965" s="6"/>
    </row>
    <row r="1966" spans="1:20">
      <c r="A1966" s="6" t="s">
        <v>2128</v>
      </c>
      <c r="B1966" s="6" t="s">
        <v>69</v>
      </c>
      <c r="C1966" s="6" t="s">
        <v>91</v>
      </c>
      <c r="D1966" s="6" t="s">
        <v>567</v>
      </c>
      <c r="E1966" s="6" t="s">
        <v>120</v>
      </c>
      <c r="F1966" s="7">
        <v>60</v>
      </c>
      <c r="G1966" s="7">
        <v>7500</v>
      </c>
      <c r="H1966" s="16">
        <v>45210</v>
      </c>
      <c r="I1966" s="6">
        <v>41</v>
      </c>
      <c r="J1966" s="6" t="s">
        <v>121</v>
      </c>
      <c r="K1966" s="6" t="s">
        <v>1740</v>
      </c>
      <c r="L1966" s="11">
        <f>F1966*Controls!$B$6</f>
        <v>60</v>
      </c>
      <c r="M1966" s="11">
        <f>G1966*Controls!$B$6</f>
        <v>7500</v>
      </c>
      <c r="N1966" s="12">
        <f>IF(L1966=0,0,SUMIFS('PSI Plan'!$N$6:$N$173,'PSI Plan'!$B$6:$B$173,B1966,'PSI Plan'!$C$6:$C$173,I1966))</f>
        <v>0</v>
      </c>
      <c r="O1966" s="11">
        <f t="shared" si="60"/>
        <v>0</v>
      </c>
      <c r="P1966" s="11">
        <f t="shared" si="61"/>
        <v>0</v>
      </c>
      <c r="Q1966" s="6"/>
      <c r="R1966" s="6"/>
      <c r="S1966" s="6"/>
      <c r="T1966" s="6"/>
    </row>
    <row r="1967" spans="1:20">
      <c r="A1967" s="6" t="s">
        <v>2129</v>
      </c>
      <c r="B1967" s="6" t="s">
        <v>77</v>
      </c>
      <c r="C1967" s="6" t="s">
        <v>91</v>
      </c>
      <c r="D1967" s="6" t="s">
        <v>567</v>
      </c>
      <c r="E1967" s="6" t="s">
        <v>120</v>
      </c>
      <c r="F1967" s="7">
        <v>30</v>
      </c>
      <c r="G1967" s="7">
        <v>3750</v>
      </c>
      <c r="H1967" s="16">
        <v>45260</v>
      </c>
      <c r="I1967" s="6">
        <v>48</v>
      </c>
      <c r="J1967" s="6" t="s">
        <v>121</v>
      </c>
      <c r="K1967" s="6" t="s">
        <v>1740</v>
      </c>
      <c r="L1967" s="11">
        <f>F1967*Controls!$B$6</f>
        <v>30</v>
      </c>
      <c r="M1967" s="11">
        <f>G1967*Controls!$B$6</f>
        <v>3750</v>
      </c>
      <c r="N1967" s="12">
        <f>IF(L1967=0,0,SUMIFS('PSI Plan'!$N$6:$N$173,'PSI Plan'!$B$6:$B$173,B1967,'PSI Plan'!$C$6:$C$173,I1967))</f>
        <v>0</v>
      </c>
      <c r="O1967" s="11">
        <f t="shared" si="60"/>
        <v>0</v>
      </c>
      <c r="P1967" s="11">
        <f t="shared" si="61"/>
        <v>0</v>
      </c>
      <c r="Q1967" s="6"/>
      <c r="R1967" s="6"/>
      <c r="S1967" s="6"/>
      <c r="T1967" s="6"/>
    </row>
    <row r="1968" spans="1:20">
      <c r="A1968" s="6" t="s">
        <v>2130</v>
      </c>
      <c r="B1968" s="6" t="s">
        <v>66</v>
      </c>
      <c r="C1968" s="6" t="s">
        <v>90</v>
      </c>
      <c r="D1968" s="6" t="s">
        <v>119</v>
      </c>
      <c r="E1968" s="6" t="s">
        <v>120</v>
      </c>
      <c r="F1968" s="7">
        <v>26</v>
      </c>
      <c r="G1968" s="7">
        <v>3250</v>
      </c>
      <c r="H1968" s="16">
        <v>45268</v>
      </c>
      <c r="I1968" s="6">
        <v>49</v>
      </c>
      <c r="J1968" s="6" t="s">
        <v>1791</v>
      </c>
      <c r="K1968" s="6" t="s">
        <v>1890</v>
      </c>
      <c r="L1968" s="11">
        <f>F1968*Controls!$B$6</f>
        <v>26</v>
      </c>
      <c r="M1968" s="11">
        <f>G1968*Controls!$B$6</f>
        <v>3250</v>
      </c>
      <c r="N1968" s="12">
        <f>IF(L1968=0,0,SUMIFS('PSI Plan'!$N$6:$N$173,'PSI Plan'!$B$6:$B$173,B1968,'PSI Plan'!$C$6:$C$173,I1968))</f>
        <v>0</v>
      </c>
      <c r="O1968" s="11">
        <f t="shared" si="60"/>
        <v>0</v>
      </c>
      <c r="P1968" s="11">
        <f t="shared" si="61"/>
        <v>0</v>
      </c>
      <c r="Q1968" s="6"/>
      <c r="R1968" s="6"/>
      <c r="S1968" s="6"/>
      <c r="T1968" s="6"/>
    </row>
    <row r="1969" spans="1:20">
      <c r="A1969" s="6" t="s">
        <v>2131</v>
      </c>
      <c r="B1969" s="6" t="s">
        <v>66</v>
      </c>
      <c r="C1969" s="6" t="s">
        <v>90</v>
      </c>
      <c r="D1969" s="6" t="s">
        <v>119</v>
      </c>
      <c r="E1969" s="6" t="s">
        <v>120</v>
      </c>
      <c r="F1969" s="7">
        <v>26</v>
      </c>
      <c r="G1969" s="7">
        <v>3250</v>
      </c>
      <c r="H1969" s="16">
        <v>45205</v>
      </c>
      <c r="I1969" s="6">
        <v>40</v>
      </c>
      <c r="J1969" s="6" t="s">
        <v>1791</v>
      </c>
      <c r="K1969" s="6" t="s">
        <v>1890</v>
      </c>
      <c r="L1969" s="11">
        <f>F1969*Controls!$B$6</f>
        <v>26</v>
      </c>
      <c r="M1969" s="11">
        <f>G1969*Controls!$B$6</f>
        <v>3250</v>
      </c>
      <c r="N1969" s="12">
        <f>IF(L1969=0,0,SUMIFS('PSI Plan'!$N$6:$N$173,'PSI Plan'!$B$6:$B$173,B1969,'PSI Plan'!$C$6:$C$173,I1969))</f>
        <v>0</v>
      </c>
      <c r="O1969" s="11">
        <f t="shared" si="60"/>
        <v>0</v>
      </c>
      <c r="P1969" s="11">
        <f t="shared" si="61"/>
        <v>0</v>
      </c>
      <c r="Q1969" s="6"/>
      <c r="R1969" s="6"/>
      <c r="S1969" s="6"/>
      <c r="T1969" s="6"/>
    </row>
    <row r="1970" spans="1:20">
      <c r="A1970" s="6" t="s">
        <v>2132</v>
      </c>
      <c r="B1970" s="6" t="s">
        <v>76</v>
      </c>
      <c r="C1970" s="6" t="s">
        <v>90</v>
      </c>
      <c r="D1970" s="6" t="s">
        <v>119</v>
      </c>
      <c r="E1970" s="6" t="s">
        <v>120</v>
      </c>
      <c r="F1970" s="7">
        <v>26</v>
      </c>
      <c r="G1970" s="7">
        <v>3250</v>
      </c>
      <c r="H1970" s="16">
        <v>45276</v>
      </c>
      <c r="I1970" s="6">
        <v>50</v>
      </c>
      <c r="J1970" s="6" t="s">
        <v>1791</v>
      </c>
      <c r="K1970" s="6" t="s">
        <v>1890</v>
      </c>
      <c r="L1970" s="11">
        <f>F1970*Controls!$B$6</f>
        <v>26</v>
      </c>
      <c r="M1970" s="11">
        <f>G1970*Controls!$B$6</f>
        <v>3250</v>
      </c>
      <c r="N1970" s="12">
        <f>IF(L1970=0,0,SUMIFS('PSI Plan'!$N$6:$N$173,'PSI Plan'!$B$6:$B$173,B1970,'PSI Plan'!$C$6:$C$173,I1970))</f>
        <v>0</v>
      </c>
      <c r="O1970" s="11">
        <f t="shared" si="60"/>
        <v>0</v>
      </c>
      <c r="P1970" s="11">
        <f t="shared" si="61"/>
        <v>0</v>
      </c>
      <c r="Q1970" s="6"/>
      <c r="R1970" s="6"/>
      <c r="S1970" s="6"/>
      <c r="T1970" s="6"/>
    </row>
    <row r="1971" spans="1:20">
      <c r="A1971" s="6" t="s">
        <v>2133</v>
      </c>
      <c r="B1971" s="6" t="s">
        <v>67</v>
      </c>
      <c r="C1971" s="6" t="s">
        <v>90</v>
      </c>
      <c r="D1971" s="6" t="s">
        <v>119</v>
      </c>
      <c r="E1971" s="6" t="s">
        <v>120</v>
      </c>
      <c r="F1971" s="7">
        <v>26</v>
      </c>
      <c r="G1971" s="7">
        <v>3250</v>
      </c>
      <c r="H1971" s="16">
        <v>45253</v>
      </c>
      <c r="I1971" s="6">
        <v>47</v>
      </c>
      <c r="J1971" s="6" t="s">
        <v>1791</v>
      </c>
      <c r="K1971" s="6" t="s">
        <v>1890</v>
      </c>
      <c r="L1971" s="11">
        <f>F1971*Controls!$B$6</f>
        <v>26</v>
      </c>
      <c r="M1971" s="11">
        <f>G1971*Controls!$B$6</f>
        <v>3250</v>
      </c>
      <c r="N1971" s="12">
        <f>IF(L1971=0,0,SUMIFS('PSI Plan'!$N$6:$N$173,'PSI Plan'!$B$6:$B$173,B1971,'PSI Plan'!$C$6:$C$173,I1971))</f>
        <v>0</v>
      </c>
      <c r="O1971" s="11">
        <f t="shared" si="60"/>
        <v>0</v>
      </c>
      <c r="P1971" s="11">
        <f t="shared" si="61"/>
        <v>0</v>
      </c>
      <c r="Q1971" s="6"/>
      <c r="R1971" s="6"/>
      <c r="S1971" s="6"/>
      <c r="T1971" s="6"/>
    </row>
    <row r="1972" spans="1:20">
      <c r="A1972" s="6" t="s">
        <v>2134</v>
      </c>
      <c r="B1972" s="6" t="s">
        <v>77</v>
      </c>
      <c r="C1972" s="6" t="s">
        <v>90</v>
      </c>
      <c r="D1972" s="6" t="s">
        <v>119</v>
      </c>
      <c r="E1972" s="6" t="s">
        <v>120</v>
      </c>
      <c r="F1972" s="7">
        <v>13</v>
      </c>
      <c r="G1972" s="7">
        <v>1625</v>
      </c>
      <c r="H1972" s="16">
        <v>45227</v>
      </c>
      <c r="I1972" s="6">
        <v>43</v>
      </c>
      <c r="J1972" s="6" t="s">
        <v>121</v>
      </c>
      <c r="K1972" s="6" t="s">
        <v>122</v>
      </c>
      <c r="L1972" s="11">
        <f>F1972*Controls!$B$6</f>
        <v>13</v>
      </c>
      <c r="M1972" s="11">
        <f>G1972*Controls!$B$6</f>
        <v>1625</v>
      </c>
      <c r="N1972" s="12">
        <f>IF(L1972=0,0,SUMIFS('PSI Plan'!$N$6:$N$173,'PSI Plan'!$B$6:$B$173,B1972,'PSI Plan'!$C$6:$C$173,I1972))</f>
        <v>0</v>
      </c>
      <c r="O1972" s="11">
        <f t="shared" si="60"/>
        <v>0</v>
      </c>
      <c r="P1972" s="11">
        <f t="shared" si="61"/>
        <v>0</v>
      </c>
      <c r="Q1972" s="6"/>
      <c r="R1972" s="6"/>
      <c r="S1972" s="6"/>
      <c r="T1972" s="6"/>
    </row>
    <row r="1973" spans="1:20">
      <c r="A1973" s="6" t="s">
        <v>2135</v>
      </c>
      <c r="B1973" s="6" t="s">
        <v>67</v>
      </c>
      <c r="C1973" s="6" t="s">
        <v>90</v>
      </c>
      <c r="D1973" s="6" t="s">
        <v>119</v>
      </c>
      <c r="E1973" s="6" t="s">
        <v>120</v>
      </c>
      <c r="F1973" s="7">
        <v>26</v>
      </c>
      <c r="G1973" s="7">
        <v>3250</v>
      </c>
      <c r="H1973" s="16">
        <v>45263</v>
      </c>
      <c r="I1973" s="6">
        <v>49</v>
      </c>
      <c r="J1973" s="6" t="s">
        <v>121</v>
      </c>
      <c r="K1973" s="6" t="s">
        <v>122</v>
      </c>
      <c r="L1973" s="11">
        <f>F1973*Controls!$B$6</f>
        <v>26</v>
      </c>
      <c r="M1973" s="11">
        <f>G1973*Controls!$B$6</f>
        <v>3250</v>
      </c>
      <c r="N1973" s="12">
        <f>IF(L1973=0,0,SUMIFS('PSI Plan'!$N$6:$N$173,'PSI Plan'!$B$6:$B$173,B1973,'PSI Plan'!$C$6:$C$173,I1973))</f>
        <v>0</v>
      </c>
      <c r="O1973" s="11">
        <f t="shared" si="60"/>
        <v>0</v>
      </c>
      <c r="P1973" s="11">
        <f t="shared" si="61"/>
        <v>0</v>
      </c>
      <c r="Q1973" s="6"/>
      <c r="R1973" s="6"/>
      <c r="S1973" s="6"/>
      <c r="T1973" s="6"/>
    </row>
    <row r="1974" spans="1:20">
      <c r="A1974" s="6" t="s">
        <v>2136</v>
      </c>
      <c r="B1974" s="6" t="s">
        <v>69</v>
      </c>
      <c r="C1974" s="6" t="s">
        <v>90</v>
      </c>
      <c r="D1974" s="6" t="s">
        <v>119</v>
      </c>
      <c r="E1974" s="6" t="s">
        <v>120</v>
      </c>
      <c r="F1974" s="7">
        <v>65</v>
      </c>
      <c r="G1974" s="7">
        <v>8125</v>
      </c>
      <c r="H1974" s="16">
        <v>45209</v>
      </c>
      <c r="I1974" s="6">
        <v>41</v>
      </c>
      <c r="J1974" s="6" t="s">
        <v>121</v>
      </c>
      <c r="K1974" s="6" t="s">
        <v>122</v>
      </c>
      <c r="L1974" s="11">
        <f>F1974*Controls!$B$6</f>
        <v>65</v>
      </c>
      <c r="M1974" s="11">
        <f>G1974*Controls!$B$6</f>
        <v>8125</v>
      </c>
      <c r="N1974" s="12">
        <f>IF(L1974=0,0,SUMIFS('PSI Plan'!$N$6:$N$173,'PSI Plan'!$B$6:$B$173,B1974,'PSI Plan'!$C$6:$C$173,I1974))</f>
        <v>0</v>
      </c>
      <c r="O1974" s="11">
        <f t="shared" si="60"/>
        <v>0</v>
      </c>
      <c r="P1974" s="11">
        <f t="shared" si="61"/>
        <v>0</v>
      </c>
      <c r="Q1974" s="6"/>
      <c r="R1974" s="6"/>
      <c r="S1974" s="6"/>
      <c r="T1974" s="6"/>
    </row>
    <row r="1975" spans="1:20">
      <c r="A1975" s="6" t="s">
        <v>2137</v>
      </c>
      <c r="B1975" s="6" t="s">
        <v>66</v>
      </c>
      <c r="C1975" s="6" t="s">
        <v>90</v>
      </c>
      <c r="D1975" s="6" t="s">
        <v>119</v>
      </c>
      <c r="E1975" s="6" t="s">
        <v>120</v>
      </c>
      <c r="F1975" s="7">
        <v>13</v>
      </c>
      <c r="G1975" s="7">
        <v>1625</v>
      </c>
      <c r="H1975" s="16">
        <v>45271</v>
      </c>
      <c r="I1975" s="6">
        <v>50</v>
      </c>
      <c r="J1975" s="6" t="s">
        <v>121</v>
      </c>
      <c r="K1975" s="6" t="s">
        <v>855</v>
      </c>
      <c r="L1975" s="11">
        <f>F1975*Controls!$B$6</f>
        <v>13</v>
      </c>
      <c r="M1975" s="11">
        <f>G1975*Controls!$B$6</f>
        <v>1625</v>
      </c>
      <c r="N1975" s="12">
        <f>IF(L1975=0,0,SUMIFS('PSI Plan'!$N$6:$N$173,'PSI Plan'!$B$6:$B$173,B1975,'PSI Plan'!$C$6:$C$173,I1975))</f>
        <v>0</v>
      </c>
      <c r="O1975" s="11">
        <f t="shared" si="60"/>
        <v>0</v>
      </c>
      <c r="P1975" s="11">
        <f t="shared" si="61"/>
        <v>0</v>
      </c>
      <c r="Q1975" s="6"/>
      <c r="R1975" s="6"/>
      <c r="S1975" s="6"/>
      <c r="T1975" s="6"/>
    </row>
    <row r="1976" spans="1:20">
      <c r="A1976" s="6" t="s">
        <v>2138</v>
      </c>
      <c r="B1976" s="6" t="s">
        <v>77</v>
      </c>
      <c r="C1976" s="6" t="s">
        <v>90</v>
      </c>
      <c r="D1976" s="6" t="s">
        <v>119</v>
      </c>
      <c r="E1976" s="6" t="s">
        <v>120</v>
      </c>
      <c r="F1976" s="7">
        <v>39</v>
      </c>
      <c r="G1976" s="7">
        <v>4875</v>
      </c>
      <c r="H1976" s="16">
        <v>45263</v>
      </c>
      <c r="I1976" s="6">
        <v>49</v>
      </c>
      <c r="J1976" s="6" t="s">
        <v>121</v>
      </c>
      <c r="K1976" s="6" t="s">
        <v>855</v>
      </c>
      <c r="L1976" s="11">
        <f>F1976*Controls!$B$6</f>
        <v>39</v>
      </c>
      <c r="M1976" s="11">
        <f>G1976*Controls!$B$6</f>
        <v>4875</v>
      </c>
      <c r="N1976" s="12">
        <f>IF(L1976=0,0,SUMIFS('PSI Plan'!$N$6:$N$173,'PSI Plan'!$B$6:$B$173,B1976,'PSI Plan'!$C$6:$C$173,I1976))</f>
        <v>0</v>
      </c>
      <c r="O1976" s="11">
        <f t="shared" si="60"/>
        <v>0</v>
      </c>
      <c r="P1976" s="11">
        <f t="shared" si="61"/>
        <v>0</v>
      </c>
      <c r="Q1976" s="6"/>
      <c r="R1976" s="6"/>
      <c r="S1976" s="6"/>
      <c r="T1976" s="6"/>
    </row>
    <row r="1977" spans="1:20">
      <c r="A1977" s="6" t="s">
        <v>2139</v>
      </c>
      <c r="B1977" s="6" t="s">
        <v>76</v>
      </c>
      <c r="C1977" s="6" t="s">
        <v>90</v>
      </c>
      <c r="D1977" s="6" t="s">
        <v>119</v>
      </c>
      <c r="E1977" s="6" t="s">
        <v>120</v>
      </c>
      <c r="F1977" s="7">
        <v>13</v>
      </c>
      <c r="G1977" s="7">
        <v>1625</v>
      </c>
      <c r="H1977" s="16">
        <v>45234</v>
      </c>
      <c r="I1977" s="6">
        <v>44</v>
      </c>
      <c r="J1977" s="6" t="s">
        <v>121</v>
      </c>
      <c r="K1977" s="6" t="s">
        <v>855</v>
      </c>
      <c r="L1977" s="11">
        <f>F1977*Controls!$B$6</f>
        <v>13</v>
      </c>
      <c r="M1977" s="11">
        <f>G1977*Controls!$B$6</f>
        <v>1625</v>
      </c>
      <c r="N1977" s="12">
        <f>IF(L1977=0,0,SUMIFS('PSI Plan'!$N$6:$N$173,'PSI Plan'!$B$6:$B$173,B1977,'PSI Plan'!$C$6:$C$173,I1977))</f>
        <v>0</v>
      </c>
      <c r="O1977" s="11">
        <f t="shared" si="60"/>
        <v>0</v>
      </c>
      <c r="P1977" s="11">
        <f t="shared" si="61"/>
        <v>0</v>
      </c>
      <c r="Q1977" s="6"/>
      <c r="R1977" s="6"/>
      <c r="S1977" s="6"/>
      <c r="T1977" s="6"/>
    </row>
    <row r="1978" spans="1:20">
      <c r="A1978" s="6" t="s">
        <v>2140</v>
      </c>
      <c r="B1978" s="6" t="s">
        <v>69</v>
      </c>
      <c r="C1978" s="6" t="s">
        <v>90</v>
      </c>
      <c r="D1978" s="6" t="s">
        <v>119</v>
      </c>
      <c r="E1978" s="6" t="s">
        <v>120</v>
      </c>
      <c r="F1978" s="7">
        <v>13</v>
      </c>
      <c r="G1978" s="7">
        <v>1625</v>
      </c>
      <c r="H1978" s="16">
        <v>45234</v>
      </c>
      <c r="I1978" s="6">
        <v>44</v>
      </c>
      <c r="J1978" s="6" t="s">
        <v>121</v>
      </c>
      <c r="K1978" s="6" t="s">
        <v>855</v>
      </c>
      <c r="L1978" s="11">
        <f>F1978*Controls!$B$6</f>
        <v>13</v>
      </c>
      <c r="M1978" s="11">
        <f>G1978*Controls!$B$6</f>
        <v>1625</v>
      </c>
      <c r="N1978" s="12">
        <f>IF(L1978=0,0,SUMIFS('PSI Plan'!$N$6:$N$173,'PSI Plan'!$B$6:$B$173,B1978,'PSI Plan'!$C$6:$C$173,I1978))</f>
        <v>0</v>
      </c>
      <c r="O1978" s="11">
        <f t="shared" si="60"/>
        <v>0</v>
      </c>
      <c r="P1978" s="11">
        <f t="shared" si="61"/>
        <v>0</v>
      </c>
      <c r="Q1978" s="6"/>
      <c r="R1978" s="6"/>
      <c r="S1978" s="6"/>
      <c r="T1978" s="6"/>
    </row>
    <row r="1979" spans="1:20">
      <c r="A1979" s="6" t="s">
        <v>2141</v>
      </c>
      <c r="B1979" s="6" t="s">
        <v>76</v>
      </c>
      <c r="C1979" s="6" t="s">
        <v>90</v>
      </c>
      <c r="D1979" s="6" t="s">
        <v>119</v>
      </c>
      <c r="E1979" s="6" t="s">
        <v>120</v>
      </c>
      <c r="F1979" s="7">
        <v>13</v>
      </c>
      <c r="G1979" s="7">
        <v>1625</v>
      </c>
      <c r="H1979" s="16">
        <v>45219</v>
      </c>
      <c r="I1979" s="6">
        <v>42</v>
      </c>
      <c r="J1979" s="6" t="s">
        <v>121</v>
      </c>
      <c r="K1979" s="6" t="s">
        <v>139</v>
      </c>
      <c r="L1979" s="11">
        <f>F1979*Controls!$B$6</f>
        <v>13</v>
      </c>
      <c r="M1979" s="11">
        <f>G1979*Controls!$B$6</f>
        <v>1625</v>
      </c>
      <c r="N1979" s="12">
        <f>IF(L1979=0,0,SUMIFS('PSI Plan'!$N$6:$N$173,'PSI Plan'!$B$6:$B$173,B1979,'PSI Plan'!$C$6:$C$173,I1979))</f>
        <v>0</v>
      </c>
      <c r="O1979" s="11">
        <f t="shared" si="60"/>
        <v>0</v>
      </c>
      <c r="P1979" s="11">
        <f t="shared" si="61"/>
        <v>0</v>
      </c>
      <c r="Q1979" s="6"/>
      <c r="R1979" s="6"/>
      <c r="S1979" s="6"/>
      <c r="T1979" s="6"/>
    </row>
    <row r="1980" spans="1:20">
      <c r="A1980" s="6" t="s">
        <v>2142</v>
      </c>
      <c r="B1980" s="6" t="s">
        <v>67</v>
      </c>
      <c r="C1980" s="6" t="s">
        <v>90</v>
      </c>
      <c r="D1980" s="6" t="s">
        <v>119</v>
      </c>
      <c r="E1980" s="6" t="s">
        <v>120</v>
      </c>
      <c r="F1980" s="7">
        <v>26</v>
      </c>
      <c r="G1980" s="7">
        <v>3250</v>
      </c>
      <c r="H1980" s="16">
        <v>45244</v>
      </c>
      <c r="I1980" s="6">
        <v>46</v>
      </c>
      <c r="J1980" s="6" t="s">
        <v>121</v>
      </c>
      <c r="K1980" s="6" t="s">
        <v>139</v>
      </c>
      <c r="L1980" s="11">
        <f>F1980*Controls!$B$6</f>
        <v>26</v>
      </c>
      <c r="M1980" s="11">
        <f>G1980*Controls!$B$6</f>
        <v>3250</v>
      </c>
      <c r="N1980" s="12">
        <f>IF(L1980=0,0,SUMIFS('PSI Plan'!$N$6:$N$173,'PSI Plan'!$B$6:$B$173,B1980,'PSI Plan'!$C$6:$C$173,I1980))</f>
        <v>0</v>
      </c>
      <c r="O1980" s="11">
        <f t="shared" si="60"/>
        <v>0</v>
      </c>
      <c r="P1980" s="11">
        <f t="shared" si="61"/>
        <v>0</v>
      </c>
      <c r="Q1980" s="6"/>
      <c r="R1980" s="6"/>
      <c r="S1980" s="6"/>
      <c r="T1980" s="6"/>
    </row>
    <row r="1981" spans="1:20">
      <c r="A1981" s="6" t="s">
        <v>2143</v>
      </c>
      <c r="B1981" s="6" t="s">
        <v>69</v>
      </c>
      <c r="C1981" s="6" t="s">
        <v>90</v>
      </c>
      <c r="D1981" s="6" t="s">
        <v>119</v>
      </c>
      <c r="E1981" s="6" t="s">
        <v>120</v>
      </c>
      <c r="F1981" s="7">
        <v>13</v>
      </c>
      <c r="G1981" s="7">
        <v>1625</v>
      </c>
      <c r="H1981" s="16">
        <v>45246</v>
      </c>
      <c r="I1981" s="6">
        <v>46</v>
      </c>
      <c r="J1981" s="6" t="s">
        <v>121</v>
      </c>
      <c r="K1981" s="6" t="s">
        <v>139</v>
      </c>
      <c r="L1981" s="11">
        <f>F1981*Controls!$B$6</f>
        <v>13</v>
      </c>
      <c r="M1981" s="11">
        <f>G1981*Controls!$B$6</f>
        <v>1625</v>
      </c>
      <c r="N1981" s="12">
        <f>IF(L1981=0,0,SUMIFS('PSI Plan'!$N$6:$N$173,'PSI Plan'!$B$6:$B$173,B1981,'PSI Plan'!$C$6:$C$173,I1981))</f>
        <v>0</v>
      </c>
      <c r="O1981" s="11">
        <f t="shared" si="60"/>
        <v>0</v>
      </c>
      <c r="P1981" s="11">
        <f t="shared" si="61"/>
        <v>0</v>
      </c>
      <c r="Q1981" s="6"/>
      <c r="R1981" s="6"/>
      <c r="S1981" s="6"/>
      <c r="T1981" s="6"/>
    </row>
    <row r="1982" spans="1:20">
      <c r="A1982" s="6" t="s">
        <v>2144</v>
      </c>
      <c r="B1982" s="6" t="s">
        <v>77</v>
      </c>
      <c r="C1982" s="6" t="s">
        <v>90</v>
      </c>
      <c r="D1982" s="6" t="s">
        <v>119</v>
      </c>
      <c r="E1982" s="6" t="s">
        <v>120</v>
      </c>
      <c r="F1982" s="7">
        <v>26</v>
      </c>
      <c r="G1982" s="7">
        <v>3250</v>
      </c>
      <c r="H1982" s="16">
        <v>45284</v>
      </c>
      <c r="I1982" s="6">
        <v>52</v>
      </c>
      <c r="J1982" s="6" t="s">
        <v>121</v>
      </c>
      <c r="K1982" s="6" t="s">
        <v>171</v>
      </c>
      <c r="L1982" s="11">
        <f>F1982*Controls!$B$6</f>
        <v>26</v>
      </c>
      <c r="M1982" s="11">
        <f>G1982*Controls!$B$6</f>
        <v>3250</v>
      </c>
      <c r="N1982" s="12">
        <f>IF(L1982=0,0,SUMIFS('PSI Plan'!$N$6:$N$173,'PSI Plan'!$B$6:$B$173,B1982,'PSI Plan'!$C$6:$C$173,I1982))</f>
        <v>0</v>
      </c>
      <c r="O1982" s="11">
        <f t="shared" si="60"/>
        <v>0</v>
      </c>
      <c r="P1982" s="11">
        <f t="shared" si="61"/>
        <v>0</v>
      </c>
      <c r="Q1982" s="6"/>
      <c r="R1982" s="6"/>
      <c r="S1982" s="6"/>
      <c r="T1982" s="6"/>
    </row>
    <row r="1983" spans="1:20">
      <c r="A1983" s="6" t="s">
        <v>2145</v>
      </c>
      <c r="B1983" s="6" t="s">
        <v>69</v>
      </c>
      <c r="C1983" s="6" t="s">
        <v>90</v>
      </c>
      <c r="D1983" s="6" t="s">
        <v>119</v>
      </c>
      <c r="E1983" s="6" t="s">
        <v>120</v>
      </c>
      <c r="F1983" s="7">
        <v>13</v>
      </c>
      <c r="G1983" s="7">
        <v>1625</v>
      </c>
      <c r="H1983" s="16">
        <v>45259</v>
      </c>
      <c r="I1983" s="6">
        <v>48</v>
      </c>
      <c r="J1983" s="6" t="s">
        <v>121</v>
      </c>
      <c r="K1983" s="6" t="s">
        <v>171</v>
      </c>
      <c r="L1983" s="11">
        <f>F1983*Controls!$B$6</f>
        <v>13</v>
      </c>
      <c r="M1983" s="11">
        <f>G1983*Controls!$B$6</f>
        <v>1625</v>
      </c>
      <c r="N1983" s="12">
        <f>IF(L1983=0,0,SUMIFS('PSI Plan'!$N$6:$N$173,'PSI Plan'!$B$6:$B$173,B1983,'PSI Plan'!$C$6:$C$173,I1983))</f>
        <v>0</v>
      </c>
      <c r="O1983" s="11">
        <f t="shared" si="60"/>
        <v>0</v>
      </c>
      <c r="P1983" s="11">
        <f t="shared" si="61"/>
        <v>0</v>
      </c>
      <c r="Q1983" s="6"/>
      <c r="R1983" s="6"/>
      <c r="S1983" s="6"/>
      <c r="T1983" s="6"/>
    </row>
    <row r="1984" spans="1:20">
      <c r="A1984" s="6" t="s">
        <v>2146</v>
      </c>
      <c r="B1984" s="6" t="s">
        <v>66</v>
      </c>
      <c r="C1984" s="6" t="s">
        <v>102</v>
      </c>
      <c r="D1984" s="6" t="s">
        <v>1895</v>
      </c>
      <c r="E1984" s="6" t="s">
        <v>120</v>
      </c>
      <c r="F1984" s="7">
        <v>20</v>
      </c>
      <c r="G1984" s="7">
        <v>2500</v>
      </c>
      <c r="H1984" s="16">
        <v>45207</v>
      </c>
      <c r="I1984" s="6">
        <v>41</v>
      </c>
      <c r="J1984" s="6" t="s">
        <v>1791</v>
      </c>
      <c r="K1984" s="6" t="s">
        <v>1896</v>
      </c>
      <c r="L1984" s="11">
        <f>F1984*Controls!$B$6</f>
        <v>20</v>
      </c>
      <c r="M1984" s="11">
        <f>G1984*Controls!$B$6</f>
        <v>2500</v>
      </c>
      <c r="N1984" s="12">
        <f>IF(L1984=0,0,SUMIFS('PSI Plan'!$N$6:$N$173,'PSI Plan'!$B$6:$B$173,B1984,'PSI Plan'!$C$6:$C$173,I1984))</f>
        <v>0.22897465437788017</v>
      </c>
      <c r="O1984" s="11">
        <f t="shared" si="60"/>
        <v>4.5794930875576032</v>
      </c>
      <c r="P1984" s="11">
        <f t="shared" si="61"/>
        <v>572.43663594470047</v>
      </c>
      <c r="Q1984" s="6"/>
      <c r="R1984" s="6"/>
      <c r="S1984" s="6"/>
      <c r="T1984" s="6"/>
    </row>
    <row r="1985" spans="1:20">
      <c r="A1985" s="6" t="s">
        <v>2147</v>
      </c>
      <c r="B1985" s="6" t="s">
        <v>76</v>
      </c>
      <c r="C1985" s="6" t="s">
        <v>102</v>
      </c>
      <c r="D1985" s="6" t="s">
        <v>1895</v>
      </c>
      <c r="E1985" s="6" t="s">
        <v>120</v>
      </c>
      <c r="F1985" s="7">
        <v>40</v>
      </c>
      <c r="G1985" s="7">
        <v>5000</v>
      </c>
      <c r="H1985" s="16">
        <v>45253</v>
      </c>
      <c r="I1985" s="6">
        <v>47</v>
      </c>
      <c r="J1985" s="6" t="s">
        <v>1791</v>
      </c>
      <c r="K1985" s="6" t="s">
        <v>1896</v>
      </c>
      <c r="L1985" s="11">
        <f>F1985*Controls!$B$6</f>
        <v>40</v>
      </c>
      <c r="M1985" s="11">
        <f>G1985*Controls!$B$6</f>
        <v>5000</v>
      </c>
      <c r="N1985" s="12">
        <f>IF(L1985=0,0,SUMIFS('PSI Plan'!$N$6:$N$173,'PSI Plan'!$B$6:$B$173,B1985,'PSI Plan'!$C$6:$C$173,I1985))</f>
        <v>0</v>
      </c>
      <c r="O1985" s="11">
        <f t="shared" si="60"/>
        <v>0</v>
      </c>
      <c r="P1985" s="11">
        <f t="shared" si="61"/>
        <v>0</v>
      </c>
      <c r="Q1985" s="6"/>
      <c r="R1985" s="6"/>
      <c r="S1985" s="6"/>
      <c r="T1985" s="6"/>
    </row>
    <row r="1986" spans="1:20">
      <c r="A1986" s="6" t="s">
        <v>2148</v>
      </c>
      <c r="B1986" s="6" t="s">
        <v>67</v>
      </c>
      <c r="C1986" s="6" t="s">
        <v>102</v>
      </c>
      <c r="D1986" s="6" t="s">
        <v>1895</v>
      </c>
      <c r="E1986" s="6" t="s">
        <v>120</v>
      </c>
      <c r="F1986" s="7">
        <v>40</v>
      </c>
      <c r="G1986" s="7">
        <v>5000</v>
      </c>
      <c r="H1986" s="16">
        <v>45256</v>
      </c>
      <c r="I1986" s="6">
        <v>48</v>
      </c>
      <c r="J1986" s="6" t="s">
        <v>1791</v>
      </c>
      <c r="K1986" s="6" t="s">
        <v>1896</v>
      </c>
      <c r="L1986" s="11">
        <f>F1986*Controls!$B$6</f>
        <v>40</v>
      </c>
      <c r="M1986" s="11">
        <f>G1986*Controls!$B$6</f>
        <v>5000</v>
      </c>
      <c r="N1986" s="12">
        <f>IF(L1986=0,0,SUMIFS('PSI Plan'!$N$6:$N$173,'PSI Plan'!$B$6:$B$173,B1986,'PSI Plan'!$C$6:$C$173,I1986))</f>
        <v>0</v>
      </c>
      <c r="O1986" s="11">
        <f t="shared" ref="O1986:O2049" si="62">L1986*N1986</f>
        <v>0</v>
      </c>
      <c r="P1986" s="11">
        <f t="shared" ref="P1986:P2049" si="63">M1986*N1986</f>
        <v>0</v>
      </c>
      <c r="Q1986" s="6"/>
      <c r="R1986" s="6"/>
      <c r="S1986" s="6"/>
      <c r="T1986" s="6"/>
    </row>
    <row r="1987" spans="1:20">
      <c r="A1987" s="6" t="s">
        <v>2149</v>
      </c>
      <c r="B1987" s="6" t="s">
        <v>66</v>
      </c>
      <c r="C1987" s="6" t="s">
        <v>102</v>
      </c>
      <c r="D1987" s="6" t="s">
        <v>1895</v>
      </c>
      <c r="E1987" s="6" t="s">
        <v>120</v>
      </c>
      <c r="F1987" s="7">
        <v>50</v>
      </c>
      <c r="G1987" s="7">
        <v>6250</v>
      </c>
      <c r="H1987" s="16">
        <v>45207</v>
      </c>
      <c r="I1987" s="6">
        <v>41</v>
      </c>
      <c r="J1987" s="6" t="s">
        <v>1791</v>
      </c>
      <c r="K1987" s="6" t="s">
        <v>1896</v>
      </c>
      <c r="L1987" s="11">
        <f>F1987*Controls!$B$6</f>
        <v>50</v>
      </c>
      <c r="M1987" s="11">
        <f>G1987*Controls!$B$6</f>
        <v>6250</v>
      </c>
      <c r="N1987" s="12">
        <f>IF(L1987=0,0,SUMIFS('PSI Plan'!$N$6:$N$173,'PSI Plan'!$B$6:$B$173,B1987,'PSI Plan'!$C$6:$C$173,I1987))</f>
        <v>0.22897465437788017</v>
      </c>
      <c r="O1987" s="11">
        <f t="shared" si="62"/>
        <v>11.448732718894009</v>
      </c>
      <c r="P1987" s="11">
        <f t="shared" si="63"/>
        <v>1431.0915898617511</v>
      </c>
      <c r="Q1987" s="6"/>
      <c r="R1987" s="6"/>
      <c r="S1987" s="6"/>
      <c r="T1987" s="6"/>
    </row>
    <row r="1988" spans="1:20">
      <c r="A1988" s="6" t="s">
        <v>2150</v>
      </c>
      <c r="B1988" s="6" t="s">
        <v>66</v>
      </c>
      <c r="C1988" s="6" t="s">
        <v>100</v>
      </c>
      <c r="D1988" s="6" t="s">
        <v>571</v>
      </c>
      <c r="E1988" s="6" t="s">
        <v>120</v>
      </c>
      <c r="F1988" s="7">
        <v>5</v>
      </c>
      <c r="G1988" s="7">
        <v>625</v>
      </c>
      <c r="H1988" s="16">
        <v>45207</v>
      </c>
      <c r="I1988" s="6">
        <v>41</v>
      </c>
      <c r="J1988" s="6" t="s">
        <v>2151</v>
      </c>
      <c r="K1988" s="6" t="s">
        <v>2152</v>
      </c>
      <c r="L1988" s="11">
        <f>F1988*Controls!$B$6</f>
        <v>5</v>
      </c>
      <c r="M1988" s="11">
        <f>G1988*Controls!$B$6</f>
        <v>625</v>
      </c>
      <c r="N1988" s="12">
        <f>IF(L1988=0,0,SUMIFS('PSI Plan'!$N$6:$N$173,'PSI Plan'!$B$6:$B$173,B1988,'PSI Plan'!$C$6:$C$173,I1988))</f>
        <v>0.22897465437788017</v>
      </c>
      <c r="O1988" s="11">
        <f t="shared" si="62"/>
        <v>1.1448732718894008</v>
      </c>
      <c r="P1988" s="11">
        <f t="shared" si="63"/>
        <v>143.10915898617512</v>
      </c>
      <c r="Q1988" s="6"/>
      <c r="R1988" s="6"/>
      <c r="S1988" s="6"/>
      <c r="T1988" s="6"/>
    </row>
    <row r="1989" spans="1:20">
      <c r="A1989" s="6" t="s">
        <v>2153</v>
      </c>
      <c r="B1989" s="6" t="s">
        <v>76</v>
      </c>
      <c r="C1989" s="6" t="s">
        <v>100</v>
      </c>
      <c r="D1989" s="6" t="s">
        <v>571</v>
      </c>
      <c r="E1989" s="6" t="s">
        <v>120</v>
      </c>
      <c r="F1989" s="7">
        <v>5</v>
      </c>
      <c r="G1989" s="7">
        <v>625</v>
      </c>
      <c r="H1989" s="16">
        <v>45255</v>
      </c>
      <c r="I1989" s="6">
        <v>47</v>
      </c>
      <c r="J1989" s="6" t="s">
        <v>2151</v>
      </c>
      <c r="K1989" s="6" t="s">
        <v>2152</v>
      </c>
      <c r="L1989" s="11">
        <f>F1989*Controls!$B$6</f>
        <v>5</v>
      </c>
      <c r="M1989" s="11">
        <f>G1989*Controls!$B$6</f>
        <v>625</v>
      </c>
      <c r="N1989" s="12">
        <f>IF(L1989=0,0,SUMIFS('PSI Plan'!$N$6:$N$173,'PSI Plan'!$B$6:$B$173,B1989,'PSI Plan'!$C$6:$C$173,I1989))</f>
        <v>0</v>
      </c>
      <c r="O1989" s="11">
        <f t="shared" si="62"/>
        <v>0</v>
      </c>
      <c r="P1989" s="11">
        <f t="shared" si="63"/>
        <v>0</v>
      </c>
      <c r="Q1989" s="6"/>
      <c r="R1989" s="6"/>
      <c r="S1989" s="6"/>
      <c r="T1989" s="6"/>
    </row>
    <row r="1990" spans="1:20">
      <c r="A1990" s="6" t="s">
        <v>2154</v>
      </c>
      <c r="B1990" s="6" t="s">
        <v>67</v>
      </c>
      <c r="C1990" s="6" t="s">
        <v>100</v>
      </c>
      <c r="D1990" s="6" t="s">
        <v>571</v>
      </c>
      <c r="E1990" s="6" t="s">
        <v>120</v>
      </c>
      <c r="F1990" s="7">
        <v>6</v>
      </c>
      <c r="G1990" s="7">
        <v>750</v>
      </c>
      <c r="H1990" s="16">
        <v>45231</v>
      </c>
      <c r="I1990" s="6">
        <v>44</v>
      </c>
      <c r="J1990" s="6" t="s">
        <v>2151</v>
      </c>
      <c r="K1990" s="6" t="s">
        <v>2152</v>
      </c>
      <c r="L1990" s="11">
        <f>F1990*Controls!$B$6</f>
        <v>6</v>
      </c>
      <c r="M1990" s="11">
        <f>G1990*Controls!$B$6</f>
        <v>750</v>
      </c>
      <c r="N1990" s="12">
        <f>IF(L1990=0,0,SUMIFS('PSI Plan'!$N$6:$N$173,'PSI Plan'!$B$6:$B$173,B1990,'PSI Plan'!$C$6:$C$173,I1990))</f>
        <v>0</v>
      </c>
      <c r="O1990" s="11">
        <f t="shared" si="62"/>
        <v>0</v>
      </c>
      <c r="P1990" s="11">
        <f t="shared" si="63"/>
        <v>0</v>
      </c>
      <c r="Q1990" s="6"/>
      <c r="R1990" s="6"/>
      <c r="S1990" s="6"/>
      <c r="T1990" s="6"/>
    </row>
    <row r="1991" spans="1:20">
      <c r="A1991" s="6" t="s">
        <v>2155</v>
      </c>
      <c r="B1991" s="6" t="s">
        <v>69</v>
      </c>
      <c r="C1991" s="6" t="s">
        <v>100</v>
      </c>
      <c r="D1991" s="6" t="s">
        <v>571</v>
      </c>
      <c r="E1991" s="6" t="s">
        <v>120</v>
      </c>
      <c r="F1991" s="7">
        <v>5</v>
      </c>
      <c r="G1991" s="7">
        <v>625</v>
      </c>
      <c r="H1991" s="16">
        <v>45278</v>
      </c>
      <c r="I1991" s="6">
        <v>51</v>
      </c>
      <c r="J1991" s="6" t="s">
        <v>2151</v>
      </c>
      <c r="K1991" s="6" t="s">
        <v>2152</v>
      </c>
      <c r="L1991" s="11">
        <f>F1991*Controls!$B$6</f>
        <v>5</v>
      </c>
      <c r="M1991" s="11">
        <f>G1991*Controls!$B$6</f>
        <v>625</v>
      </c>
      <c r="N1991" s="12">
        <f>IF(L1991=0,0,SUMIFS('PSI Plan'!$N$6:$N$173,'PSI Plan'!$B$6:$B$173,B1991,'PSI Plan'!$C$6:$C$173,I1991))</f>
        <v>0</v>
      </c>
      <c r="O1991" s="11">
        <f t="shared" si="62"/>
        <v>0</v>
      </c>
      <c r="P1991" s="11">
        <f t="shared" si="63"/>
        <v>0</v>
      </c>
      <c r="Q1991" s="6"/>
      <c r="R1991" s="6"/>
      <c r="S1991" s="6"/>
      <c r="T1991" s="6"/>
    </row>
    <row r="1992" spans="1:20">
      <c r="A1992" s="6" t="s">
        <v>2156</v>
      </c>
      <c r="B1992" s="6" t="s">
        <v>66</v>
      </c>
      <c r="C1992" s="6" t="s">
        <v>100</v>
      </c>
      <c r="D1992" s="6" t="s">
        <v>571</v>
      </c>
      <c r="E1992" s="6" t="s">
        <v>120</v>
      </c>
      <c r="F1992" s="7">
        <v>5</v>
      </c>
      <c r="G1992" s="7">
        <v>625</v>
      </c>
      <c r="H1992" s="16">
        <v>45202</v>
      </c>
      <c r="I1992" s="6">
        <v>40</v>
      </c>
      <c r="J1992" s="6" t="s">
        <v>2151</v>
      </c>
      <c r="K1992" s="6" t="s">
        <v>2152</v>
      </c>
      <c r="L1992" s="11">
        <f>F1992*Controls!$B$6</f>
        <v>5</v>
      </c>
      <c r="M1992" s="11">
        <f>G1992*Controls!$B$6</f>
        <v>625</v>
      </c>
      <c r="N1992" s="12">
        <f>IF(L1992=0,0,SUMIFS('PSI Plan'!$N$6:$N$173,'PSI Plan'!$B$6:$B$173,B1992,'PSI Plan'!$C$6:$C$173,I1992))</f>
        <v>0</v>
      </c>
      <c r="O1992" s="11">
        <f t="shared" si="62"/>
        <v>0</v>
      </c>
      <c r="P1992" s="11">
        <f t="shared" si="63"/>
        <v>0</v>
      </c>
      <c r="Q1992" s="6"/>
      <c r="R1992" s="6"/>
      <c r="S1992" s="6"/>
      <c r="T1992" s="6"/>
    </row>
    <row r="1993" spans="1:20">
      <c r="A1993" s="6" t="s">
        <v>2157</v>
      </c>
      <c r="B1993" s="6" t="s">
        <v>66</v>
      </c>
      <c r="C1993" s="6" t="s">
        <v>90</v>
      </c>
      <c r="D1993" s="6" t="s">
        <v>119</v>
      </c>
      <c r="E1993" s="6" t="s">
        <v>120</v>
      </c>
      <c r="F1993" s="7">
        <v>26</v>
      </c>
      <c r="G1993" s="7">
        <v>3250</v>
      </c>
      <c r="H1993" s="16">
        <v>45283</v>
      </c>
      <c r="I1993" s="6">
        <v>51</v>
      </c>
      <c r="J1993" s="6" t="s">
        <v>1791</v>
      </c>
      <c r="K1993" s="6" t="s">
        <v>1890</v>
      </c>
      <c r="L1993" s="11">
        <f>F1993*Controls!$B$6</f>
        <v>26</v>
      </c>
      <c r="M1993" s="11">
        <f>G1993*Controls!$B$6</f>
        <v>3250</v>
      </c>
      <c r="N1993" s="12">
        <f>IF(L1993=0,0,SUMIFS('PSI Plan'!$N$6:$N$173,'PSI Plan'!$B$6:$B$173,B1993,'PSI Plan'!$C$6:$C$173,I1993))</f>
        <v>0</v>
      </c>
      <c r="O1993" s="11">
        <f t="shared" si="62"/>
        <v>0</v>
      </c>
      <c r="P1993" s="11">
        <f t="shared" si="63"/>
        <v>0</v>
      </c>
      <c r="Q1993" s="6"/>
      <c r="R1993" s="6"/>
      <c r="S1993" s="6"/>
      <c r="T1993" s="6"/>
    </row>
    <row r="1994" spans="1:20">
      <c r="A1994" s="6" t="s">
        <v>2158</v>
      </c>
      <c r="B1994" s="6" t="s">
        <v>66</v>
      </c>
      <c r="C1994" s="6" t="s">
        <v>90</v>
      </c>
      <c r="D1994" s="6" t="s">
        <v>119</v>
      </c>
      <c r="E1994" s="6" t="s">
        <v>120</v>
      </c>
      <c r="F1994" s="7">
        <v>39</v>
      </c>
      <c r="G1994" s="7">
        <v>4875</v>
      </c>
      <c r="H1994" s="16">
        <v>45246</v>
      </c>
      <c r="I1994" s="6">
        <v>46</v>
      </c>
      <c r="J1994" s="6" t="s">
        <v>1791</v>
      </c>
      <c r="K1994" s="6" t="s">
        <v>1890</v>
      </c>
      <c r="L1994" s="11">
        <f>F1994*Controls!$B$6</f>
        <v>39</v>
      </c>
      <c r="M1994" s="11">
        <f>G1994*Controls!$B$6</f>
        <v>4875</v>
      </c>
      <c r="N1994" s="12">
        <f>IF(L1994=0,0,SUMIFS('PSI Plan'!$N$6:$N$173,'PSI Plan'!$B$6:$B$173,B1994,'PSI Plan'!$C$6:$C$173,I1994))</f>
        <v>0</v>
      </c>
      <c r="O1994" s="11">
        <f t="shared" si="62"/>
        <v>0</v>
      </c>
      <c r="P1994" s="11">
        <f t="shared" si="63"/>
        <v>0</v>
      </c>
      <c r="Q1994" s="6"/>
      <c r="R1994" s="6"/>
      <c r="S1994" s="6"/>
      <c r="T1994" s="6"/>
    </row>
    <row r="1995" spans="1:20">
      <c r="A1995" s="6" t="s">
        <v>2159</v>
      </c>
      <c r="B1995" s="6" t="s">
        <v>76</v>
      </c>
      <c r="C1995" s="6" t="s">
        <v>90</v>
      </c>
      <c r="D1995" s="6" t="s">
        <v>119</v>
      </c>
      <c r="E1995" s="6" t="s">
        <v>120</v>
      </c>
      <c r="F1995" s="7">
        <v>26</v>
      </c>
      <c r="G1995" s="7">
        <v>3250</v>
      </c>
      <c r="H1995" s="16">
        <v>45206</v>
      </c>
      <c r="I1995" s="6">
        <v>40</v>
      </c>
      <c r="J1995" s="6" t="s">
        <v>1791</v>
      </c>
      <c r="K1995" s="6" t="s">
        <v>1890</v>
      </c>
      <c r="L1995" s="11">
        <f>F1995*Controls!$B$6</f>
        <v>26</v>
      </c>
      <c r="M1995" s="11">
        <f>G1995*Controls!$B$6</f>
        <v>3250</v>
      </c>
      <c r="N1995" s="12">
        <f>IF(L1995=0,0,SUMIFS('PSI Plan'!$N$6:$N$173,'PSI Plan'!$B$6:$B$173,B1995,'PSI Plan'!$C$6:$C$173,I1995))</f>
        <v>0</v>
      </c>
      <c r="O1995" s="11">
        <f t="shared" si="62"/>
        <v>0</v>
      </c>
      <c r="P1995" s="11">
        <f t="shared" si="63"/>
        <v>0</v>
      </c>
      <c r="Q1995" s="6"/>
      <c r="R1995" s="6"/>
      <c r="S1995" s="6"/>
      <c r="T1995" s="6"/>
    </row>
    <row r="1996" spans="1:20">
      <c r="A1996" s="6" t="s">
        <v>2160</v>
      </c>
      <c r="B1996" s="6" t="s">
        <v>67</v>
      </c>
      <c r="C1996" s="6" t="s">
        <v>90</v>
      </c>
      <c r="D1996" s="6" t="s">
        <v>119</v>
      </c>
      <c r="E1996" s="6" t="s">
        <v>120</v>
      </c>
      <c r="F1996" s="7">
        <v>39</v>
      </c>
      <c r="G1996" s="7">
        <v>4875</v>
      </c>
      <c r="H1996" s="16">
        <v>45290</v>
      </c>
      <c r="I1996" s="6">
        <v>52</v>
      </c>
      <c r="J1996" s="6" t="s">
        <v>1791</v>
      </c>
      <c r="K1996" s="6" t="s">
        <v>1890</v>
      </c>
      <c r="L1996" s="11">
        <f>F1996*Controls!$B$6</f>
        <v>39</v>
      </c>
      <c r="M1996" s="11">
        <f>G1996*Controls!$B$6</f>
        <v>4875</v>
      </c>
      <c r="N1996" s="12">
        <f>IF(L1996=0,0,SUMIFS('PSI Plan'!$N$6:$N$173,'PSI Plan'!$B$6:$B$173,B1996,'PSI Plan'!$C$6:$C$173,I1996))</f>
        <v>0</v>
      </c>
      <c r="O1996" s="11">
        <f t="shared" si="62"/>
        <v>0</v>
      </c>
      <c r="P1996" s="11">
        <f t="shared" si="63"/>
        <v>0</v>
      </c>
      <c r="Q1996" s="6"/>
      <c r="R1996" s="6"/>
      <c r="S1996" s="6"/>
      <c r="T1996" s="6"/>
    </row>
    <row r="1997" spans="1:20">
      <c r="A1997" s="6" t="s">
        <v>2161</v>
      </c>
      <c r="B1997" s="6" t="s">
        <v>77</v>
      </c>
      <c r="C1997" s="6" t="s">
        <v>90</v>
      </c>
      <c r="D1997" s="6" t="s">
        <v>119</v>
      </c>
      <c r="E1997" s="6" t="s">
        <v>120</v>
      </c>
      <c r="F1997" s="7">
        <v>39</v>
      </c>
      <c r="G1997" s="7">
        <v>4875</v>
      </c>
      <c r="H1997" s="16">
        <v>45214</v>
      </c>
      <c r="I1997" s="6">
        <v>42</v>
      </c>
      <c r="J1997" s="6" t="s">
        <v>121</v>
      </c>
      <c r="K1997" s="6" t="s">
        <v>725</v>
      </c>
      <c r="L1997" s="11">
        <f>F1997*Controls!$B$6</f>
        <v>39</v>
      </c>
      <c r="M1997" s="11">
        <f>G1997*Controls!$B$6</f>
        <v>4875</v>
      </c>
      <c r="N1997" s="12">
        <f>IF(L1997=0,0,SUMIFS('PSI Plan'!$N$6:$N$173,'PSI Plan'!$B$6:$B$173,B1997,'PSI Plan'!$C$6:$C$173,I1997))</f>
        <v>0</v>
      </c>
      <c r="O1997" s="11">
        <f t="shared" si="62"/>
        <v>0</v>
      </c>
      <c r="P1997" s="11">
        <f t="shared" si="63"/>
        <v>0</v>
      </c>
      <c r="Q1997" s="6"/>
      <c r="R1997" s="6"/>
      <c r="S1997" s="6"/>
      <c r="T1997" s="6"/>
    </row>
    <row r="1998" spans="1:20">
      <c r="A1998" s="6" t="s">
        <v>2162</v>
      </c>
      <c r="B1998" s="6" t="s">
        <v>69</v>
      </c>
      <c r="C1998" s="6" t="s">
        <v>90</v>
      </c>
      <c r="D1998" s="6" t="s">
        <v>119</v>
      </c>
      <c r="E1998" s="6" t="s">
        <v>120</v>
      </c>
      <c r="F1998" s="7">
        <v>26</v>
      </c>
      <c r="G1998" s="7">
        <v>3250</v>
      </c>
      <c r="H1998" s="16">
        <v>45248</v>
      </c>
      <c r="I1998" s="6">
        <v>46</v>
      </c>
      <c r="J1998" s="6" t="s">
        <v>121</v>
      </c>
      <c r="K1998" s="6" t="s">
        <v>725</v>
      </c>
      <c r="L1998" s="11">
        <f>F1998*Controls!$B$6</f>
        <v>26</v>
      </c>
      <c r="M1998" s="11">
        <f>G1998*Controls!$B$6</f>
        <v>3250</v>
      </c>
      <c r="N1998" s="12">
        <f>IF(L1998=0,0,SUMIFS('PSI Plan'!$N$6:$N$173,'PSI Plan'!$B$6:$B$173,B1998,'PSI Plan'!$C$6:$C$173,I1998))</f>
        <v>0</v>
      </c>
      <c r="O1998" s="11">
        <f t="shared" si="62"/>
        <v>0</v>
      </c>
      <c r="P1998" s="11">
        <f t="shared" si="63"/>
        <v>0</v>
      </c>
      <c r="Q1998" s="6"/>
      <c r="R1998" s="6"/>
      <c r="S1998" s="6"/>
      <c r="T1998" s="6"/>
    </row>
    <row r="1999" spans="1:20">
      <c r="A1999" s="6" t="s">
        <v>2163</v>
      </c>
      <c r="B1999" s="6" t="s">
        <v>77</v>
      </c>
      <c r="C1999" s="6" t="s">
        <v>90</v>
      </c>
      <c r="D1999" s="6" t="s">
        <v>119</v>
      </c>
      <c r="E1999" s="6" t="s">
        <v>120</v>
      </c>
      <c r="F1999" s="7">
        <v>156</v>
      </c>
      <c r="G1999" s="7">
        <v>19500</v>
      </c>
      <c r="H1999" s="16">
        <v>45219</v>
      </c>
      <c r="I1999" s="6">
        <v>42</v>
      </c>
      <c r="J1999" s="6" t="s">
        <v>121</v>
      </c>
      <c r="K1999" s="6" t="s">
        <v>122</v>
      </c>
      <c r="L1999" s="11">
        <f>F1999*Controls!$B$6</f>
        <v>156</v>
      </c>
      <c r="M1999" s="11">
        <f>G1999*Controls!$B$6</f>
        <v>19500</v>
      </c>
      <c r="N1999" s="12">
        <f>IF(L1999=0,0,SUMIFS('PSI Plan'!$N$6:$N$173,'PSI Plan'!$B$6:$B$173,B1999,'PSI Plan'!$C$6:$C$173,I1999))</f>
        <v>0</v>
      </c>
      <c r="O1999" s="11">
        <f t="shared" si="62"/>
        <v>0</v>
      </c>
      <c r="P1999" s="11">
        <f t="shared" si="63"/>
        <v>0</v>
      </c>
      <c r="Q1999" s="6"/>
      <c r="R1999" s="6"/>
      <c r="S1999" s="6"/>
      <c r="T1999" s="6"/>
    </row>
    <row r="2000" spans="1:20">
      <c r="A2000" s="6" t="s">
        <v>2164</v>
      </c>
      <c r="B2000" s="6" t="s">
        <v>67</v>
      </c>
      <c r="C2000" s="6" t="s">
        <v>90</v>
      </c>
      <c r="D2000" s="6" t="s">
        <v>119</v>
      </c>
      <c r="E2000" s="6" t="s">
        <v>120</v>
      </c>
      <c r="F2000" s="7">
        <v>26</v>
      </c>
      <c r="G2000" s="7">
        <v>3250</v>
      </c>
      <c r="H2000" s="16">
        <v>45269</v>
      </c>
      <c r="I2000" s="6">
        <v>49</v>
      </c>
      <c r="J2000" s="6" t="s">
        <v>121</v>
      </c>
      <c r="K2000" s="6" t="s">
        <v>122</v>
      </c>
      <c r="L2000" s="11">
        <f>F2000*Controls!$B$6</f>
        <v>26</v>
      </c>
      <c r="M2000" s="11">
        <f>G2000*Controls!$B$6</f>
        <v>3250</v>
      </c>
      <c r="N2000" s="12">
        <f>IF(L2000=0,0,SUMIFS('PSI Plan'!$N$6:$N$173,'PSI Plan'!$B$6:$B$173,B2000,'PSI Plan'!$C$6:$C$173,I2000))</f>
        <v>0</v>
      </c>
      <c r="O2000" s="11">
        <f t="shared" si="62"/>
        <v>0</v>
      </c>
      <c r="P2000" s="11">
        <f t="shared" si="63"/>
        <v>0</v>
      </c>
      <c r="Q2000" s="6"/>
      <c r="R2000" s="6"/>
      <c r="S2000" s="6"/>
      <c r="T2000" s="6"/>
    </row>
    <row r="2001" spans="1:20">
      <c r="A2001" s="6" t="s">
        <v>2165</v>
      </c>
      <c r="B2001" s="6" t="s">
        <v>69</v>
      </c>
      <c r="C2001" s="6" t="s">
        <v>90</v>
      </c>
      <c r="D2001" s="6" t="s">
        <v>119</v>
      </c>
      <c r="E2001" s="6" t="s">
        <v>120</v>
      </c>
      <c r="F2001" s="7">
        <v>78</v>
      </c>
      <c r="G2001" s="7">
        <v>9750</v>
      </c>
      <c r="H2001" s="16">
        <v>45200</v>
      </c>
      <c r="I2001" s="6">
        <v>40</v>
      </c>
      <c r="J2001" s="6" t="s">
        <v>121</v>
      </c>
      <c r="K2001" s="6" t="s">
        <v>122</v>
      </c>
      <c r="L2001" s="11">
        <f>F2001*Controls!$B$6</f>
        <v>78</v>
      </c>
      <c r="M2001" s="11">
        <f>G2001*Controls!$B$6</f>
        <v>9750</v>
      </c>
      <c r="N2001" s="12">
        <f>IF(L2001=0,0,SUMIFS('PSI Plan'!$N$6:$N$173,'PSI Plan'!$B$6:$B$173,B2001,'PSI Plan'!$C$6:$C$173,I2001))</f>
        <v>0</v>
      </c>
      <c r="O2001" s="11">
        <f t="shared" si="62"/>
        <v>0</v>
      </c>
      <c r="P2001" s="11">
        <f t="shared" si="63"/>
        <v>0</v>
      </c>
      <c r="Q2001" s="6"/>
      <c r="R2001" s="6"/>
      <c r="S2001" s="6"/>
      <c r="T2001" s="6"/>
    </row>
    <row r="2002" spans="1:20">
      <c r="A2002" s="6" t="s">
        <v>2166</v>
      </c>
      <c r="B2002" s="6" t="s">
        <v>66</v>
      </c>
      <c r="C2002" s="6" t="s">
        <v>90</v>
      </c>
      <c r="D2002" s="6" t="s">
        <v>119</v>
      </c>
      <c r="E2002" s="6" t="s">
        <v>120</v>
      </c>
      <c r="F2002" s="7">
        <v>52</v>
      </c>
      <c r="G2002" s="7">
        <v>6500</v>
      </c>
      <c r="H2002" s="16">
        <v>45271</v>
      </c>
      <c r="I2002" s="6">
        <v>50</v>
      </c>
      <c r="J2002" s="6" t="s">
        <v>121</v>
      </c>
      <c r="K2002" s="6" t="s">
        <v>855</v>
      </c>
      <c r="L2002" s="11">
        <f>F2002*Controls!$B$6</f>
        <v>52</v>
      </c>
      <c r="M2002" s="11">
        <f>G2002*Controls!$B$6</f>
        <v>6500</v>
      </c>
      <c r="N2002" s="12">
        <f>IF(L2002=0,0,SUMIFS('PSI Plan'!$N$6:$N$173,'PSI Plan'!$B$6:$B$173,B2002,'PSI Plan'!$C$6:$C$173,I2002))</f>
        <v>0</v>
      </c>
      <c r="O2002" s="11">
        <f t="shared" si="62"/>
        <v>0</v>
      </c>
      <c r="P2002" s="11">
        <f t="shared" si="63"/>
        <v>0</v>
      </c>
      <c r="Q2002" s="6"/>
      <c r="R2002" s="6"/>
      <c r="S2002" s="6"/>
      <c r="T2002" s="6"/>
    </row>
    <row r="2003" spans="1:20">
      <c r="A2003" s="6" t="s">
        <v>2167</v>
      </c>
      <c r="B2003" s="6" t="s">
        <v>77</v>
      </c>
      <c r="C2003" s="6" t="s">
        <v>90</v>
      </c>
      <c r="D2003" s="6" t="s">
        <v>119</v>
      </c>
      <c r="E2003" s="6" t="s">
        <v>120</v>
      </c>
      <c r="F2003" s="7">
        <v>39</v>
      </c>
      <c r="G2003" s="7">
        <v>4875</v>
      </c>
      <c r="H2003" s="16">
        <v>45206</v>
      </c>
      <c r="I2003" s="6">
        <v>40</v>
      </c>
      <c r="J2003" s="6" t="s">
        <v>121</v>
      </c>
      <c r="K2003" s="6" t="s">
        <v>855</v>
      </c>
      <c r="L2003" s="11">
        <f>F2003*Controls!$B$6</f>
        <v>39</v>
      </c>
      <c r="M2003" s="11">
        <f>G2003*Controls!$B$6</f>
        <v>4875</v>
      </c>
      <c r="N2003" s="12">
        <f>IF(L2003=0,0,SUMIFS('PSI Plan'!$N$6:$N$173,'PSI Plan'!$B$6:$B$173,B2003,'PSI Plan'!$C$6:$C$173,I2003))</f>
        <v>0</v>
      </c>
      <c r="O2003" s="11">
        <f t="shared" si="62"/>
        <v>0</v>
      </c>
      <c r="P2003" s="11">
        <f t="shared" si="63"/>
        <v>0</v>
      </c>
      <c r="Q2003" s="6"/>
      <c r="R2003" s="6"/>
      <c r="S2003" s="6"/>
      <c r="T2003" s="6"/>
    </row>
    <row r="2004" spans="1:20">
      <c r="A2004" s="6" t="s">
        <v>2168</v>
      </c>
      <c r="B2004" s="6" t="s">
        <v>76</v>
      </c>
      <c r="C2004" s="6" t="s">
        <v>90</v>
      </c>
      <c r="D2004" s="6" t="s">
        <v>119</v>
      </c>
      <c r="E2004" s="6" t="s">
        <v>120</v>
      </c>
      <c r="F2004" s="7">
        <v>65</v>
      </c>
      <c r="G2004" s="7">
        <v>8125</v>
      </c>
      <c r="H2004" s="16">
        <v>45283</v>
      </c>
      <c r="I2004" s="6">
        <v>51</v>
      </c>
      <c r="J2004" s="6" t="s">
        <v>121</v>
      </c>
      <c r="K2004" s="6" t="s">
        <v>855</v>
      </c>
      <c r="L2004" s="11">
        <f>F2004*Controls!$B$6</f>
        <v>65</v>
      </c>
      <c r="M2004" s="11">
        <f>G2004*Controls!$B$6</f>
        <v>8125</v>
      </c>
      <c r="N2004" s="12">
        <f>IF(L2004=0,0,SUMIFS('PSI Plan'!$N$6:$N$173,'PSI Plan'!$B$6:$B$173,B2004,'PSI Plan'!$C$6:$C$173,I2004))</f>
        <v>0</v>
      </c>
      <c r="O2004" s="11">
        <f t="shared" si="62"/>
        <v>0</v>
      </c>
      <c r="P2004" s="11">
        <f t="shared" si="63"/>
        <v>0</v>
      </c>
      <c r="Q2004" s="6"/>
      <c r="R2004" s="6"/>
      <c r="S2004" s="6"/>
      <c r="T2004" s="6"/>
    </row>
    <row r="2005" spans="1:20">
      <c r="A2005" s="6" t="s">
        <v>2169</v>
      </c>
      <c r="B2005" s="6" t="s">
        <v>69</v>
      </c>
      <c r="C2005" s="6" t="s">
        <v>90</v>
      </c>
      <c r="D2005" s="6" t="s">
        <v>119</v>
      </c>
      <c r="E2005" s="6" t="s">
        <v>120</v>
      </c>
      <c r="F2005" s="7">
        <v>26</v>
      </c>
      <c r="G2005" s="7">
        <v>3250</v>
      </c>
      <c r="H2005" s="16">
        <v>45218</v>
      </c>
      <c r="I2005" s="6">
        <v>42</v>
      </c>
      <c r="J2005" s="6" t="s">
        <v>121</v>
      </c>
      <c r="K2005" s="6" t="s">
        <v>855</v>
      </c>
      <c r="L2005" s="11">
        <f>F2005*Controls!$B$6</f>
        <v>26</v>
      </c>
      <c r="M2005" s="11">
        <f>G2005*Controls!$B$6</f>
        <v>3250</v>
      </c>
      <c r="N2005" s="12">
        <f>IF(L2005=0,0,SUMIFS('PSI Plan'!$N$6:$N$173,'PSI Plan'!$B$6:$B$173,B2005,'PSI Plan'!$C$6:$C$173,I2005))</f>
        <v>0</v>
      </c>
      <c r="O2005" s="11">
        <f t="shared" si="62"/>
        <v>0</v>
      </c>
      <c r="P2005" s="11">
        <f t="shared" si="63"/>
        <v>0</v>
      </c>
      <c r="Q2005" s="6"/>
      <c r="R2005" s="6"/>
      <c r="S2005" s="6"/>
      <c r="T2005" s="6"/>
    </row>
    <row r="2006" spans="1:20">
      <c r="A2006" s="6" t="s">
        <v>2170</v>
      </c>
      <c r="B2006" s="6" t="s">
        <v>77</v>
      </c>
      <c r="C2006" s="6" t="s">
        <v>90</v>
      </c>
      <c r="D2006" s="6" t="s">
        <v>119</v>
      </c>
      <c r="E2006" s="6" t="s">
        <v>120</v>
      </c>
      <c r="F2006" s="7">
        <v>65</v>
      </c>
      <c r="G2006" s="7">
        <v>8125</v>
      </c>
      <c r="H2006" s="16">
        <v>45232</v>
      </c>
      <c r="I2006" s="6">
        <v>44</v>
      </c>
      <c r="J2006" s="6" t="s">
        <v>121</v>
      </c>
      <c r="K2006" s="6" t="s">
        <v>132</v>
      </c>
      <c r="L2006" s="11">
        <f>F2006*Controls!$B$6</f>
        <v>65</v>
      </c>
      <c r="M2006" s="11">
        <f>G2006*Controls!$B$6</f>
        <v>8125</v>
      </c>
      <c r="N2006" s="12">
        <f>IF(L2006=0,0,SUMIFS('PSI Plan'!$N$6:$N$173,'PSI Plan'!$B$6:$B$173,B2006,'PSI Plan'!$C$6:$C$173,I2006))</f>
        <v>0</v>
      </c>
      <c r="O2006" s="11">
        <f t="shared" si="62"/>
        <v>0</v>
      </c>
      <c r="P2006" s="11">
        <f t="shared" si="63"/>
        <v>0</v>
      </c>
      <c r="Q2006" s="6"/>
      <c r="R2006" s="6"/>
      <c r="S2006" s="6"/>
      <c r="T2006" s="6"/>
    </row>
    <row r="2007" spans="1:20">
      <c r="A2007" s="6" t="s">
        <v>2171</v>
      </c>
      <c r="B2007" s="6" t="s">
        <v>69</v>
      </c>
      <c r="C2007" s="6" t="s">
        <v>90</v>
      </c>
      <c r="D2007" s="6" t="s">
        <v>119</v>
      </c>
      <c r="E2007" s="6" t="s">
        <v>120</v>
      </c>
      <c r="F2007" s="7">
        <v>65</v>
      </c>
      <c r="G2007" s="7">
        <v>8125</v>
      </c>
      <c r="H2007" s="16">
        <v>45265</v>
      </c>
      <c r="I2007" s="6">
        <v>49</v>
      </c>
      <c r="J2007" s="6" t="s">
        <v>121</v>
      </c>
      <c r="K2007" s="6" t="s">
        <v>132</v>
      </c>
      <c r="L2007" s="11">
        <f>F2007*Controls!$B$6</f>
        <v>65</v>
      </c>
      <c r="M2007" s="11">
        <f>G2007*Controls!$B$6</f>
        <v>8125</v>
      </c>
      <c r="N2007" s="12">
        <f>IF(L2007=0,0,SUMIFS('PSI Plan'!$N$6:$N$173,'PSI Plan'!$B$6:$B$173,B2007,'PSI Plan'!$C$6:$C$173,I2007))</f>
        <v>0</v>
      </c>
      <c r="O2007" s="11">
        <f t="shared" si="62"/>
        <v>0</v>
      </c>
      <c r="P2007" s="11">
        <f t="shared" si="63"/>
        <v>0</v>
      </c>
      <c r="Q2007" s="6"/>
      <c r="R2007" s="6"/>
      <c r="S2007" s="6"/>
      <c r="T2007" s="6"/>
    </row>
    <row r="2008" spans="1:20">
      <c r="A2008" s="6" t="s">
        <v>2172</v>
      </c>
      <c r="B2008" s="6" t="s">
        <v>66</v>
      </c>
      <c r="C2008" s="6" t="s">
        <v>90</v>
      </c>
      <c r="D2008" s="6" t="s">
        <v>119</v>
      </c>
      <c r="E2008" s="6" t="s">
        <v>120</v>
      </c>
      <c r="F2008" s="7">
        <v>13</v>
      </c>
      <c r="G2008" s="7">
        <v>1625</v>
      </c>
      <c r="H2008" s="16">
        <v>45200</v>
      </c>
      <c r="I2008" s="6">
        <v>40</v>
      </c>
      <c r="J2008" s="6" t="s">
        <v>121</v>
      </c>
      <c r="K2008" s="6" t="s">
        <v>169</v>
      </c>
      <c r="L2008" s="11">
        <f>F2008*Controls!$B$6</f>
        <v>13</v>
      </c>
      <c r="M2008" s="11">
        <f>G2008*Controls!$B$6</f>
        <v>1625</v>
      </c>
      <c r="N2008" s="12">
        <f>IF(L2008=0,0,SUMIFS('PSI Plan'!$N$6:$N$173,'PSI Plan'!$B$6:$B$173,B2008,'PSI Plan'!$C$6:$C$173,I2008))</f>
        <v>0</v>
      </c>
      <c r="O2008" s="11">
        <f t="shared" si="62"/>
        <v>0</v>
      </c>
      <c r="P2008" s="11">
        <f t="shared" si="63"/>
        <v>0</v>
      </c>
      <c r="Q2008" s="6"/>
      <c r="R2008" s="6"/>
      <c r="S2008" s="6"/>
      <c r="T2008" s="6"/>
    </row>
    <row r="2009" spans="1:20">
      <c r="A2009" s="6" t="s">
        <v>2173</v>
      </c>
      <c r="B2009" s="6" t="s">
        <v>77</v>
      </c>
      <c r="C2009" s="6" t="s">
        <v>90</v>
      </c>
      <c r="D2009" s="6" t="s">
        <v>119</v>
      </c>
      <c r="E2009" s="6" t="s">
        <v>120</v>
      </c>
      <c r="F2009" s="7">
        <v>13</v>
      </c>
      <c r="G2009" s="7">
        <v>1625</v>
      </c>
      <c r="H2009" s="16">
        <v>45217</v>
      </c>
      <c r="I2009" s="6">
        <v>42</v>
      </c>
      <c r="J2009" s="6" t="s">
        <v>121</v>
      </c>
      <c r="K2009" s="6" t="s">
        <v>169</v>
      </c>
      <c r="L2009" s="11">
        <f>F2009*Controls!$B$6</f>
        <v>13</v>
      </c>
      <c r="M2009" s="11">
        <f>G2009*Controls!$B$6</f>
        <v>1625</v>
      </c>
      <c r="N2009" s="12">
        <f>IF(L2009=0,0,SUMIFS('PSI Plan'!$N$6:$N$173,'PSI Plan'!$B$6:$B$173,B2009,'PSI Plan'!$C$6:$C$173,I2009))</f>
        <v>0</v>
      </c>
      <c r="O2009" s="11">
        <f t="shared" si="62"/>
        <v>0</v>
      </c>
      <c r="P2009" s="11">
        <f t="shared" si="63"/>
        <v>0</v>
      </c>
      <c r="Q2009" s="6"/>
      <c r="R2009" s="6"/>
      <c r="S2009" s="6"/>
      <c r="T2009" s="6"/>
    </row>
    <row r="2010" spans="1:20">
      <c r="A2010" s="6" t="s">
        <v>2174</v>
      </c>
      <c r="B2010" s="6" t="s">
        <v>69</v>
      </c>
      <c r="C2010" s="6" t="s">
        <v>90</v>
      </c>
      <c r="D2010" s="6" t="s">
        <v>119</v>
      </c>
      <c r="E2010" s="6" t="s">
        <v>120</v>
      </c>
      <c r="F2010" s="7">
        <v>13</v>
      </c>
      <c r="G2010" s="7">
        <v>1625</v>
      </c>
      <c r="H2010" s="16">
        <v>45211</v>
      </c>
      <c r="I2010" s="6">
        <v>41</v>
      </c>
      <c r="J2010" s="6" t="s">
        <v>121</v>
      </c>
      <c r="K2010" s="6" t="s">
        <v>169</v>
      </c>
      <c r="L2010" s="11">
        <f>F2010*Controls!$B$6</f>
        <v>13</v>
      </c>
      <c r="M2010" s="11">
        <f>G2010*Controls!$B$6</f>
        <v>1625</v>
      </c>
      <c r="N2010" s="12">
        <f>IF(L2010=0,0,SUMIFS('PSI Plan'!$N$6:$N$173,'PSI Plan'!$B$6:$B$173,B2010,'PSI Plan'!$C$6:$C$173,I2010))</f>
        <v>0</v>
      </c>
      <c r="O2010" s="11">
        <f t="shared" si="62"/>
        <v>0</v>
      </c>
      <c r="P2010" s="11">
        <f t="shared" si="63"/>
        <v>0</v>
      </c>
      <c r="Q2010" s="6"/>
      <c r="R2010" s="6"/>
      <c r="S2010" s="6"/>
      <c r="T2010" s="6"/>
    </row>
    <row r="2011" spans="1:20">
      <c r="A2011" s="6" t="s">
        <v>2175</v>
      </c>
      <c r="B2011" s="6" t="s">
        <v>66</v>
      </c>
      <c r="C2011" s="6" t="s">
        <v>90</v>
      </c>
      <c r="D2011" s="6" t="s">
        <v>119</v>
      </c>
      <c r="E2011" s="6" t="s">
        <v>120</v>
      </c>
      <c r="F2011" s="7">
        <v>13</v>
      </c>
      <c r="G2011" s="7">
        <v>1625</v>
      </c>
      <c r="H2011" s="16">
        <v>45205</v>
      </c>
      <c r="I2011" s="6">
        <v>40</v>
      </c>
      <c r="J2011" s="6" t="s">
        <v>121</v>
      </c>
      <c r="K2011" s="6" t="s">
        <v>171</v>
      </c>
      <c r="L2011" s="11">
        <f>F2011*Controls!$B$6</f>
        <v>13</v>
      </c>
      <c r="M2011" s="11">
        <f>G2011*Controls!$B$6</f>
        <v>1625</v>
      </c>
      <c r="N2011" s="12">
        <f>IF(L2011=0,0,SUMIFS('PSI Plan'!$N$6:$N$173,'PSI Plan'!$B$6:$B$173,B2011,'PSI Plan'!$C$6:$C$173,I2011))</f>
        <v>0</v>
      </c>
      <c r="O2011" s="11">
        <f t="shared" si="62"/>
        <v>0</v>
      </c>
      <c r="P2011" s="11">
        <f t="shared" si="63"/>
        <v>0</v>
      </c>
      <c r="Q2011" s="6"/>
      <c r="R2011" s="6"/>
      <c r="S2011" s="6"/>
      <c r="T2011" s="6"/>
    </row>
    <row r="2012" spans="1:20">
      <c r="A2012" s="6" t="s">
        <v>2176</v>
      </c>
      <c r="B2012" s="6" t="s">
        <v>77</v>
      </c>
      <c r="C2012" s="6" t="s">
        <v>90</v>
      </c>
      <c r="D2012" s="6" t="s">
        <v>119</v>
      </c>
      <c r="E2012" s="6" t="s">
        <v>120</v>
      </c>
      <c r="F2012" s="7">
        <v>26</v>
      </c>
      <c r="G2012" s="7">
        <v>3250</v>
      </c>
      <c r="H2012" s="16">
        <v>45270</v>
      </c>
      <c r="I2012" s="6">
        <v>50</v>
      </c>
      <c r="J2012" s="6" t="s">
        <v>121</v>
      </c>
      <c r="K2012" s="6" t="s">
        <v>171</v>
      </c>
      <c r="L2012" s="11">
        <f>F2012*Controls!$B$6</f>
        <v>26</v>
      </c>
      <c r="M2012" s="11">
        <f>G2012*Controls!$B$6</f>
        <v>3250</v>
      </c>
      <c r="N2012" s="12">
        <f>IF(L2012=0,0,SUMIFS('PSI Plan'!$N$6:$N$173,'PSI Plan'!$B$6:$B$173,B2012,'PSI Plan'!$C$6:$C$173,I2012))</f>
        <v>0</v>
      </c>
      <c r="O2012" s="11">
        <f t="shared" si="62"/>
        <v>0</v>
      </c>
      <c r="P2012" s="11">
        <f t="shared" si="63"/>
        <v>0</v>
      </c>
      <c r="Q2012" s="6"/>
      <c r="R2012" s="6"/>
      <c r="S2012" s="6"/>
      <c r="T2012" s="6"/>
    </row>
    <row r="2013" spans="1:20">
      <c r="A2013" s="6" t="s">
        <v>2177</v>
      </c>
      <c r="B2013" s="6" t="s">
        <v>76</v>
      </c>
      <c r="C2013" s="6" t="s">
        <v>90</v>
      </c>
      <c r="D2013" s="6" t="s">
        <v>119</v>
      </c>
      <c r="E2013" s="6" t="s">
        <v>120</v>
      </c>
      <c r="F2013" s="7">
        <v>13</v>
      </c>
      <c r="G2013" s="7">
        <v>1625</v>
      </c>
      <c r="H2013" s="16">
        <v>45239</v>
      </c>
      <c r="I2013" s="6">
        <v>45</v>
      </c>
      <c r="J2013" s="6" t="s">
        <v>121</v>
      </c>
      <c r="K2013" s="6" t="s">
        <v>171</v>
      </c>
      <c r="L2013" s="11">
        <f>F2013*Controls!$B$6</f>
        <v>13</v>
      </c>
      <c r="M2013" s="11">
        <f>G2013*Controls!$B$6</f>
        <v>1625</v>
      </c>
      <c r="N2013" s="12">
        <f>IF(L2013=0,0,SUMIFS('PSI Plan'!$N$6:$N$173,'PSI Plan'!$B$6:$B$173,B2013,'PSI Plan'!$C$6:$C$173,I2013))</f>
        <v>0</v>
      </c>
      <c r="O2013" s="11">
        <f t="shared" si="62"/>
        <v>0</v>
      </c>
      <c r="P2013" s="11">
        <f t="shared" si="63"/>
        <v>0</v>
      </c>
      <c r="Q2013" s="6"/>
      <c r="R2013" s="6"/>
      <c r="S2013" s="6"/>
      <c r="T2013" s="6"/>
    </row>
    <row r="2014" spans="1:20">
      <c r="A2014" s="6" t="s">
        <v>2178</v>
      </c>
      <c r="B2014" s="6" t="s">
        <v>69</v>
      </c>
      <c r="C2014" s="6" t="s">
        <v>90</v>
      </c>
      <c r="D2014" s="6" t="s">
        <v>119</v>
      </c>
      <c r="E2014" s="6" t="s">
        <v>120</v>
      </c>
      <c r="F2014" s="7">
        <v>13</v>
      </c>
      <c r="G2014" s="7">
        <v>1625</v>
      </c>
      <c r="H2014" s="16">
        <v>45273</v>
      </c>
      <c r="I2014" s="6">
        <v>50</v>
      </c>
      <c r="J2014" s="6" t="s">
        <v>121</v>
      </c>
      <c r="K2014" s="6" t="s">
        <v>171</v>
      </c>
      <c r="L2014" s="11">
        <f>F2014*Controls!$B$6</f>
        <v>13</v>
      </c>
      <c r="M2014" s="11">
        <f>G2014*Controls!$B$6</f>
        <v>1625</v>
      </c>
      <c r="N2014" s="12">
        <f>IF(L2014=0,0,SUMIFS('PSI Plan'!$N$6:$N$173,'PSI Plan'!$B$6:$B$173,B2014,'PSI Plan'!$C$6:$C$173,I2014))</f>
        <v>0</v>
      </c>
      <c r="O2014" s="11">
        <f t="shared" si="62"/>
        <v>0</v>
      </c>
      <c r="P2014" s="11">
        <f t="shared" si="63"/>
        <v>0</v>
      </c>
      <c r="Q2014" s="6"/>
      <c r="R2014" s="6"/>
      <c r="S2014" s="6"/>
      <c r="T2014" s="6"/>
    </row>
    <row r="2015" spans="1:20">
      <c r="A2015" s="6" t="s">
        <v>2179</v>
      </c>
      <c r="B2015" s="6" t="s">
        <v>66</v>
      </c>
      <c r="C2015" s="6" t="s">
        <v>100</v>
      </c>
      <c r="D2015" s="6" t="s">
        <v>567</v>
      </c>
      <c r="E2015" s="6" t="s">
        <v>120</v>
      </c>
      <c r="F2015" s="7">
        <v>12</v>
      </c>
      <c r="G2015" s="7">
        <v>1500</v>
      </c>
      <c r="H2015" s="16">
        <v>45223</v>
      </c>
      <c r="I2015" s="6">
        <v>43</v>
      </c>
      <c r="J2015" s="6" t="s">
        <v>121</v>
      </c>
      <c r="K2015" s="6" t="s">
        <v>568</v>
      </c>
      <c r="L2015" s="11">
        <f>F2015*Controls!$B$6</f>
        <v>12</v>
      </c>
      <c r="M2015" s="11">
        <f>G2015*Controls!$B$6</f>
        <v>1500</v>
      </c>
      <c r="N2015" s="12">
        <f>IF(L2015=0,0,SUMIFS('PSI Plan'!$N$6:$N$173,'PSI Plan'!$B$6:$B$173,B2015,'PSI Plan'!$C$6:$C$173,I2015))</f>
        <v>0</v>
      </c>
      <c r="O2015" s="11">
        <f t="shared" si="62"/>
        <v>0</v>
      </c>
      <c r="P2015" s="11">
        <f t="shared" si="63"/>
        <v>0</v>
      </c>
      <c r="Q2015" s="6"/>
      <c r="R2015" s="6"/>
      <c r="S2015" s="6"/>
      <c r="T2015" s="6"/>
    </row>
    <row r="2016" spans="1:20">
      <c r="A2016" s="6" t="s">
        <v>2180</v>
      </c>
      <c r="B2016" s="6" t="s">
        <v>76</v>
      </c>
      <c r="C2016" s="6" t="s">
        <v>100</v>
      </c>
      <c r="D2016" s="6" t="s">
        <v>567</v>
      </c>
      <c r="E2016" s="6" t="s">
        <v>120</v>
      </c>
      <c r="F2016" s="7">
        <v>12</v>
      </c>
      <c r="G2016" s="7">
        <v>1500</v>
      </c>
      <c r="H2016" s="16">
        <v>45224</v>
      </c>
      <c r="I2016" s="6">
        <v>43</v>
      </c>
      <c r="J2016" s="6" t="s">
        <v>121</v>
      </c>
      <c r="K2016" s="6" t="s">
        <v>568</v>
      </c>
      <c r="L2016" s="11">
        <f>F2016*Controls!$B$6</f>
        <v>12</v>
      </c>
      <c r="M2016" s="11">
        <f>G2016*Controls!$B$6</f>
        <v>1500</v>
      </c>
      <c r="N2016" s="12">
        <f>IF(L2016=0,0,SUMIFS('PSI Plan'!$N$6:$N$173,'PSI Plan'!$B$6:$B$173,B2016,'PSI Plan'!$C$6:$C$173,I2016))</f>
        <v>0</v>
      </c>
      <c r="O2016" s="11">
        <f t="shared" si="62"/>
        <v>0</v>
      </c>
      <c r="P2016" s="11">
        <f t="shared" si="63"/>
        <v>0</v>
      </c>
      <c r="Q2016" s="6"/>
      <c r="R2016" s="6"/>
      <c r="S2016" s="6"/>
      <c r="T2016" s="6"/>
    </row>
    <row r="2017" spans="1:20">
      <c r="A2017" s="6" t="s">
        <v>2181</v>
      </c>
      <c r="B2017" s="6" t="s">
        <v>67</v>
      </c>
      <c r="C2017" s="6" t="s">
        <v>100</v>
      </c>
      <c r="D2017" s="6" t="s">
        <v>567</v>
      </c>
      <c r="E2017" s="6" t="s">
        <v>120</v>
      </c>
      <c r="F2017" s="7">
        <v>4</v>
      </c>
      <c r="G2017" s="7">
        <v>500</v>
      </c>
      <c r="H2017" s="16">
        <v>45228</v>
      </c>
      <c r="I2017" s="6">
        <v>44</v>
      </c>
      <c r="J2017" s="6" t="s">
        <v>121</v>
      </c>
      <c r="K2017" s="6" t="s">
        <v>568</v>
      </c>
      <c r="L2017" s="11">
        <f>F2017*Controls!$B$6</f>
        <v>4</v>
      </c>
      <c r="M2017" s="11">
        <f>G2017*Controls!$B$6</f>
        <v>500</v>
      </c>
      <c r="N2017" s="12">
        <f>IF(L2017=0,0,SUMIFS('PSI Plan'!$N$6:$N$173,'PSI Plan'!$B$6:$B$173,B2017,'PSI Plan'!$C$6:$C$173,I2017))</f>
        <v>0</v>
      </c>
      <c r="O2017" s="11">
        <f t="shared" si="62"/>
        <v>0</v>
      </c>
      <c r="P2017" s="11">
        <f t="shared" si="63"/>
        <v>0</v>
      </c>
      <c r="Q2017" s="6"/>
      <c r="R2017" s="6"/>
      <c r="S2017" s="6"/>
      <c r="T2017" s="6"/>
    </row>
    <row r="2018" spans="1:20">
      <c r="A2018" s="6" t="s">
        <v>2182</v>
      </c>
      <c r="B2018" s="6" t="s">
        <v>69</v>
      </c>
      <c r="C2018" s="6" t="s">
        <v>100</v>
      </c>
      <c r="D2018" s="6" t="s">
        <v>567</v>
      </c>
      <c r="E2018" s="6" t="s">
        <v>120</v>
      </c>
      <c r="F2018" s="7">
        <v>12</v>
      </c>
      <c r="G2018" s="7">
        <v>1500</v>
      </c>
      <c r="H2018" s="16">
        <v>45246</v>
      </c>
      <c r="I2018" s="6">
        <v>46</v>
      </c>
      <c r="J2018" s="6" t="s">
        <v>121</v>
      </c>
      <c r="K2018" s="6" t="s">
        <v>568</v>
      </c>
      <c r="L2018" s="11">
        <f>F2018*Controls!$B$6</f>
        <v>12</v>
      </c>
      <c r="M2018" s="11">
        <f>G2018*Controls!$B$6</f>
        <v>1500</v>
      </c>
      <c r="N2018" s="12">
        <f>IF(L2018=0,0,SUMIFS('PSI Plan'!$N$6:$N$173,'PSI Plan'!$B$6:$B$173,B2018,'PSI Plan'!$C$6:$C$173,I2018))</f>
        <v>0</v>
      </c>
      <c r="O2018" s="11">
        <f t="shared" si="62"/>
        <v>0</v>
      </c>
      <c r="P2018" s="11">
        <f t="shared" si="63"/>
        <v>0</v>
      </c>
      <c r="Q2018" s="6"/>
      <c r="R2018" s="6"/>
      <c r="S2018" s="6"/>
      <c r="T2018" s="6"/>
    </row>
    <row r="2019" spans="1:20">
      <c r="A2019" s="6" t="s">
        <v>2183</v>
      </c>
      <c r="B2019" s="6" t="s">
        <v>77</v>
      </c>
      <c r="C2019" s="6" t="s">
        <v>100</v>
      </c>
      <c r="D2019" s="6" t="s">
        <v>567</v>
      </c>
      <c r="E2019" s="6" t="s">
        <v>120</v>
      </c>
      <c r="F2019" s="7">
        <v>12</v>
      </c>
      <c r="G2019" s="7">
        <v>1500</v>
      </c>
      <c r="H2019" s="16">
        <v>45209</v>
      </c>
      <c r="I2019" s="6">
        <v>41</v>
      </c>
      <c r="J2019" s="6" t="s">
        <v>121</v>
      </c>
      <c r="K2019" s="6" t="s">
        <v>568</v>
      </c>
      <c r="L2019" s="11">
        <f>F2019*Controls!$B$6</f>
        <v>12</v>
      </c>
      <c r="M2019" s="11">
        <f>G2019*Controls!$B$6</f>
        <v>1500</v>
      </c>
      <c r="N2019" s="12">
        <f>IF(L2019=0,0,SUMIFS('PSI Plan'!$N$6:$N$173,'PSI Plan'!$B$6:$B$173,B2019,'PSI Plan'!$C$6:$C$173,I2019))</f>
        <v>0</v>
      </c>
      <c r="O2019" s="11">
        <f t="shared" si="62"/>
        <v>0</v>
      </c>
      <c r="P2019" s="11">
        <f t="shared" si="63"/>
        <v>0</v>
      </c>
      <c r="Q2019" s="6"/>
      <c r="R2019" s="6"/>
      <c r="S2019" s="6"/>
      <c r="T2019" s="6"/>
    </row>
    <row r="2020" spans="1:20">
      <c r="A2020" s="6" t="s">
        <v>2184</v>
      </c>
      <c r="B2020" s="6" t="s">
        <v>66</v>
      </c>
      <c r="C2020" s="6" t="s">
        <v>99</v>
      </c>
      <c r="D2020" s="6" t="s">
        <v>319</v>
      </c>
      <c r="E2020" s="6" t="s">
        <v>120</v>
      </c>
      <c r="F2020" s="7">
        <v>38</v>
      </c>
      <c r="G2020" s="7">
        <v>4750</v>
      </c>
      <c r="H2020" s="16">
        <v>45271</v>
      </c>
      <c r="I2020" s="6">
        <v>50</v>
      </c>
      <c r="J2020" s="6" t="s">
        <v>121</v>
      </c>
      <c r="K2020" s="6" t="s">
        <v>374</v>
      </c>
      <c r="L2020" s="11">
        <f>F2020*Controls!$B$6</f>
        <v>38</v>
      </c>
      <c r="M2020" s="11">
        <f>G2020*Controls!$B$6</f>
        <v>4750</v>
      </c>
      <c r="N2020" s="12">
        <f>IF(L2020=0,0,SUMIFS('PSI Plan'!$N$6:$N$173,'PSI Plan'!$B$6:$B$173,B2020,'PSI Plan'!$C$6:$C$173,I2020))</f>
        <v>0</v>
      </c>
      <c r="O2020" s="11">
        <f t="shared" si="62"/>
        <v>0</v>
      </c>
      <c r="P2020" s="11">
        <f t="shared" si="63"/>
        <v>0</v>
      </c>
      <c r="Q2020" s="6"/>
      <c r="R2020" s="6"/>
      <c r="S2020" s="6"/>
      <c r="T2020" s="6"/>
    </row>
    <row r="2021" spans="1:20">
      <c r="A2021" s="6" t="s">
        <v>2185</v>
      </c>
      <c r="B2021" s="6" t="s">
        <v>77</v>
      </c>
      <c r="C2021" s="6" t="s">
        <v>99</v>
      </c>
      <c r="D2021" s="6" t="s">
        <v>319</v>
      </c>
      <c r="E2021" s="6" t="s">
        <v>120</v>
      </c>
      <c r="F2021" s="7">
        <v>62</v>
      </c>
      <c r="G2021" s="7">
        <v>7750</v>
      </c>
      <c r="H2021" s="16">
        <v>45223</v>
      </c>
      <c r="I2021" s="6">
        <v>43</v>
      </c>
      <c r="J2021" s="6" t="s">
        <v>121</v>
      </c>
      <c r="K2021" s="6" t="s">
        <v>374</v>
      </c>
      <c r="L2021" s="11">
        <f>F2021*Controls!$B$6</f>
        <v>62</v>
      </c>
      <c r="M2021" s="11">
        <f>G2021*Controls!$B$6</f>
        <v>7750</v>
      </c>
      <c r="N2021" s="12">
        <f>IF(L2021=0,0,SUMIFS('PSI Plan'!$N$6:$N$173,'PSI Plan'!$B$6:$B$173,B2021,'PSI Plan'!$C$6:$C$173,I2021))</f>
        <v>0</v>
      </c>
      <c r="O2021" s="11">
        <f t="shared" si="62"/>
        <v>0</v>
      </c>
      <c r="P2021" s="11">
        <f t="shared" si="63"/>
        <v>0</v>
      </c>
      <c r="Q2021" s="6"/>
      <c r="R2021" s="6"/>
      <c r="S2021" s="6"/>
      <c r="T2021" s="6"/>
    </row>
    <row r="2022" spans="1:20">
      <c r="A2022" s="6" t="s">
        <v>2186</v>
      </c>
      <c r="B2022" s="6" t="s">
        <v>76</v>
      </c>
      <c r="C2022" s="6" t="s">
        <v>99</v>
      </c>
      <c r="D2022" s="6" t="s">
        <v>319</v>
      </c>
      <c r="E2022" s="6" t="s">
        <v>120</v>
      </c>
      <c r="F2022" s="7">
        <v>54</v>
      </c>
      <c r="G2022" s="7">
        <v>6750</v>
      </c>
      <c r="H2022" s="16">
        <v>45229</v>
      </c>
      <c r="I2022" s="6">
        <v>44</v>
      </c>
      <c r="J2022" s="6" t="s">
        <v>121</v>
      </c>
      <c r="K2022" s="6" t="s">
        <v>374</v>
      </c>
      <c r="L2022" s="11">
        <f>F2022*Controls!$B$6</f>
        <v>54</v>
      </c>
      <c r="M2022" s="11">
        <f>G2022*Controls!$B$6</f>
        <v>6750</v>
      </c>
      <c r="N2022" s="12">
        <f>IF(L2022=0,0,SUMIFS('PSI Plan'!$N$6:$N$173,'PSI Plan'!$B$6:$B$173,B2022,'PSI Plan'!$C$6:$C$173,I2022))</f>
        <v>0</v>
      </c>
      <c r="O2022" s="11">
        <f t="shared" si="62"/>
        <v>0</v>
      </c>
      <c r="P2022" s="11">
        <f t="shared" si="63"/>
        <v>0</v>
      </c>
      <c r="Q2022" s="6"/>
      <c r="R2022" s="6"/>
      <c r="S2022" s="6"/>
      <c r="T2022" s="6"/>
    </row>
    <row r="2023" spans="1:20">
      <c r="A2023" s="6" t="s">
        <v>2187</v>
      </c>
      <c r="B2023" s="6" t="s">
        <v>67</v>
      </c>
      <c r="C2023" s="6" t="s">
        <v>99</v>
      </c>
      <c r="D2023" s="6" t="s">
        <v>319</v>
      </c>
      <c r="E2023" s="6" t="s">
        <v>120</v>
      </c>
      <c r="F2023" s="7">
        <v>8</v>
      </c>
      <c r="G2023" s="7">
        <v>1000</v>
      </c>
      <c r="H2023" s="16">
        <v>45263</v>
      </c>
      <c r="I2023" s="6">
        <v>49</v>
      </c>
      <c r="J2023" s="6" t="s">
        <v>121</v>
      </c>
      <c r="K2023" s="6" t="s">
        <v>374</v>
      </c>
      <c r="L2023" s="11">
        <f>F2023*Controls!$B$6</f>
        <v>8</v>
      </c>
      <c r="M2023" s="11">
        <f>G2023*Controls!$B$6</f>
        <v>1000</v>
      </c>
      <c r="N2023" s="12">
        <f>IF(L2023=0,0,SUMIFS('PSI Plan'!$N$6:$N$173,'PSI Plan'!$B$6:$B$173,B2023,'PSI Plan'!$C$6:$C$173,I2023))</f>
        <v>0</v>
      </c>
      <c r="O2023" s="11">
        <f t="shared" si="62"/>
        <v>0</v>
      </c>
      <c r="P2023" s="11">
        <f t="shared" si="63"/>
        <v>0</v>
      </c>
      <c r="Q2023" s="6"/>
      <c r="R2023" s="6"/>
      <c r="S2023" s="6"/>
      <c r="T2023" s="6"/>
    </row>
    <row r="2024" spans="1:20">
      <c r="A2024" s="6" t="s">
        <v>2188</v>
      </c>
      <c r="B2024" s="6" t="s">
        <v>69</v>
      </c>
      <c r="C2024" s="6" t="s">
        <v>99</v>
      </c>
      <c r="D2024" s="6" t="s">
        <v>319</v>
      </c>
      <c r="E2024" s="6" t="s">
        <v>120</v>
      </c>
      <c r="F2024" s="7">
        <v>56</v>
      </c>
      <c r="G2024" s="7">
        <v>7000</v>
      </c>
      <c r="H2024" s="16">
        <v>45243</v>
      </c>
      <c r="I2024" s="6">
        <v>46</v>
      </c>
      <c r="J2024" s="6" t="s">
        <v>121</v>
      </c>
      <c r="K2024" s="6" t="s">
        <v>374</v>
      </c>
      <c r="L2024" s="11">
        <f>F2024*Controls!$B$6</f>
        <v>56</v>
      </c>
      <c r="M2024" s="11">
        <f>G2024*Controls!$B$6</f>
        <v>7000</v>
      </c>
      <c r="N2024" s="12">
        <f>IF(L2024=0,0,SUMIFS('PSI Plan'!$N$6:$N$173,'PSI Plan'!$B$6:$B$173,B2024,'PSI Plan'!$C$6:$C$173,I2024))</f>
        <v>0</v>
      </c>
      <c r="O2024" s="11">
        <f t="shared" si="62"/>
        <v>0</v>
      </c>
      <c r="P2024" s="11">
        <f t="shared" si="63"/>
        <v>0</v>
      </c>
      <c r="Q2024" s="6"/>
      <c r="R2024" s="6"/>
      <c r="S2024" s="6"/>
      <c r="T2024" s="6"/>
    </row>
    <row r="2025" spans="1:20">
      <c r="A2025" s="6" t="s">
        <v>2189</v>
      </c>
      <c r="B2025" s="6" t="s">
        <v>66</v>
      </c>
      <c r="C2025" s="6" t="s">
        <v>99</v>
      </c>
      <c r="D2025" s="6" t="s">
        <v>319</v>
      </c>
      <c r="E2025" s="6" t="s">
        <v>120</v>
      </c>
      <c r="F2025" s="7">
        <v>54</v>
      </c>
      <c r="G2025" s="7">
        <v>6750</v>
      </c>
      <c r="H2025" s="16">
        <v>45244</v>
      </c>
      <c r="I2025" s="6">
        <v>46</v>
      </c>
      <c r="J2025" s="6" t="s">
        <v>121</v>
      </c>
      <c r="K2025" s="6" t="s">
        <v>1576</v>
      </c>
      <c r="L2025" s="11">
        <f>F2025*Controls!$B$6</f>
        <v>54</v>
      </c>
      <c r="M2025" s="11">
        <f>G2025*Controls!$B$6</f>
        <v>6750</v>
      </c>
      <c r="N2025" s="12">
        <f>IF(L2025=0,0,SUMIFS('PSI Plan'!$N$6:$N$173,'PSI Plan'!$B$6:$B$173,B2025,'PSI Plan'!$C$6:$C$173,I2025))</f>
        <v>0</v>
      </c>
      <c r="O2025" s="11">
        <f t="shared" si="62"/>
        <v>0</v>
      </c>
      <c r="P2025" s="11">
        <f t="shared" si="63"/>
        <v>0</v>
      </c>
      <c r="Q2025" s="6"/>
      <c r="R2025" s="6"/>
      <c r="S2025" s="6"/>
      <c r="T2025" s="6"/>
    </row>
    <row r="2026" spans="1:20">
      <c r="A2026" s="6" t="s">
        <v>2190</v>
      </c>
      <c r="B2026" s="6" t="s">
        <v>77</v>
      </c>
      <c r="C2026" s="6" t="s">
        <v>99</v>
      </c>
      <c r="D2026" s="6" t="s">
        <v>319</v>
      </c>
      <c r="E2026" s="6" t="s">
        <v>120</v>
      </c>
      <c r="F2026" s="7">
        <v>56</v>
      </c>
      <c r="G2026" s="7">
        <v>7000</v>
      </c>
      <c r="H2026" s="16">
        <v>45216</v>
      </c>
      <c r="I2026" s="6">
        <v>42</v>
      </c>
      <c r="J2026" s="6" t="s">
        <v>121</v>
      </c>
      <c r="K2026" s="6" t="s">
        <v>1576</v>
      </c>
      <c r="L2026" s="11">
        <f>F2026*Controls!$B$6</f>
        <v>56</v>
      </c>
      <c r="M2026" s="11">
        <f>G2026*Controls!$B$6</f>
        <v>7000</v>
      </c>
      <c r="N2026" s="12">
        <f>IF(L2026=0,0,SUMIFS('PSI Plan'!$N$6:$N$173,'PSI Plan'!$B$6:$B$173,B2026,'PSI Plan'!$C$6:$C$173,I2026))</f>
        <v>0</v>
      </c>
      <c r="O2026" s="11">
        <f t="shared" si="62"/>
        <v>0</v>
      </c>
      <c r="P2026" s="11">
        <f t="shared" si="63"/>
        <v>0</v>
      </c>
      <c r="Q2026" s="6"/>
      <c r="R2026" s="6"/>
      <c r="S2026" s="6"/>
      <c r="T2026" s="6"/>
    </row>
    <row r="2027" spans="1:20">
      <c r="A2027" s="6" t="s">
        <v>2191</v>
      </c>
      <c r="B2027" s="6" t="s">
        <v>76</v>
      </c>
      <c r="C2027" s="6" t="s">
        <v>99</v>
      </c>
      <c r="D2027" s="6" t="s">
        <v>319</v>
      </c>
      <c r="E2027" s="6" t="s">
        <v>120</v>
      </c>
      <c r="F2027" s="7">
        <v>30</v>
      </c>
      <c r="G2027" s="7">
        <v>3750</v>
      </c>
      <c r="H2027" s="16">
        <v>45282</v>
      </c>
      <c r="I2027" s="6">
        <v>51</v>
      </c>
      <c r="J2027" s="6" t="s">
        <v>121</v>
      </c>
      <c r="K2027" s="6" t="s">
        <v>1576</v>
      </c>
      <c r="L2027" s="11">
        <f>F2027*Controls!$B$6</f>
        <v>30</v>
      </c>
      <c r="M2027" s="11">
        <f>G2027*Controls!$B$6</f>
        <v>3750</v>
      </c>
      <c r="N2027" s="12">
        <f>IF(L2027=0,0,SUMIFS('PSI Plan'!$N$6:$N$173,'PSI Plan'!$B$6:$B$173,B2027,'PSI Plan'!$C$6:$C$173,I2027))</f>
        <v>0</v>
      </c>
      <c r="O2027" s="11">
        <f t="shared" si="62"/>
        <v>0</v>
      </c>
      <c r="P2027" s="11">
        <f t="shared" si="63"/>
        <v>0</v>
      </c>
      <c r="Q2027" s="6"/>
      <c r="R2027" s="6"/>
      <c r="S2027" s="6"/>
      <c r="T2027" s="6"/>
    </row>
    <row r="2028" spans="1:20">
      <c r="A2028" s="6" t="s">
        <v>2192</v>
      </c>
      <c r="B2028" s="6" t="s">
        <v>69</v>
      </c>
      <c r="C2028" s="6" t="s">
        <v>99</v>
      </c>
      <c r="D2028" s="6" t="s">
        <v>319</v>
      </c>
      <c r="E2028" s="6" t="s">
        <v>120</v>
      </c>
      <c r="F2028" s="7">
        <v>54</v>
      </c>
      <c r="G2028" s="7">
        <v>6750</v>
      </c>
      <c r="H2028" s="16">
        <v>45223</v>
      </c>
      <c r="I2028" s="6">
        <v>43</v>
      </c>
      <c r="J2028" s="6" t="s">
        <v>121</v>
      </c>
      <c r="K2028" s="6" t="s">
        <v>1576</v>
      </c>
      <c r="L2028" s="11">
        <f>F2028*Controls!$B$6</f>
        <v>54</v>
      </c>
      <c r="M2028" s="11">
        <f>G2028*Controls!$B$6</f>
        <v>6750</v>
      </c>
      <c r="N2028" s="12">
        <f>IF(L2028=0,0,SUMIFS('PSI Plan'!$N$6:$N$173,'PSI Plan'!$B$6:$B$173,B2028,'PSI Plan'!$C$6:$C$173,I2028))</f>
        <v>0</v>
      </c>
      <c r="O2028" s="11">
        <f t="shared" si="62"/>
        <v>0</v>
      </c>
      <c r="P2028" s="11">
        <f t="shared" si="63"/>
        <v>0</v>
      </c>
      <c r="Q2028" s="6"/>
      <c r="R2028" s="6"/>
      <c r="S2028" s="6"/>
      <c r="T2028" s="6"/>
    </row>
    <row r="2029" spans="1:20">
      <c r="A2029" s="6" t="s">
        <v>2193</v>
      </c>
      <c r="B2029" s="6" t="s">
        <v>66</v>
      </c>
      <c r="C2029" s="6" t="s">
        <v>99</v>
      </c>
      <c r="D2029" s="6" t="s">
        <v>319</v>
      </c>
      <c r="E2029" s="6" t="s">
        <v>120</v>
      </c>
      <c r="F2029" s="7">
        <v>380</v>
      </c>
      <c r="G2029" s="7">
        <v>47500</v>
      </c>
      <c r="H2029" s="16">
        <v>45214</v>
      </c>
      <c r="I2029" s="6">
        <v>42</v>
      </c>
      <c r="J2029" s="6" t="s">
        <v>121</v>
      </c>
      <c r="K2029" s="6" t="s">
        <v>347</v>
      </c>
      <c r="L2029" s="11">
        <f>F2029*Controls!$B$6</f>
        <v>380</v>
      </c>
      <c r="M2029" s="11">
        <f>G2029*Controls!$B$6</f>
        <v>47500</v>
      </c>
      <c r="N2029" s="12">
        <f>IF(L2029=0,0,SUMIFS('PSI Plan'!$N$6:$N$173,'PSI Plan'!$B$6:$B$173,B2029,'PSI Plan'!$C$6:$C$173,I2029))</f>
        <v>0.59807073954983925</v>
      </c>
      <c r="O2029" s="11">
        <f t="shared" si="62"/>
        <v>227.26688102893891</v>
      </c>
      <c r="P2029" s="11">
        <f t="shared" si="63"/>
        <v>28408.360128617365</v>
      </c>
      <c r="Q2029" s="6"/>
      <c r="R2029" s="6"/>
      <c r="S2029" s="6"/>
      <c r="T2029" s="6"/>
    </row>
    <row r="2030" spans="1:20">
      <c r="A2030" s="6" t="s">
        <v>2194</v>
      </c>
      <c r="B2030" s="6" t="s">
        <v>77</v>
      </c>
      <c r="C2030" s="6" t="s">
        <v>99</v>
      </c>
      <c r="D2030" s="6" t="s">
        <v>319</v>
      </c>
      <c r="E2030" s="6" t="s">
        <v>120</v>
      </c>
      <c r="F2030" s="7">
        <v>346</v>
      </c>
      <c r="G2030" s="7">
        <v>43250</v>
      </c>
      <c r="H2030" s="16">
        <v>45226</v>
      </c>
      <c r="I2030" s="6">
        <v>43</v>
      </c>
      <c r="J2030" s="6" t="s">
        <v>121</v>
      </c>
      <c r="K2030" s="6" t="s">
        <v>347</v>
      </c>
      <c r="L2030" s="11">
        <f>F2030*Controls!$B$6</f>
        <v>346</v>
      </c>
      <c r="M2030" s="11">
        <f>G2030*Controls!$B$6</f>
        <v>43250</v>
      </c>
      <c r="N2030" s="12">
        <f>IF(L2030=0,0,SUMIFS('PSI Plan'!$N$6:$N$173,'PSI Plan'!$B$6:$B$173,B2030,'PSI Plan'!$C$6:$C$173,I2030))</f>
        <v>0</v>
      </c>
      <c r="O2030" s="11">
        <f t="shared" si="62"/>
        <v>0</v>
      </c>
      <c r="P2030" s="11">
        <f t="shared" si="63"/>
        <v>0</v>
      </c>
      <c r="Q2030" s="6"/>
      <c r="R2030" s="6"/>
      <c r="S2030" s="6"/>
      <c r="T2030" s="6"/>
    </row>
    <row r="2031" spans="1:20">
      <c r="A2031" s="6" t="s">
        <v>2195</v>
      </c>
      <c r="B2031" s="6" t="s">
        <v>76</v>
      </c>
      <c r="C2031" s="6" t="s">
        <v>99</v>
      </c>
      <c r="D2031" s="6" t="s">
        <v>319</v>
      </c>
      <c r="E2031" s="6" t="s">
        <v>120</v>
      </c>
      <c r="F2031" s="7">
        <v>34</v>
      </c>
      <c r="G2031" s="7">
        <v>4250</v>
      </c>
      <c r="H2031" s="16">
        <v>45234</v>
      </c>
      <c r="I2031" s="6">
        <v>44</v>
      </c>
      <c r="J2031" s="6" t="s">
        <v>121</v>
      </c>
      <c r="K2031" s="6" t="s">
        <v>347</v>
      </c>
      <c r="L2031" s="11">
        <f>F2031*Controls!$B$6</f>
        <v>34</v>
      </c>
      <c r="M2031" s="11">
        <f>G2031*Controls!$B$6</f>
        <v>4250</v>
      </c>
      <c r="N2031" s="12">
        <f>IF(L2031=0,0,SUMIFS('PSI Plan'!$N$6:$N$173,'PSI Plan'!$B$6:$B$173,B2031,'PSI Plan'!$C$6:$C$173,I2031))</f>
        <v>0</v>
      </c>
      <c r="O2031" s="11">
        <f t="shared" si="62"/>
        <v>0</v>
      </c>
      <c r="P2031" s="11">
        <f t="shared" si="63"/>
        <v>0</v>
      </c>
      <c r="Q2031" s="6"/>
      <c r="R2031" s="6"/>
      <c r="S2031" s="6"/>
      <c r="T2031" s="6"/>
    </row>
    <row r="2032" spans="1:20">
      <c r="A2032" s="6" t="s">
        <v>2196</v>
      </c>
      <c r="B2032" s="6" t="s">
        <v>69</v>
      </c>
      <c r="C2032" s="6" t="s">
        <v>99</v>
      </c>
      <c r="D2032" s="6" t="s">
        <v>319</v>
      </c>
      <c r="E2032" s="6" t="s">
        <v>120</v>
      </c>
      <c r="F2032" s="7">
        <v>400</v>
      </c>
      <c r="G2032" s="7">
        <v>50000</v>
      </c>
      <c r="H2032" s="16">
        <v>45245</v>
      </c>
      <c r="I2032" s="6">
        <v>46</v>
      </c>
      <c r="J2032" s="6" t="s">
        <v>121</v>
      </c>
      <c r="K2032" s="6" t="s">
        <v>347</v>
      </c>
      <c r="L2032" s="11">
        <f>F2032*Controls!$B$6</f>
        <v>400</v>
      </c>
      <c r="M2032" s="11">
        <f>G2032*Controls!$B$6</f>
        <v>50000</v>
      </c>
      <c r="N2032" s="12">
        <f>IF(L2032=0,0,SUMIFS('PSI Plan'!$N$6:$N$173,'PSI Plan'!$B$6:$B$173,B2032,'PSI Plan'!$C$6:$C$173,I2032))</f>
        <v>0</v>
      </c>
      <c r="O2032" s="11">
        <f t="shared" si="62"/>
        <v>0</v>
      </c>
      <c r="P2032" s="11">
        <f t="shared" si="63"/>
        <v>0</v>
      </c>
      <c r="Q2032" s="6"/>
      <c r="R2032" s="6"/>
      <c r="S2032" s="6"/>
      <c r="T2032" s="6"/>
    </row>
    <row r="2033" spans="1:20">
      <c r="A2033" s="6" t="s">
        <v>2197</v>
      </c>
      <c r="B2033" s="6" t="s">
        <v>77</v>
      </c>
      <c r="C2033" s="6" t="s">
        <v>90</v>
      </c>
      <c r="D2033" s="6" t="s">
        <v>119</v>
      </c>
      <c r="E2033" s="6" t="s">
        <v>120</v>
      </c>
      <c r="F2033" s="7">
        <v>65</v>
      </c>
      <c r="G2033" s="7">
        <v>8125</v>
      </c>
      <c r="H2033" s="16">
        <v>45238</v>
      </c>
      <c r="I2033" s="6">
        <v>45</v>
      </c>
      <c r="J2033" s="6" t="s">
        <v>121</v>
      </c>
      <c r="K2033" s="6" t="s">
        <v>298</v>
      </c>
      <c r="L2033" s="11">
        <f>F2033*Controls!$B$6</f>
        <v>65</v>
      </c>
      <c r="M2033" s="11">
        <f>G2033*Controls!$B$6</f>
        <v>8125</v>
      </c>
      <c r="N2033" s="12">
        <f>IF(L2033=0,0,SUMIFS('PSI Plan'!$N$6:$N$173,'PSI Plan'!$B$6:$B$173,B2033,'PSI Plan'!$C$6:$C$173,I2033))</f>
        <v>0</v>
      </c>
      <c r="O2033" s="11">
        <f t="shared" si="62"/>
        <v>0</v>
      </c>
      <c r="P2033" s="11">
        <f t="shared" si="63"/>
        <v>0</v>
      </c>
      <c r="Q2033" s="6"/>
      <c r="R2033" s="6"/>
      <c r="S2033" s="6"/>
      <c r="T2033" s="6"/>
    </row>
    <row r="2034" spans="1:20">
      <c r="A2034" s="6" t="s">
        <v>2198</v>
      </c>
      <c r="B2034" s="6" t="s">
        <v>69</v>
      </c>
      <c r="C2034" s="6" t="s">
        <v>90</v>
      </c>
      <c r="D2034" s="6" t="s">
        <v>119</v>
      </c>
      <c r="E2034" s="6" t="s">
        <v>120</v>
      </c>
      <c r="F2034" s="7">
        <v>26</v>
      </c>
      <c r="G2034" s="7">
        <v>3250</v>
      </c>
      <c r="H2034" s="16">
        <v>45215</v>
      </c>
      <c r="I2034" s="6">
        <v>42</v>
      </c>
      <c r="J2034" s="6" t="s">
        <v>121</v>
      </c>
      <c r="K2034" s="6" t="s">
        <v>298</v>
      </c>
      <c r="L2034" s="11">
        <f>F2034*Controls!$B$6</f>
        <v>26</v>
      </c>
      <c r="M2034" s="11">
        <f>G2034*Controls!$B$6</f>
        <v>3250</v>
      </c>
      <c r="N2034" s="12">
        <f>IF(L2034=0,0,SUMIFS('PSI Plan'!$N$6:$N$173,'PSI Plan'!$B$6:$B$173,B2034,'PSI Plan'!$C$6:$C$173,I2034))</f>
        <v>0</v>
      </c>
      <c r="O2034" s="11">
        <f t="shared" si="62"/>
        <v>0</v>
      </c>
      <c r="P2034" s="11">
        <f t="shared" si="63"/>
        <v>0</v>
      </c>
      <c r="Q2034" s="6"/>
      <c r="R2034" s="6"/>
      <c r="S2034" s="6"/>
      <c r="T2034" s="6"/>
    </row>
    <row r="2035" spans="1:20">
      <c r="A2035" s="6" t="s">
        <v>2199</v>
      </c>
      <c r="B2035" s="6" t="s">
        <v>66</v>
      </c>
      <c r="C2035" s="6" t="s">
        <v>90</v>
      </c>
      <c r="D2035" s="6" t="s">
        <v>119</v>
      </c>
      <c r="E2035" s="6" t="s">
        <v>120</v>
      </c>
      <c r="F2035" s="7">
        <v>13</v>
      </c>
      <c r="G2035" s="7">
        <v>1625</v>
      </c>
      <c r="H2035" s="16">
        <v>45228</v>
      </c>
      <c r="I2035" s="6">
        <v>44</v>
      </c>
      <c r="J2035" s="6" t="s">
        <v>1791</v>
      </c>
      <c r="K2035" s="6" t="s">
        <v>1890</v>
      </c>
      <c r="L2035" s="11">
        <f>F2035*Controls!$B$6</f>
        <v>13</v>
      </c>
      <c r="M2035" s="11">
        <f>G2035*Controls!$B$6</f>
        <v>1625</v>
      </c>
      <c r="N2035" s="12">
        <f>IF(L2035=0,0,SUMIFS('PSI Plan'!$N$6:$N$173,'PSI Plan'!$B$6:$B$173,B2035,'PSI Plan'!$C$6:$C$173,I2035))</f>
        <v>0</v>
      </c>
      <c r="O2035" s="11">
        <f t="shared" si="62"/>
        <v>0</v>
      </c>
      <c r="P2035" s="11">
        <f t="shared" si="63"/>
        <v>0</v>
      </c>
      <c r="Q2035" s="6"/>
      <c r="R2035" s="6"/>
      <c r="S2035" s="6"/>
      <c r="T2035" s="6"/>
    </row>
    <row r="2036" spans="1:20">
      <c r="A2036" s="6" t="s">
        <v>2200</v>
      </c>
      <c r="B2036" s="6" t="s">
        <v>66</v>
      </c>
      <c r="C2036" s="6" t="s">
        <v>90</v>
      </c>
      <c r="D2036" s="6" t="s">
        <v>119</v>
      </c>
      <c r="E2036" s="6" t="s">
        <v>120</v>
      </c>
      <c r="F2036" s="7">
        <v>26</v>
      </c>
      <c r="G2036" s="7">
        <v>3250</v>
      </c>
      <c r="H2036" s="16">
        <v>45214</v>
      </c>
      <c r="I2036" s="6">
        <v>42</v>
      </c>
      <c r="J2036" s="6" t="s">
        <v>1791</v>
      </c>
      <c r="K2036" s="6" t="s">
        <v>1890</v>
      </c>
      <c r="L2036" s="11">
        <f>F2036*Controls!$B$6</f>
        <v>26</v>
      </c>
      <c r="M2036" s="11">
        <f>G2036*Controls!$B$6</f>
        <v>3250</v>
      </c>
      <c r="N2036" s="12">
        <f>IF(L2036=0,0,SUMIFS('PSI Plan'!$N$6:$N$173,'PSI Plan'!$B$6:$B$173,B2036,'PSI Plan'!$C$6:$C$173,I2036))</f>
        <v>0.59807073954983925</v>
      </c>
      <c r="O2036" s="11">
        <f t="shared" si="62"/>
        <v>15.54983922829582</v>
      </c>
      <c r="P2036" s="11">
        <f t="shared" si="63"/>
        <v>1943.7299035369776</v>
      </c>
      <c r="Q2036" s="6"/>
      <c r="R2036" s="6"/>
      <c r="S2036" s="6"/>
      <c r="T2036" s="6"/>
    </row>
    <row r="2037" spans="1:20">
      <c r="A2037" s="6" t="s">
        <v>2201</v>
      </c>
      <c r="B2037" s="6" t="s">
        <v>76</v>
      </c>
      <c r="C2037" s="6" t="s">
        <v>90</v>
      </c>
      <c r="D2037" s="6" t="s">
        <v>119</v>
      </c>
      <c r="E2037" s="6" t="s">
        <v>120</v>
      </c>
      <c r="F2037" s="7">
        <v>13</v>
      </c>
      <c r="G2037" s="7">
        <v>1625</v>
      </c>
      <c r="H2037" s="16">
        <v>45278</v>
      </c>
      <c r="I2037" s="6">
        <v>51</v>
      </c>
      <c r="J2037" s="6" t="s">
        <v>1791</v>
      </c>
      <c r="K2037" s="6" t="s">
        <v>1890</v>
      </c>
      <c r="L2037" s="11">
        <f>F2037*Controls!$B$6</f>
        <v>13</v>
      </c>
      <c r="M2037" s="11">
        <f>G2037*Controls!$B$6</f>
        <v>1625</v>
      </c>
      <c r="N2037" s="12">
        <f>IF(L2037=0,0,SUMIFS('PSI Plan'!$N$6:$N$173,'PSI Plan'!$B$6:$B$173,B2037,'PSI Plan'!$C$6:$C$173,I2037))</f>
        <v>0</v>
      </c>
      <c r="O2037" s="11">
        <f t="shared" si="62"/>
        <v>0</v>
      </c>
      <c r="P2037" s="11">
        <f t="shared" si="63"/>
        <v>0</v>
      </c>
      <c r="Q2037" s="6"/>
      <c r="R2037" s="6"/>
      <c r="S2037" s="6"/>
      <c r="T2037" s="6"/>
    </row>
    <row r="2038" spans="1:20">
      <c r="A2038" s="6" t="s">
        <v>2202</v>
      </c>
      <c r="B2038" s="6" t="s">
        <v>67</v>
      </c>
      <c r="C2038" s="6" t="s">
        <v>90</v>
      </c>
      <c r="D2038" s="6" t="s">
        <v>119</v>
      </c>
      <c r="E2038" s="6" t="s">
        <v>120</v>
      </c>
      <c r="F2038" s="7">
        <v>13</v>
      </c>
      <c r="G2038" s="7">
        <v>1625</v>
      </c>
      <c r="H2038" s="16">
        <v>45218</v>
      </c>
      <c r="I2038" s="6">
        <v>42</v>
      </c>
      <c r="J2038" s="6" t="s">
        <v>1791</v>
      </c>
      <c r="K2038" s="6" t="s">
        <v>1890</v>
      </c>
      <c r="L2038" s="11">
        <f>F2038*Controls!$B$6</f>
        <v>13</v>
      </c>
      <c r="M2038" s="11">
        <f>G2038*Controls!$B$6</f>
        <v>1625</v>
      </c>
      <c r="N2038" s="12">
        <f>IF(L2038=0,0,SUMIFS('PSI Plan'!$N$6:$N$173,'PSI Plan'!$B$6:$B$173,B2038,'PSI Plan'!$C$6:$C$173,I2038))</f>
        <v>0</v>
      </c>
      <c r="O2038" s="11">
        <f t="shared" si="62"/>
        <v>0</v>
      </c>
      <c r="P2038" s="11">
        <f t="shared" si="63"/>
        <v>0</v>
      </c>
      <c r="Q2038" s="6"/>
      <c r="R2038" s="6"/>
      <c r="S2038" s="6"/>
      <c r="T2038" s="6"/>
    </row>
    <row r="2039" spans="1:20">
      <c r="A2039" s="6" t="s">
        <v>2203</v>
      </c>
      <c r="B2039" s="6" t="s">
        <v>66</v>
      </c>
      <c r="C2039" s="6" t="s">
        <v>90</v>
      </c>
      <c r="D2039" s="6" t="s">
        <v>119</v>
      </c>
      <c r="E2039" s="6" t="s">
        <v>120</v>
      </c>
      <c r="F2039" s="7">
        <v>78</v>
      </c>
      <c r="G2039" s="7">
        <v>9750</v>
      </c>
      <c r="H2039" s="16">
        <v>45216</v>
      </c>
      <c r="I2039" s="6">
        <v>42</v>
      </c>
      <c r="J2039" s="6" t="s">
        <v>121</v>
      </c>
      <c r="K2039" s="6" t="s">
        <v>122</v>
      </c>
      <c r="L2039" s="11">
        <f>F2039*Controls!$B$6</f>
        <v>78</v>
      </c>
      <c r="M2039" s="11">
        <f>G2039*Controls!$B$6</f>
        <v>9750</v>
      </c>
      <c r="N2039" s="12">
        <f>IF(L2039=0,0,SUMIFS('PSI Plan'!$N$6:$N$173,'PSI Plan'!$B$6:$B$173,B2039,'PSI Plan'!$C$6:$C$173,I2039))</f>
        <v>0.59807073954983925</v>
      </c>
      <c r="O2039" s="11">
        <f t="shared" si="62"/>
        <v>46.649517684887464</v>
      </c>
      <c r="P2039" s="11">
        <f t="shared" si="63"/>
        <v>5831.1897106109327</v>
      </c>
      <c r="Q2039" s="6"/>
      <c r="R2039" s="6"/>
      <c r="S2039" s="6"/>
      <c r="T2039" s="6"/>
    </row>
    <row r="2040" spans="1:20">
      <c r="A2040" s="6" t="s">
        <v>2204</v>
      </c>
      <c r="B2040" s="6" t="s">
        <v>77</v>
      </c>
      <c r="C2040" s="6" t="s">
        <v>90</v>
      </c>
      <c r="D2040" s="6" t="s">
        <v>119</v>
      </c>
      <c r="E2040" s="6" t="s">
        <v>120</v>
      </c>
      <c r="F2040" s="7">
        <v>39</v>
      </c>
      <c r="G2040" s="7">
        <v>4875</v>
      </c>
      <c r="H2040" s="16">
        <v>45201</v>
      </c>
      <c r="I2040" s="6">
        <v>40</v>
      </c>
      <c r="J2040" s="6" t="s">
        <v>121</v>
      </c>
      <c r="K2040" s="6" t="s">
        <v>122</v>
      </c>
      <c r="L2040" s="11">
        <f>F2040*Controls!$B$6</f>
        <v>39</v>
      </c>
      <c r="M2040" s="11">
        <f>G2040*Controls!$B$6</f>
        <v>4875</v>
      </c>
      <c r="N2040" s="12">
        <f>IF(L2040=0,0,SUMIFS('PSI Plan'!$N$6:$N$173,'PSI Plan'!$B$6:$B$173,B2040,'PSI Plan'!$C$6:$C$173,I2040))</f>
        <v>0</v>
      </c>
      <c r="O2040" s="11">
        <f t="shared" si="62"/>
        <v>0</v>
      </c>
      <c r="P2040" s="11">
        <f t="shared" si="63"/>
        <v>0</v>
      </c>
      <c r="Q2040" s="6"/>
      <c r="R2040" s="6"/>
      <c r="S2040" s="6"/>
      <c r="T2040" s="6"/>
    </row>
    <row r="2041" spans="1:20">
      <c r="A2041" s="6" t="s">
        <v>2205</v>
      </c>
      <c r="B2041" s="6" t="s">
        <v>76</v>
      </c>
      <c r="C2041" s="6" t="s">
        <v>90</v>
      </c>
      <c r="D2041" s="6" t="s">
        <v>119</v>
      </c>
      <c r="E2041" s="6" t="s">
        <v>120</v>
      </c>
      <c r="F2041" s="7">
        <v>91</v>
      </c>
      <c r="G2041" s="7">
        <v>11375</v>
      </c>
      <c r="H2041" s="16">
        <v>45273</v>
      </c>
      <c r="I2041" s="6">
        <v>50</v>
      </c>
      <c r="J2041" s="6" t="s">
        <v>121</v>
      </c>
      <c r="K2041" s="6" t="s">
        <v>122</v>
      </c>
      <c r="L2041" s="11">
        <f>F2041*Controls!$B$6</f>
        <v>91</v>
      </c>
      <c r="M2041" s="11">
        <f>G2041*Controls!$B$6</f>
        <v>11375</v>
      </c>
      <c r="N2041" s="12">
        <f>IF(L2041=0,0,SUMIFS('PSI Plan'!$N$6:$N$173,'PSI Plan'!$B$6:$B$173,B2041,'PSI Plan'!$C$6:$C$173,I2041))</f>
        <v>0</v>
      </c>
      <c r="O2041" s="11">
        <f t="shared" si="62"/>
        <v>0</v>
      </c>
      <c r="P2041" s="11">
        <f t="shared" si="63"/>
        <v>0</v>
      </c>
      <c r="Q2041" s="6"/>
      <c r="R2041" s="6"/>
      <c r="S2041" s="6"/>
      <c r="T2041" s="6"/>
    </row>
    <row r="2042" spans="1:20">
      <c r="A2042" s="6" t="s">
        <v>2206</v>
      </c>
      <c r="B2042" s="6" t="s">
        <v>67</v>
      </c>
      <c r="C2042" s="6" t="s">
        <v>90</v>
      </c>
      <c r="D2042" s="6" t="s">
        <v>119</v>
      </c>
      <c r="E2042" s="6" t="s">
        <v>120</v>
      </c>
      <c r="F2042" s="7">
        <v>39</v>
      </c>
      <c r="G2042" s="7">
        <v>4875</v>
      </c>
      <c r="H2042" s="16">
        <v>45286</v>
      </c>
      <c r="I2042" s="6">
        <v>52</v>
      </c>
      <c r="J2042" s="6" t="s">
        <v>121</v>
      </c>
      <c r="K2042" s="6" t="s">
        <v>122</v>
      </c>
      <c r="L2042" s="11">
        <f>F2042*Controls!$B$6</f>
        <v>39</v>
      </c>
      <c r="M2042" s="11">
        <f>G2042*Controls!$B$6</f>
        <v>4875</v>
      </c>
      <c r="N2042" s="12">
        <f>IF(L2042=0,0,SUMIFS('PSI Plan'!$N$6:$N$173,'PSI Plan'!$B$6:$B$173,B2042,'PSI Plan'!$C$6:$C$173,I2042))</f>
        <v>0</v>
      </c>
      <c r="O2042" s="11">
        <f t="shared" si="62"/>
        <v>0</v>
      </c>
      <c r="P2042" s="11">
        <f t="shared" si="63"/>
        <v>0</v>
      </c>
      <c r="Q2042" s="6"/>
      <c r="R2042" s="6"/>
      <c r="S2042" s="6"/>
      <c r="T2042" s="6"/>
    </row>
    <row r="2043" spans="1:20">
      <c r="A2043" s="6" t="s">
        <v>2207</v>
      </c>
      <c r="B2043" s="6" t="s">
        <v>69</v>
      </c>
      <c r="C2043" s="6" t="s">
        <v>90</v>
      </c>
      <c r="D2043" s="6" t="s">
        <v>119</v>
      </c>
      <c r="E2043" s="6" t="s">
        <v>120</v>
      </c>
      <c r="F2043" s="7">
        <v>78</v>
      </c>
      <c r="G2043" s="7">
        <v>9750</v>
      </c>
      <c r="H2043" s="16">
        <v>45270</v>
      </c>
      <c r="I2043" s="6">
        <v>50</v>
      </c>
      <c r="J2043" s="6" t="s">
        <v>121</v>
      </c>
      <c r="K2043" s="6" t="s">
        <v>122</v>
      </c>
      <c r="L2043" s="11">
        <f>F2043*Controls!$B$6</f>
        <v>78</v>
      </c>
      <c r="M2043" s="11">
        <f>G2043*Controls!$B$6</f>
        <v>9750</v>
      </c>
      <c r="N2043" s="12">
        <f>IF(L2043=0,0,SUMIFS('PSI Plan'!$N$6:$N$173,'PSI Plan'!$B$6:$B$173,B2043,'PSI Plan'!$C$6:$C$173,I2043))</f>
        <v>0</v>
      </c>
      <c r="O2043" s="11">
        <f t="shared" si="62"/>
        <v>0</v>
      </c>
      <c r="P2043" s="11">
        <f t="shared" si="63"/>
        <v>0</v>
      </c>
      <c r="Q2043" s="6"/>
      <c r="R2043" s="6"/>
      <c r="S2043" s="6"/>
      <c r="T2043" s="6"/>
    </row>
    <row r="2044" spans="1:20">
      <c r="A2044" s="6" t="s">
        <v>2208</v>
      </c>
      <c r="B2044" s="6" t="s">
        <v>77</v>
      </c>
      <c r="C2044" s="6" t="s">
        <v>90</v>
      </c>
      <c r="D2044" s="6" t="s">
        <v>119</v>
      </c>
      <c r="E2044" s="6" t="s">
        <v>120</v>
      </c>
      <c r="F2044" s="7">
        <v>13</v>
      </c>
      <c r="G2044" s="7">
        <v>1625</v>
      </c>
      <c r="H2044" s="16">
        <v>45223</v>
      </c>
      <c r="I2044" s="6">
        <v>43</v>
      </c>
      <c r="J2044" s="6" t="s">
        <v>121</v>
      </c>
      <c r="K2044" s="6" t="s">
        <v>132</v>
      </c>
      <c r="L2044" s="11">
        <f>F2044*Controls!$B$6</f>
        <v>13</v>
      </c>
      <c r="M2044" s="11">
        <f>G2044*Controls!$B$6</f>
        <v>1625</v>
      </c>
      <c r="N2044" s="12">
        <f>IF(L2044=0,0,SUMIFS('PSI Plan'!$N$6:$N$173,'PSI Plan'!$B$6:$B$173,B2044,'PSI Plan'!$C$6:$C$173,I2044))</f>
        <v>0</v>
      </c>
      <c r="O2044" s="11">
        <f t="shared" si="62"/>
        <v>0</v>
      </c>
      <c r="P2044" s="11">
        <f t="shared" si="63"/>
        <v>0</v>
      </c>
      <c r="Q2044" s="6"/>
      <c r="R2044" s="6"/>
      <c r="S2044" s="6"/>
      <c r="T2044" s="6"/>
    </row>
    <row r="2045" spans="1:20">
      <c r="A2045" s="6" t="s">
        <v>2209</v>
      </c>
      <c r="B2045" s="6" t="s">
        <v>69</v>
      </c>
      <c r="C2045" s="6" t="s">
        <v>90</v>
      </c>
      <c r="D2045" s="6" t="s">
        <v>119</v>
      </c>
      <c r="E2045" s="6" t="s">
        <v>120</v>
      </c>
      <c r="F2045" s="7">
        <v>13</v>
      </c>
      <c r="G2045" s="7">
        <v>1625</v>
      </c>
      <c r="H2045" s="16">
        <v>45250</v>
      </c>
      <c r="I2045" s="6">
        <v>47</v>
      </c>
      <c r="J2045" s="6" t="s">
        <v>121</v>
      </c>
      <c r="K2045" s="6" t="s">
        <v>132</v>
      </c>
      <c r="L2045" s="11">
        <f>F2045*Controls!$B$6</f>
        <v>13</v>
      </c>
      <c r="M2045" s="11">
        <f>G2045*Controls!$B$6</f>
        <v>1625</v>
      </c>
      <c r="N2045" s="12">
        <f>IF(L2045=0,0,SUMIFS('PSI Plan'!$N$6:$N$173,'PSI Plan'!$B$6:$B$173,B2045,'PSI Plan'!$C$6:$C$173,I2045))</f>
        <v>0</v>
      </c>
      <c r="O2045" s="11">
        <f t="shared" si="62"/>
        <v>0</v>
      </c>
      <c r="P2045" s="11">
        <f t="shared" si="63"/>
        <v>0</v>
      </c>
      <c r="Q2045" s="6"/>
      <c r="R2045" s="6"/>
      <c r="S2045" s="6"/>
      <c r="T2045" s="6"/>
    </row>
    <row r="2046" spans="1:20">
      <c r="A2046" s="6" t="s">
        <v>2210</v>
      </c>
      <c r="B2046" s="6" t="s">
        <v>66</v>
      </c>
      <c r="C2046" s="6" t="s">
        <v>90</v>
      </c>
      <c r="D2046" s="6" t="s">
        <v>119</v>
      </c>
      <c r="E2046" s="6" t="s">
        <v>120</v>
      </c>
      <c r="F2046" s="7">
        <v>13</v>
      </c>
      <c r="G2046" s="7">
        <v>1625</v>
      </c>
      <c r="H2046" s="16">
        <v>45209</v>
      </c>
      <c r="I2046" s="6">
        <v>41</v>
      </c>
      <c r="J2046" s="6" t="s">
        <v>121</v>
      </c>
      <c r="K2046" s="6" t="s">
        <v>139</v>
      </c>
      <c r="L2046" s="11">
        <f>F2046*Controls!$B$6</f>
        <v>13</v>
      </c>
      <c r="M2046" s="11">
        <f>G2046*Controls!$B$6</f>
        <v>1625</v>
      </c>
      <c r="N2046" s="12">
        <f>IF(L2046=0,0,SUMIFS('PSI Plan'!$N$6:$N$173,'PSI Plan'!$B$6:$B$173,B2046,'PSI Plan'!$C$6:$C$173,I2046))</f>
        <v>0.22897465437788017</v>
      </c>
      <c r="O2046" s="11">
        <f t="shared" si="62"/>
        <v>2.9766705069124422</v>
      </c>
      <c r="P2046" s="11">
        <f t="shared" si="63"/>
        <v>372.08381336405529</v>
      </c>
      <c r="Q2046" s="6"/>
      <c r="R2046" s="6"/>
      <c r="S2046" s="6"/>
      <c r="T2046" s="6"/>
    </row>
    <row r="2047" spans="1:20">
      <c r="A2047" s="6" t="s">
        <v>2211</v>
      </c>
      <c r="B2047" s="6" t="s">
        <v>77</v>
      </c>
      <c r="C2047" s="6" t="s">
        <v>90</v>
      </c>
      <c r="D2047" s="6" t="s">
        <v>119</v>
      </c>
      <c r="E2047" s="6" t="s">
        <v>120</v>
      </c>
      <c r="F2047" s="7">
        <v>26</v>
      </c>
      <c r="G2047" s="7">
        <v>3250</v>
      </c>
      <c r="H2047" s="16">
        <v>45269</v>
      </c>
      <c r="I2047" s="6">
        <v>49</v>
      </c>
      <c r="J2047" s="6" t="s">
        <v>121</v>
      </c>
      <c r="K2047" s="6" t="s">
        <v>139</v>
      </c>
      <c r="L2047" s="11">
        <f>F2047*Controls!$B$6</f>
        <v>26</v>
      </c>
      <c r="M2047" s="11">
        <f>G2047*Controls!$B$6</f>
        <v>3250</v>
      </c>
      <c r="N2047" s="12">
        <f>IF(L2047=0,0,SUMIFS('PSI Plan'!$N$6:$N$173,'PSI Plan'!$B$6:$B$173,B2047,'PSI Plan'!$C$6:$C$173,I2047))</f>
        <v>0</v>
      </c>
      <c r="O2047" s="11">
        <f t="shared" si="62"/>
        <v>0</v>
      </c>
      <c r="P2047" s="11">
        <f t="shared" si="63"/>
        <v>0</v>
      </c>
      <c r="Q2047" s="6"/>
      <c r="R2047" s="6"/>
      <c r="S2047" s="6"/>
      <c r="T2047" s="6"/>
    </row>
    <row r="2048" spans="1:20">
      <c r="A2048" s="6" t="s">
        <v>2212</v>
      </c>
      <c r="B2048" s="6" t="s">
        <v>67</v>
      </c>
      <c r="C2048" s="6" t="s">
        <v>90</v>
      </c>
      <c r="D2048" s="6" t="s">
        <v>119</v>
      </c>
      <c r="E2048" s="6" t="s">
        <v>120</v>
      </c>
      <c r="F2048" s="7">
        <v>26</v>
      </c>
      <c r="G2048" s="7">
        <v>3250</v>
      </c>
      <c r="H2048" s="16">
        <v>45209</v>
      </c>
      <c r="I2048" s="6">
        <v>41</v>
      </c>
      <c r="J2048" s="6" t="s">
        <v>121</v>
      </c>
      <c r="K2048" s="6" t="s">
        <v>139</v>
      </c>
      <c r="L2048" s="11">
        <f>F2048*Controls!$B$6</f>
        <v>26</v>
      </c>
      <c r="M2048" s="11">
        <f>G2048*Controls!$B$6</f>
        <v>3250</v>
      </c>
      <c r="N2048" s="12">
        <f>IF(L2048=0,0,SUMIFS('PSI Plan'!$N$6:$N$173,'PSI Plan'!$B$6:$B$173,B2048,'PSI Plan'!$C$6:$C$173,I2048))</f>
        <v>0</v>
      </c>
      <c r="O2048" s="11">
        <f t="shared" si="62"/>
        <v>0</v>
      </c>
      <c r="P2048" s="11">
        <f t="shared" si="63"/>
        <v>0</v>
      </c>
      <c r="Q2048" s="6"/>
      <c r="R2048" s="6"/>
      <c r="S2048" s="6"/>
      <c r="T2048" s="6"/>
    </row>
    <row r="2049" spans="1:20">
      <c r="A2049" s="6" t="s">
        <v>2213</v>
      </c>
      <c r="B2049" s="6" t="s">
        <v>69</v>
      </c>
      <c r="C2049" s="6" t="s">
        <v>90</v>
      </c>
      <c r="D2049" s="6" t="s">
        <v>119</v>
      </c>
      <c r="E2049" s="6" t="s">
        <v>120</v>
      </c>
      <c r="F2049" s="7">
        <v>13</v>
      </c>
      <c r="G2049" s="7">
        <v>1625</v>
      </c>
      <c r="H2049" s="16">
        <v>45289</v>
      </c>
      <c r="I2049" s="6">
        <v>52</v>
      </c>
      <c r="J2049" s="6" t="s">
        <v>121</v>
      </c>
      <c r="K2049" s="6" t="s">
        <v>139</v>
      </c>
      <c r="L2049" s="11">
        <f>F2049*Controls!$B$6</f>
        <v>13</v>
      </c>
      <c r="M2049" s="11">
        <f>G2049*Controls!$B$6</f>
        <v>1625</v>
      </c>
      <c r="N2049" s="12">
        <f>IF(L2049=0,0,SUMIFS('PSI Plan'!$N$6:$N$173,'PSI Plan'!$B$6:$B$173,B2049,'PSI Plan'!$C$6:$C$173,I2049))</f>
        <v>0</v>
      </c>
      <c r="O2049" s="11">
        <f t="shared" si="62"/>
        <v>0</v>
      </c>
      <c r="P2049" s="11">
        <f t="shared" si="63"/>
        <v>0</v>
      </c>
      <c r="Q2049" s="6"/>
      <c r="R2049" s="6"/>
      <c r="S2049" s="6"/>
      <c r="T2049" s="6"/>
    </row>
    <row r="2050" spans="1:20">
      <c r="A2050" s="6" t="s">
        <v>2214</v>
      </c>
      <c r="B2050" s="6" t="s">
        <v>66</v>
      </c>
      <c r="C2050" s="6" t="s">
        <v>90</v>
      </c>
      <c r="D2050" s="6" t="s">
        <v>119</v>
      </c>
      <c r="E2050" s="6" t="s">
        <v>120</v>
      </c>
      <c r="F2050" s="7">
        <v>13</v>
      </c>
      <c r="G2050" s="7">
        <v>1625</v>
      </c>
      <c r="H2050" s="16">
        <v>45275</v>
      </c>
      <c r="I2050" s="6">
        <v>50</v>
      </c>
      <c r="J2050" s="6" t="s">
        <v>121</v>
      </c>
      <c r="K2050" s="6" t="s">
        <v>171</v>
      </c>
      <c r="L2050" s="11">
        <f>F2050*Controls!$B$6</f>
        <v>13</v>
      </c>
      <c r="M2050" s="11">
        <f>G2050*Controls!$B$6</f>
        <v>1625</v>
      </c>
      <c r="N2050" s="12">
        <f>IF(L2050=0,0,SUMIFS('PSI Plan'!$N$6:$N$173,'PSI Plan'!$B$6:$B$173,B2050,'PSI Plan'!$C$6:$C$173,I2050))</f>
        <v>0</v>
      </c>
      <c r="O2050" s="11">
        <f t="shared" ref="O2050:O2113" si="64">L2050*N2050</f>
        <v>0</v>
      </c>
      <c r="P2050" s="11">
        <f t="shared" ref="P2050:P2113" si="65">M2050*N2050</f>
        <v>0</v>
      </c>
      <c r="Q2050" s="6"/>
      <c r="R2050" s="6"/>
      <c r="S2050" s="6"/>
      <c r="T2050" s="6"/>
    </row>
    <row r="2051" spans="1:20">
      <c r="A2051" s="6" t="s">
        <v>2215</v>
      </c>
      <c r="B2051" s="6" t="s">
        <v>69</v>
      </c>
      <c r="C2051" s="6" t="s">
        <v>90</v>
      </c>
      <c r="D2051" s="6" t="s">
        <v>119</v>
      </c>
      <c r="E2051" s="6" t="s">
        <v>120</v>
      </c>
      <c r="F2051" s="7">
        <v>13</v>
      </c>
      <c r="G2051" s="7">
        <v>1625</v>
      </c>
      <c r="H2051" s="16">
        <v>45275</v>
      </c>
      <c r="I2051" s="6">
        <v>50</v>
      </c>
      <c r="J2051" s="6" t="s">
        <v>121</v>
      </c>
      <c r="K2051" s="6" t="s">
        <v>171</v>
      </c>
      <c r="L2051" s="11">
        <f>F2051*Controls!$B$6</f>
        <v>13</v>
      </c>
      <c r="M2051" s="11">
        <f>G2051*Controls!$B$6</f>
        <v>1625</v>
      </c>
      <c r="N2051" s="12">
        <f>IF(L2051=0,0,SUMIFS('PSI Plan'!$N$6:$N$173,'PSI Plan'!$B$6:$B$173,B2051,'PSI Plan'!$C$6:$C$173,I2051))</f>
        <v>0</v>
      </c>
      <c r="O2051" s="11">
        <f t="shared" si="64"/>
        <v>0</v>
      </c>
      <c r="P2051" s="11">
        <f t="shared" si="65"/>
        <v>0</v>
      </c>
      <c r="Q2051" s="6"/>
      <c r="R2051" s="6"/>
      <c r="S2051" s="6"/>
      <c r="T2051" s="6"/>
    </row>
    <row r="2052" spans="1:20">
      <c r="A2052" s="6" t="s">
        <v>2216</v>
      </c>
      <c r="B2052" s="6" t="s">
        <v>66</v>
      </c>
      <c r="C2052" s="6" t="s">
        <v>101</v>
      </c>
      <c r="D2052" s="6" t="s">
        <v>1895</v>
      </c>
      <c r="E2052" s="6" t="s">
        <v>120</v>
      </c>
      <c r="F2052" s="7">
        <v>40</v>
      </c>
      <c r="G2052" s="7">
        <v>5000</v>
      </c>
      <c r="H2052" s="16">
        <v>45201</v>
      </c>
      <c r="I2052" s="6">
        <v>40</v>
      </c>
      <c r="J2052" s="6" t="s">
        <v>1791</v>
      </c>
      <c r="K2052" s="6" t="s">
        <v>1896</v>
      </c>
      <c r="L2052" s="11">
        <f>F2052*Controls!$B$6</f>
        <v>40</v>
      </c>
      <c r="M2052" s="11">
        <f>G2052*Controls!$B$6</f>
        <v>5000</v>
      </c>
      <c r="N2052" s="12">
        <f>IF(L2052=0,0,SUMIFS('PSI Plan'!$N$6:$N$173,'PSI Plan'!$B$6:$B$173,B2052,'PSI Plan'!$C$6:$C$173,I2052))</f>
        <v>0</v>
      </c>
      <c r="O2052" s="11">
        <f t="shared" si="64"/>
        <v>0</v>
      </c>
      <c r="P2052" s="11">
        <f t="shared" si="65"/>
        <v>0</v>
      </c>
      <c r="Q2052" s="6"/>
      <c r="R2052" s="6"/>
      <c r="S2052" s="6"/>
      <c r="T2052" s="6"/>
    </row>
    <row r="2053" spans="1:20">
      <c r="A2053" s="6" t="s">
        <v>2217</v>
      </c>
      <c r="B2053" s="6" t="s">
        <v>66</v>
      </c>
      <c r="C2053" s="6" t="s">
        <v>101</v>
      </c>
      <c r="D2053" s="6" t="s">
        <v>1895</v>
      </c>
      <c r="E2053" s="6" t="s">
        <v>120</v>
      </c>
      <c r="F2053" s="7">
        <v>30</v>
      </c>
      <c r="G2053" s="7">
        <v>3750</v>
      </c>
      <c r="H2053" s="16">
        <v>45272</v>
      </c>
      <c r="I2053" s="6">
        <v>50</v>
      </c>
      <c r="J2053" s="6" t="s">
        <v>1791</v>
      </c>
      <c r="K2053" s="6" t="s">
        <v>1896</v>
      </c>
      <c r="L2053" s="11">
        <f>F2053*Controls!$B$6</f>
        <v>30</v>
      </c>
      <c r="M2053" s="11">
        <f>G2053*Controls!$B$6</f>
        <v>3750</v>
      </c>
      <c r="N2053" s="12">
        <f>IF(L2053=0,0,SUMIFS('PSI Plan'!$N$6:$N$173,'PSI Plan'!$B$6:$B$173,B2053,'PSI Plan'!$C$6:$C$173,I2053))</f>
        <v>0</v>
      </c>
      <c r="O2053" s="11">
        <f t="shared" si="64"/>
        <v>0</v>
      </c>
      <c r="P2053" s="11">
        <f t="shared" si="65"/>
        <v>0</v>
      </c>
      <c r="Q2053" s="6"/>
      <c r="R2053" s="6"/>
      <c r="S2053" s="6"/>
      <c r="T2053" s="6"/>
    </row>
    <row r="2054" spans="1:20">
      <c r="A2054" s="6" t="s">
        <v>2218</v>
      </c>
      <c r="B2054" s="6" t="s">
        <v>76</v>
      </c>
      <c r="C2054" s="6" t="s">
        <v>101</v>
      </c>
      <c r="D2054" s="6" t="s">
        <v>1895</v>
      </c>
      <c r="E2054" s="6" t="s">
        <v>120</v>
      </c>
      <c r="F2054" s="7">
        <v>40</v>
      </c>
      <c r="G2054" s="7">
        <v>5000</v>
      </c>
      <c r="H2054" s="16">
        <v>45285</v>
      </c>
      <c r="I2054" s="6">
        <v>52</v>
      </c>
      <c r="J2054" s="6" t="s">
        <v>1791</v>
      </c>
      <c r="K2054" s="6" t="s">
        <v>1896</v>
      </c>
      <c r="L2054" s="11">
        <f>F2054*Controls!$B$6</f>
        <v>40</v>
      </c>
      <c r="M2054" s="11">
        <f>G2054*Controls!$B$6</f>
        <v>5000</v>
      </c>
      <c r="N2054" s="12">
        <f>IF(L2054=0,0,SUMIFS('PSI Plan'!$N$6:$N$173,'PSI Plan'!$B$6:$B$173,B2054,'PSI Plan'!$C$6:$C$173,I2054))</f>
        <v>0</v>
      </c>
      <c r="O2054" s="11">
        <f t="shared" si="64"/>
        <v>0</v>
      </c>
      <c r="P2054" s="11">
        <f t="shared" si="65"/>
        <v>0</v>
      </c>
      <c r="Q2054" s="6"/>
      <c r="R2054" s="6"/>
      <c r="S2054" s="6"/>
      <c r="T2054" s="6"/>
    </row>
    <row r="2055" spans="1:20">
      <c r="A2055" s="6" t="s">
        <v>2219</v>
      </c>
      <c r="B2055" s="6" t="s">
        <v>67</v>
      </c>
      <c r="C2055" s="6" t="s">
        <v>101</v>
      </c>
      <c r="D2055" s="6" t="s">
        <v>1895</v>
      </c>
      <c r="E2055" s="6" t="s">
        <v>120</v>
      </c>
      <c r="F2055" s="7">
        <v>30</v>
      </c>
      <c r="G2055" s="7">
        <v>3750</v>
      </c>
      <c r="H2055" s="16">
        <v>45259</v>
      </c>
      <c r="I2055" s="6">
        <v>48</v>
      </c>
      <c r="J2055" s="6" t="s">
        <v>1791</v>
      </c>
      <c r="K2055" s="6" t="s">
        <v>1896</v>
      </c>
      <c r="L2055" s="11">
        <f>F2055*Controls!$B$6</f>
        <v>30</v>
      </c>
      <c r="M2055" s="11">
        <f>G2055*Controls!$B$6</f>
        <v>3750</v>
      </c>
      <c r="N2055" s="12">
        <f>IF(L2055=0,0,SUMIFS('PSI Plan'!$N$6:$N$173,'PSI Plan'!$B$6:$B$173,B2055,'PSI Plan'!$C$6:$C$173,I2055))</f>
        <v>0</v>
      </c>
      <c r="O2055" s="11">
        <f t="shared" si="64"/>
        <v>0</v>
      </c>
      <c r="P2055" s="11">
        <f t="shared" si="65"/>
        <v>0</v>
      </c>
      <c r="Q2055" s="6"/>
      <c r="R2055" s="6"/>
      <c r="S2055" s="6"/>
      <c r="T2055" s="6"/>
    </row>
    <row r="2056" spans="1:20">
      <c r="A2056" s="6" t="s">
        <v>2220</v>
      </c>
      <c r="B2056" s="6" t="s">
        <v>66</v>
      </c>
      <c r="C2056" s="6" t="s">
        <v>90</v>
      </c>
      <c r="D2056" s="6" t="s">
        <v>119</v>
      </c>
      <c r="E2056" s="6" t="s">
        <v>120</v>
      </c>
      <c r="F2056" s="7">
        <v>13</v>
      </c>
      <c r="G2056" s="7">
        <v>1625</v>
      </c>
      <c r="H2056" s="16">
        <v>45270</v>
      </c>
      <c r="I2056" s="6">
        <v>50</v>
      </c>
      <c r="J2056" s="6" t="s">
        <v>121</v>
      </c>
      <c r="K2056" s="6" t="s">
        <v>298</v>
      </c>
      <c r="L2056" s="11">
        <f>F2056*Controls!$B$6</f>
        <v>13</v>
      </c>
      <c r="M2056" s="11">
        <f>G2056*Controls!$B$6</f>
        <v>1625</v>
      </c>
      <c r="N2056" s="12">
        <f>IF(L2056=0,0,SUMIFS('PSI Plan'!$N$6:$N$173,'PSI Plan'!$B$6:$B$173,B2056,'PSI Plan'!$C$6:$C$173,I2056))</f>
        <v>0</v>
      </c>
      <c r="O2056" s="11">
        <f t="shared" si="64"/>
        <v>0</v>
      </c>
      <c r="P2056" s="11">
        <f t="shared" si="65"/>
        <v>0</v>
      </c>
      <c r="Q2056" s="6"/>
      <c r="R2056" s="6"/>
      <c r="S2056" s="6"/>
      <c r="T2056" s="6"/>
    </row>
    <row r="2057" spans="1:20">
      <c r="A2057" s="6" t="s">
        <v>2221</v>
      </c>
      <c r="B2057" s="6" t="s">
        <v>77</v>
      </c>
      <c r="C2057" s="6" t="s">
        <v>90</v>
      </c>
      <c r="D2057" s="6" t="s">
        <v>119</v>
      </c>
      <c r="E2057" s="6" t="s">
        <v>120</v>
      </c>
      <c r="F2057" s="7">
        <v>17</v>
      </c>
      <c r="G2057" s="7">
        <v>2125</v>
      </c>
      <c r="H2057" s="16">
        <v>45273</v>
      </c>
      <c r="I2057" s="6">
        <v>50</v>
      </c>
      <c r="J2057" s="6" t="s">
        <v>121</v>
      </c>
      <c r="K2057" s="6" t="s">
        <v>298</v>
      </c>
      <c r="L2057" s="11">
        <f>F2057*Controls!$B$6</f>
        <v>17</v>
      </c>
      <c r="M2057" s="11">
        <f>G2057*Controls!$B$6</f>
        <v>2125</v>
      </c>
      <c r="N2057" s="12">
        <f>IF(L2057=0,0,SUMIFS('PSI Plan'!$N$6:$N$173,'PSI Plan'!$B$6:$B$173,B2057,'PSI Plan'!$C$6:$C$173,I2057))</f>
        <v>0</v>
      </c>
      <c r="O2057" s="11">
        <f t="shared" si="64"/>
        <v>0</v>
      </c>
      <c r="P2057" s="11">
        <f t="shared" si="65"/>
        <v>0</v>
      </c>
      <c r="Q2057" s="6"/>
      <c r="R2057" s="6"/>
      <c r="S2057" s="6"/>
      <c r="T2057" s="6"/>
    </row>
    <row r="2058" spans="1:20">
      <c r="A2058" s="6" t="s">
        <v>2222</v>
      </c>
      <c r="B2058" s="6" t="s">
        <v>76</v>
      </c>
      <c r="C2058" s="6" t="s">
        <v>90</v>
      </c>
      <c r="D2058" s="6" t="s">
        <v>119</v>
      </c>
      <c r="E2058" s="6" t="s">
        <v>120</v>
      </c>
      <c r="F2058" s="7">
        <v>13</v>
      </c>
      <c r="G2058" s="7">
        <v>1625</v>
      </c>
      <c r="H2058" s="16">
        <v>45278</v>
      </c>
      <c r="I2058" s="6">
        <v>51</v>
      </c>
      <c r="J2058" s="6" t="s">
        <v>121</v>
      </c>
      <c r="K2058" s="6" t="s">
        <v>298</v>
      </c>
      <c r="L2058" s="11">
        <f>F2058*Controls!$B$6</f>
        <v>13</v>
      </c>
      <c r="M2058" s="11">
        <f>G2058*Controls!$B$6</f>
        <v>1625</v>
      </c>
      <c r="N2058" s="12">
        <f>IF(L2058=0,0,SUMIFS('PSI Plan'!$N$6:$N$173,'PSI Plan'!$B$6:$B$173,B2058,'PSI Plan'!$C$6:$C$173,I2058))</f>
        <v>0</v>
      </c>
      <c r="O2058" s="11">
        <f t="shared" si="64"/>
        <v>0</v>
      </c>
      <c r="P2058" s="11">
        <f t="shared" si="65"/>
        <v>0</v>
      </c>
      <c r="Q2058" s="6"/>
      <c r="R2058" s="6"/>
      <c r="S2058" s="6"/>
      <c r="T2058" s="6"/>
    </row>
    <row r="2059" spans="1:20">
      <c r="A2059" s="6" t="s">
        <v>2223</v>
      </c>
      <c r="B2059" s="6" t="s">
        <v>66</v>
      </c>
      <c r="C2059" s="6" t="s">
        <v>90</v>
      </c>
      <c r="D2059" s="6" t="s">
        <v>119</v>
      </c>
      <c r="E2059" s="6" t="s">
        <v>120</v>
      </c>
      <c r="F2059" s="7">
        <v>13</v>
      </c>
      <c r="G2059" s="7">
        <v>1625</v>
      </c>
      <c r="H2059" s="16">
        <v>45201</v>
      </c>
      <c r="I2059" s="6">
        <v>40</v>
      </c>
      <c r="J2059" s="6" t="s">
        <v>1791</v>
      </c>
      <c r="K2059" s="6" t="s">
        <v>1890</v>
      </c>
      <c r="L2059" s="11">
        <f>F2059*Controls!$B$6</f>
        <v>13</v>
      </c>
      <c r="M2059" s="11">
        <f>G2059*Controls!$B$6</f>
        <v>1625</v>
      </c>
      <c r="N2059" s="12">
        <f>IF(L2059=0,0,SUMIFS('PSI Plan'!$N$6:$N$173,'PSI Plan'!$B$6:$B$173,B2059,'PSI Plan'!$C$6:$C$173,I2059))</f>
        <v>0</v>
      </c>
      <c r="O2059" s="11">
        <f t="shared" si="64"/>
        <v>0</v>
      </c>
      <c r="P2059" s="11">
        <f t="shared" si="65"/>
        <v>0</v>
      </c>
      <c r="Q2059" s="6"/>
      <c r="R2059" s="6"/>
      <c r="S2059" s="6"/>
      <c r="T2059" s="6"/>
    </row>
    <row r="2060" spans="1:20">
      <c r="A2060" s="6" t="s">
        <v>2224</v>
      </c>
      <c r="B2060" s="6" t="s">
        <v>66</v>
      </c>
      <c r="C2060" s="6" t="s">
        <v>90</v>
      </c>
      <c r="D2060" s="6" t="s">
        <v>119</v>
      </c>
      <c r="E2060" s="6" t="s">
        <v>120</v>
      </c>
      <c r="F2060" s="7">
        <v>26</v>
      </c>
      <c r="G2060" s="7">
        <v>3250</v>
      </c>
      <c r="H2060" s="16">
        <v>45206</v>
      </c>
      <c r="I2060" s="6">
        <v>40</v>
      </c>
      <c r="J2060" s="6" t="s">
        <v>1791</v>
      </c>
      <c r="K2060" s="6" t="s">
        <v>1890</v>
      </c>
      <c r="L2060" s="11">
        <f>F2060*Controls!$B$6</f>
        <v>26</v>
      </c>
      <c r="M2060" s="11">
        <f>G2060*Controls!$B$6</f>
        <v>3250</v>
      </c>
      <c r="N2060" s="12">
        <f>IF(L2060=0,0,SUMIFS('PSI Plan'!$N$6:$N$173,'PSI Plan'!$B$6:$B$173,B2060,'PSI Plan'!$C$6:$C$173,I2060))</f>
        <v>0</v>
      </c>
      <c r="O2060" s="11">
        <f t="shared" si="64"/>
        <v>0</v>
      </c>
      <c r="P2060" s="11">
        <f t="shared" si="65"/>
        <v>0</v>
      </c>
      <c r="Q2060" s="6"/>
      <c r="R2060" s="6"/>
      <c r="S2060" s="6"/>
      <c r="T2060" s="6"/>
    </row>
    <row r="2061" spans="1:20">
      <c r="A2061" s="6" t="s">
        <v>2225</v>
      </c>
      <c r="B2061" s="6" t="s">
        <v>76</v>
      </c>
      <c r="C2061" s="6" t="s">
        <v>90</v>
      </c>
      <c r="D2061" s="6" t="s">
        <v>119</v>
      </c>
      <c r="E2061" s="6" t="s">
        <v>120</v>
      </c>
      <c r="F2061" s="7">
        <v>13</v>
      </c>
      <c r="G2061" s="7">
        <v>1625</v>
      </c>
      <c r="H2061" s="16">
        <v>45254</v>
      </c>
      <c r="I2061" s="6">
        <v>47</v>
      </c>
      <c r="J2061" s="6" t="s">
        <v>1791</v>
      </c>
      <c r="K2061" s="6" t="s">
        <v>1890</v>
      </c>
      <c r="L2061" s="11">
        <f>F2061*Controls!$B$6</f>
        <v>13</v>
      </c>
      <c r="M2061" s="11">
        <f>G2061*Controls!$B$6</f>
        <v>1625</v>
      </c>
      <c r="N2061" s="12">
        <f>IF(L2061=0,0,SUMIFS('PSI Plan'!$N$6:$N$173,'PSI Plan'!$B$6:$B$173,B2061,'PSI Plan'!$C$6:$C$173,I2061))</f>
        <v>0</v>
      </c>
      <c r="O2061" s="11">
        <f t="shared" si="64"/>
        <v>0</v>
      </c>
      <c r="P2061" s="11">
        <f t="shared" si="65"/>
        <v>0</v>
      </c>
      <c r="Q2061" s="6"/>
      <c r="R2061" s="6"/>
      <c r="S2061" s="6"/>
      <c r="T2061" s="6"/>
    </row>
    <row r="2062" spans="1:20">
      <c r="A2062" s="6" t="s">
        <v>2226</v>
      </c>
      <c r="B2062" s="6" t="s">
        <v>67</v>
      </c>
      <c r="C2062" s="6" t="s">
        <v>90</v>
      </c>
      <c r="D2062" s="6" t="s">
        <v>119</v>
      </c>
      <c r="E2062" s="6" t="s">
        <v>120</v>
      </c>
      <c r="F2062" s="7">
        <v>13</v>
      </c>
      <c r="G2062" s="7">
        <v>1625</v>
      </c>
      <c r="H2062" s="16">
        <v>45203</v>
      </c>
      <c r="I2062" s="6">
        <v>40</v>
      </c>
      <c r="J2062" s="6" t="s">
        <v>1791</v>
      </c>
      <c r="K2062" s="6" t="s">
        <v>1890</v>
      </c>
      <c r="L2062" s="11">
        <f>F2062*Controls!$B$6</f>
        <v>13</v>
      </c>
      <c r="M2062" s="11">
        <f>G2062*Controls!$B$6</f>
        <v>1625</v>
      </c>
      <c r="N2062" s="12">
        <f>IF(L2062=0,0,SUMIFS('PSI Plan'!$N$6:$N$173,'PSI Plan'!$B$6:$B$173,B2062,'PSI Plan'!$C$6:$C$173,I2062))</f>
        <v>0</v>
      </c>
      <c r="O2062" s="11">
        <f t="shared" si="64"/>
        <v>0</v>
      </c>
      <c r="P2062" s="11">
        <f t="shared" si="65"/>
        <v>0</v>
      </c>
      <c r="Q2062" s="6"/>
      <c r="R2062" s="6"/>
      <c r="S2062" s="6"/>
      <c r="T2062" s="6"/>
    </row>
    <row r="2063" spans="1:20">
      <c r="A2063" s="6" t="s">
        <v>2227</v>
      </c>
      <c r="B2063" s="6" t="s">
        <v>77</v>
      </c>
      <c r="C2063" s="6" t="s">
        <v>90</v>
      </c>
      <c r="D2063" s="6" t="s">
        <v>119</v>
      </c>
      <c r="E2063" s="6" t="s">
        <v>120</v>
      </c>
      <c r="F2063" s="7">
        <v>39</v>
      </c>
      <c r="G2063" s="7">
        <v>4875</v>
      </c>
      <c r="H2063" s="16">
        <v>45256</v>
      </c>
      <c r="I2063" s="6">
        <v>48</v>
      </c>
      <c r="J2063" s="6" t="s">
        <v>121</v>
      </c>
      <c r="K2063" s="6" t="s">
        <v>725</v>
      </c>
      <c r="L2063" s="11">
        <f>F2063*Controls!$B$6</f>
        <v>39</v>
      </c>
      <c r="M2063" s="11">
        <f>G2063*Controls!$B$6</f>
        <v>4875</v>
      </c>
      <c r="N2063" s="12">
        <f>IF(L2063=0,0,SUMIFS('PSI Plan'!$N$6:$N$173,'PSI Plan'!$B$6:$B$173,B2063,'PSI Plan'!$C$6:$C$173,I2063))</f>
        <v>0</v>
      </c>
      <c r="O2063" s="11">
        <f t="shared" si="64"/>
        <v>0</v>
      </c>
      <c r="P2063" s="11">
        <f t="shared" si="65"/>
        <v>0</v>
      </c>
      <c r="Q2063" s="6"/>
      <c r="R2063" s="6"/>
      <c r="S2063" s="6"/>
      <c r="T2063" s="6"/>
    </row>
    <row r="2064" spans="1:20">
      <c r="A2064" s="6" t="s">
        <v>2228</v>
      </c>
      <c r="B2064" s="6" t="s">
        <v>69</v>
      </c>
      <c r="C2064" s="6" t="s">
        <v>90</v>
      </c>
      <c r="D2064" s="6" t="s">
        <v>119</v>
      </c>
      <c r="E2064" s="6" t="s">
        <v>120</v>
      </c>
      <c r="F2064" s="7">
        <v>13</v>
      </c>
      <c r="G2064" s="7">
        <v>1625</v>
      </c>
      <c r="H2064" s="16">
        <v>45211</v>
      </c>
      <c r="I2064" s="6">
        <v>41</v>
      </c>
      <c r="J2064" s="6" t="s">
        <v>121</v>
      </c>
      <c r="K2064" s="6" t="s">
        <v>725</v>
      </c>
      <c r="L2064" s="11">
        <f>F2064*Controls!$B$6</f>
        <v>13</v>
      </c>
      <c r="M2064" s="11">
        <f>G2064*Controls!$B$6</f>
        <v>1625</v>
      </c>
      <c r="N2064" s="12">
        <f>IF(L2064=0,0,SUMIFS('PSI Plan'!$N$6:$N$173,'PSI Plan'!$B$6:$B$173,B2064,'PSI Plan'!$C$6:$C$173,I2064))</f>
        <v>0</v>
      </c>
      <c r="O2064" s="11">
        <f t="shared" si="64"/>
        <v>0</v>
      </c>
      <c r="P2064" s="11">
        <f t="shared" si="65"/>
        <v>0</v>
      </c>
      <c r="Q2064" s="6"/>
      <c r="R2064" s="6"/>
      <c r="S2064" s="6"/>
      <c r="T2064" s="6"/>
    </row>
    <row r="2065" spans="1:20">
      <c r="A2065" s="6" t="s">
        <v>2229</v>
      </c>
      <c r="B2065" s="6" t="s">
        <v>66</v>
      </c>
      <c r="C2065" s="6" t="s">
        <v>90</v>
      </c>
      <c r="D2065" s="6" t="s">
        <v>119</v>
      </c>
      <c r="E2065" s="6" t="s">
        <v>120</v>
      </c>
      <c r="F2065" s="7">
        <v>52</v>
      </c>
      <c r="G2065" s="7">
        <v>6500</v>
      </c>
      <c r="H2065" s="16">
        <v>45219</v>
      </c>
      <c r="I2065" s="6">
        <v>42</v>
      </c>
      <c r="J2065" s="6" t="s">
        <v>121</v>
      </c>
      <c r="K2065" s="6" t="s">
        <v>122</v>
      </c>
      <c r="L2065" s="11">
        <f>F2065*Controls!$B$6</f>
        <v>52</v>
      </c>
      <c r="M2065" s="11">
        <f>G2065*Controls!$B$6</f>
        <v>6500</v>
      </c>
      <c r="N2065" s="12">
        <f>IF(L2065=0,0,SUMIFS('PSI Plan'!$N$6:$N$173,'PSI Plan'!$B$6:$B$173,B2065,'PSI Plan'!$C$6:$C$173,I2065))</f>
        <v>0.59807073954983925</v>
      </c>
      <c r="O2065" s="11">
        <f t="shared" si="64"/>
        <v>31.09967845659164</v>
      </c>
      <c r="P2065" s="11">
        <f t="shared" si="65"/>
        <v>3887.4598070739553</v>
      </c>
      <c r="Q2065" s="6"/>
      <c r="R2065" s="6"/>
      <c r="S2065" s="6"/>
      <c r="T2065" s="6"/>
    </row>
    <row r="2066" spans="1:20">
      <c r="A2066" s="6" t="s">
        <v>2230</v>
      </c>
      <c r="B2066" s="6" t="s">
        <v>77</v>
      </c>
      <c r="C2066" s="6" t="s">
        <v>90</v>
      </c>
      <c r="D2066" s="6" t="s">
        <v>119</v>
      </c>
      <c r="E2066" s="6" t="s">
        <v>120</v>
      </c>
      <c r="F2066" s="7">
        <v>13</v>
      </c>
      <c r="G2066" s="7">
        <v>1625</v>
      </c>
      <c r="H2066" s="16">
        <v>45274</v>
      </c>
      <c r="I2066" s="6">
        <v>50</v>
      </c>
      <c r="J2066" s="6" t="s">
        <v>121</v>
      </c>
      <c r="K2066" s="6" t="s">
        <v>122</v>
      </c>
      <c r="L2066" s="11">
        <f>F2066*Controls!$B$6</f>
        <v>13</v>
      </c>
      <c r="M2066" s="11">
        <f>G2066*Controls!$B$6</f>
        <v>1625</v>
      </c>
      <c r="N2066" s="12">
        <f>IF(L2066=0,0,SUMIFS('PSI Plan'!$N$6:$N$173,'PSI Plan'!$B$6:$B$173,B2066,'PSI Plan'!$C$6:$C$173,I2066))</f>
        <v>0</v>
      </c>
      <c r="O2066" s="11">
        <f t="shared" si="64"/>
        <v>0</v>
      </c>
      <c r="P2066" s="11">
        <f t="shared" si="65"/>
        <v>0</v>
      </c>
      <c r="Q2066" s="6"/>
      <c r="R2066" s="6"/>
      <c r="S2066" s="6"/>
      <c r="T2066" s="6"/>
    </row>
    <row r="2067" spans="1:20">
      <c r="A2067" s="6" t="s">
        <v>2231</v>
      </c>
      <c r="B2067" s="6" t="s">
        <v>76</v>
      </c>
      <c r="C2067" s="6" t="s">
        <v>90</v>
      </c>
      <c r="D2067" s="6" t="s">
        <v>119</v>
      </c>
      <c r="E2067" s="6" t="s">
        <v>120</v>
      </c>
      <c r="F2067" s="7">
        <v>18</v>
      </c>
      <c r="G2067" s="7">
        <v>2250</v>
      </c>
      <c r="H2067" s="16">
        <v>45261</v>
      </c>
      <c r="I2067" s="6">
        <v>48</v>
      </c>
      <c r="J2067" s="6" t="s">
        <v>121</v>
      </c>
      <c r="K2067" s="6" t="s">
        <v>122</v>
      </c>
      <c r="L2067" s="11">
        <f>F2067*Controls!$B$6</f>
        <v>18</v>
      </c>
      <c r="M2067" s="11">
        <f>G2067*Controls!$B$6</f>
        <v>2250</v>
      </c>
      <c r="N2067" s="12">
        <f>IF(L2067=0,0,SUMIFS('PSI Plan'!$N$6:$N$173,'PSI Plan'!$B$6:$B$173,B2067,'PSI Plan'!$C$6:$C$173,I2067))</f>
        <v>0</v>
      </c>
      <c r="O2067" s="11">
        <f t="shared" si="64"/>
        <v>0</v>
      </c>
      <c r="P2067" s="11">
        <f t="shared" si="65"/>
        <v>0</v>
      </c>
      <c r="Q2067" s="6"/>
      <c r="R2067" s="6"/>
      <c r="S2067" s="6"/>
      <c r="T2067" s="6"/>
    </row>
    <row r="2068" spans="1:20">
      <c r="A2068" s="6" t="s">
        <v>2232</v>
      </c>
      <c r="B2068" s="6" t="s">
        <v>67</v>
      </c>
      <c r="C2068" s="6" t="s">
        <v>90</v>
      </c>
      <c r="D2068" s="6" t="s">
        <v>119</v>
      </c>
      <c r="E2068" s="6" t="s">
        <v>120</v>
      </c>
      <c r="F2068" s="7">
        <v>15</v>
      </c>
      <c r="G2068" s="7">
        <v>1875</v>
      </c>
      <c r="H2068" s="16">
        <v>45273</v>
      </c>
      <c r="I2068" s="6">
        <v>50</v>
      </c>
      <c r="J2068" s="6" t="s">
        <v>121</v>
      </c>
      <c r="K2068" s="6" t="s">
        <v>122</v>
      </c>
      <c r="L2068" s="11">
        <f>F2068*Controls!$B$6</f>
        <v>15</v>
      </c>
      <c r="M2068" s="11">
        <f>G2068*Controls!$B$6</f>
        <v>1875</v>
      </c>
      <c r="N2068" s="12">
        <f>IF(L2068=0,0,SUMIFS('PSI Plan'!$N$6:$N$173,'PSI Plan'!$B$6:$B$173,B2068,'PSI Plan'!$C$6:$C$173,I2068))</f>
        <v>0</v>
      </c>
      <c r="O2068" s="11">
        <f t="shared" si="64"/>
        <v>0</v>
      </c>
      <c r="P2068" s="11">
        <f t="shared" si="65"/>
        <v>0</v>
      </c>
      <c r="Q2068" s="6"/>
      <c r="R2068" s="6"/>
      <c r="S2068" s="6"/>
      <c r="T2068" s="6"/>
    </row>
    <row r="2069" spans="1:20">
      <c r="A2069" s="6" t="s">
        <v>2233</v>
      </c>
      <c r="B2069" s="6" t="s">
        <v>66</v>
      </c>
      <c r="C2069" s="6" t="s">
        <v>90</v>
      </c>
      <c r="D2069" s="6" t="s">
        <v>119</v>
      </c>
      <c r="E2069" s="6" t="s">
        <v>120</v>
      </c>
      <c r="F2069" s="7">
        <v>65</v>
      </c>
      <c r="G2069" s="7">
        <v>8125</v>
      </c>
      <c r="H2069" s="16">
        <v>45283</v>
      </c>
      <c r="I2069" s="6">
        <v>51</v>
      </c>
      <c r="J2069" s="6" t="s">
        <v>121</v>
      </c>
      <c r="K2069" s="6" t="s">
        <v>855</v>
      </c>
      <c r="L2069" s="11">
        <f>F2069*Controls!$B$6</f>
        <v>65</v>
      </c>
      <c r="M2069" s="11">
        <f>G2069*Controls!$B$6</f>
        <v>8125</v>
      </c>
      <c r="N2069" s="12">
        <f>IF(L2069=0,0,SUMIFS('PSI Plan'!$N$6:$N$173,'PSI Plan'!$B$6:$B$173,B2069,'PSI Plan'!$C$6:$C$173,I2069))</f>
        <v>0</v>
      </c>
      <c r="O2069" s="11">
        <f t="shared" si="64"/>
        <v>0</v>
      </c>
      <c r="P2069" s="11">
        <f t="shared" si="65"/>
        <v>0</v>
      </c>
      <c r="Q2069" s="6"/>
      <c r="R2069" s="6"/>
      <c r="S2069" s="6"/>
      <c r="T2069" s="6"/>
    </row>
    <row r="2070" spans="1:20">
      <c r="A2070" s="6" t="s">
        <v>2234</v>
      </c>
      <c r="B2070" s="6" t="s">
        <v>77</v>
      </c>
      <c r="C2070" s="6" t="s">
        <v>90</v>
      </c>
      <c r="D2070" s="6" t="s">
        <v>119</v>
      </c>
      <c r="E2070" s="6" t="s">
        <v>120</v>
      </c>
      <c r="F2070" s="7">
        <v>39</v>
      </c>
      <c r="G2070" s="7">
        <v>4875</v>
      </c>
      <c r="H2070" s="16">
        <v>45219</v>
      </c>
      <c r="I2070" s="6">
        <v>42</v>
      </c>
      <c r="J2070" s="6" t="s">
        <v>121</v>
      </c>
      <c r="K2070" s="6" t="s">
        <v>855</v>
      </c>
      <c r="L2070" s="11">
        <f>F2070*Controls!$B$6</f>
        <v>39</v>
      </c>
      <c r="M2070" s="11">
        <f>G2070*Controls!$B$6</f>
        <v>4875</v>
      </c>
      <c r="N2070" s="12">
        <f>IF(L2070=0,0,SUMIFS('PSI Plan'!$N$6:$N$173,'PSI Plan'!$B$6:$B$173,B2070,'PSI Plan'!$C$6:$C$173,I2070))</f>
        <v>0</v>
      </c>
      <c r="O2070" s="11">
        <f t="shared" si="64"/>
        <v>0</v>
      </c>
      <c r="P2070" s="11">
        <f t="shared" si="65"/>
        <v>0</v>
      </c>
      <c r="Q2070" s="6"/>
      <c r="R2070" s="6"/>
      <c r="S2070" s="6"/>
      <c r="T2070" s="6"/>
    </row>
    <row r="2071" spans="1:20">
      <c r="A2071" s="6" t="s">
        <v>2235</v>
      </c>
      <c r="B2071" s="6" t="s">
        <v>76</v>
      </c>
      <c r="C2071" s="6" t="s">
        <v>90</v>
      </c>
      <c r="D2071" s="6" t="s">
        <v>119</v>
      </c>
      <c r="E2071" s="6" t="s">
        <v>120</v>
      </c>
      <c r="F2071" s="7">
        <v>65</v>
      </c>
      <c r="G2071" s="7">
        <v>8125</v>
      </c>
      <c r="H2071" s="16">
        <v>45236</v>
      </c>
      <c r="I2071" s="6">
        <v>45</v>
      </c>
      <c r="J2071" s="6" t="s">
        <v>121</v>
      </c>
      <c r="K2071" s="6" t="s">
        <v>855</v>
      </c>
      <c r="L2071" s="11">
        <f>F2071*Controls!$B$6</f>
        <v>65</v>
      </c>
      <c r="M2071" s="11">
        <f>G2071*Controls!$B$6</f>
        <v>8125</v>
      </c>
      <c r="N2071" s="12">
        <f>IF(L2071=0,0,SUMIFS('PSI Plan'!$N$6:$N$173,'PSI Plan'!$B$6:$B$173,B2071,'PSI Plan'!$C$6:$C$173,I2071))</f>
        <v>0</v>
      </c>
      <c r="O2071" s="11">
        <f t="shared" si="64"/>
        <v>0</v>
      </c>
      <c r="P2071" s="11">
        <f t="shared" si="65"/>
        <v>0</v>
      </c>
      <c r="Q2071" s="6"/>
      <c r="R2071" s="6"/>
      <c r="S2071" s="6"/>
      <c r="T2071" s="6"/>
    </row>
    <row r="2072" spans="1:20">
      <c r="A2072" s="6" t="s">
        <v>2236</v>
      </c>
      <c r="B2072" s="6" t="s">
        <v>69</v>
      </c>
      <c r="C2072" s="6" t="s">
        <v>90</v>
      </c>
      <c r="D2072" s="6" t="s">
        <v>119</v>
      </c>
      <c r="E2072" s="6" t="s">
        <v>120</v>
      </c>
      <c r="F2072" s="7">
        <v>91</v>
      </c>
      <c r="G2072" s="7">
        <v>11375</v>
      </c>
      <c r="H2072" s="16">
        <v>45270</v>
      </c>
      <c r="I2072" s="6">
        <v>50</v>
      </c>
      <c r="J2072" s="6" t="s">
        <v>121</v>
      </c>
      <c r="K2072" s="6" t="s">
        <v>855</v>
      </c>
      <c r="L2072" s="11">
        <f>F2072*Controls!$B$6</f>
        <v>91</v>
      </c>
      <c r="M2072" s="11">
        <f>G2072*Controls!$B$6</f>
        <v>11375</v>
      </c>
      <c r="N2072" s="12">
        <f>IF(L2072=0,0,SUMIFS('PSI Plan'!$N$6:$N$173,'PSI Plan'!$B$6:$B$173,B2072,'PSI Plan'!$C$6:$C$173,I2072))</f>
        <v>0</v>
      </c>
      <c r="O2072" s="11">
        <f t="shared" si="64"/>
        <v>0</v>
      </c>
      <c r="P2072" s="11">
        <f t="shared" si="65"/>
        <v>0</v>
      </c>
      <c r="Q2072" s="6"/>
      <c r="R2072" s="6"/>
      <c r="S2072" s="6"/>
      <c r="T2072" s="6"/>
    </row>
    <row r="2073" spans="1:20">
      <c r="A2073" s="6" t="s">
        <v>2237</v>
      </c>
      <c r="B2073" s="6" t="s">
        <v>66</v>
      </c>
      <c r="C2073" s="6" t="s">
        <v>90</v>
      </c>
      <c r="D2073" s="6" t="s">
        <v>119</v>
      </c>
      <c r="E2073" s="6" t="s">
        <v>120</v>
      </c>
      <c r="F2073" s="7">
        <v>13</v>
      </c>
      <c r="G2073" s="7">
        <v>1625</v>
      </c>
      <c r="H2073" s="16">
        <v>45263</v>
      </c>
      <c r="I2073" s="6">
        <v>49</v>
      </c>
      <c r="J2073" s="6" t="s">
        <v>121</v>
      </c>
      <c r="K2073" s="6" t="s">
        <v>171</v>
      </c>
      <c r="L2073" s="11">
        <f>F2073*Controls!$B$6</f>
        <v>13</v>
      </c>
      <c r="M2073" s="11">
        <f>G2073*Controls!$B$6</f>
        <v>1625</v>
      </c>
      <c r="N2073" s="12">
        <f>IF(L2073=0,0,SUMIFS('PSI Plan'!$N$6:$N$173,'PSI Plan'!$B$6:$B$173,B2073,'PSI Plan'!$C$6:$C$173,I2073))</f>
        <v>0</v>
      </c>
      <c r="O2073" s="11">
        <f t="shared" si="64"/>
        <v>0</v>
      </c>
      <c r="P2073" s="11">
        <f t="shared" si="65"/>
        <v>0</v>
      </c>
      <c r="Q2073" s="6"/>
      <c r="R2073" s="6"/>
      <c r="S2073" s="6"/>
      <c r="T2073" s="6"/>
    </row>
    <row r="2074" spans="1:20">
      <c r="A2074" s="6" t="s">
        <v>2238</v>
      </c>
      <c r="B2074" s="6" t="s">
        <v>77</v>
      </c>
      <c r="C2074" s="6" t="s">
        <v>90</v>
      </c>
      <c r="D2074" s="6" t="s">
        <v>119</v>
      </c>
      <c r="E2074" s="6" t="s">
        <v>120</v>
      </c>
      <c r="F2074" s="7">
        <v>26</v>
      </c>
      <c r="G2074" s="7">
        <v>3250</v>
      </c>
      <c r="H2074" s="16">
        <v>45237</v>
      </c>
      <c r="I2074" s="6">
        <v>45</v>
      </c>
      <c r="J2074" s="6" t="s">
        <v>121</v>
      </c>
      <c r="K2074" s="6" t="s">
        <v>171</v>
      </c>
      <c r="L2074" s="11">
        <f>F2074*Controls!$B$6</f>
        <v>26</v>
      </c>
      <c r="M2074" s="11">
        <f>G2074*Controls!$B$6</f>
        <v>3250</v>
      </c>
      <c r="N2074" s="12">
        <f>IF(L2074=0,0,SUMIFS('PSI Plan'!$N$6:$N$173,'PSI Plan'!$B$6:$B$173,B2074,'PSI Plan'!$C$6:$C$173,I2074))</f>
        <v>0</v>
      </c>
      <c r="O2074" s="11">
        <f t="shared" si="64"/>
        <v>0</v>
      </c>
      <c r="P2074" s="11">
        <f t="shared" si="65"/>
        <v>0</v>
      </c>
      <c r="Q2074" s="6"/>
      <c r="R2074" s="6"/>
      <c r="S2074" s="6"/>
      <c r="T2074" s="6"/>
    </row>
    <row r="2075" spans="1:20">
      <c r="A2075" s="6" t="s">
        <v>2239</v>
      </c>
      <c r="B2075" s="6" t="s">
        <v>76</v>
      </c>
      <c r="C2075" s="6" t="s">
        <v>90</v>
      </c>
      <c r="D2075" s="6" t="s">
        <v>119</v>
      </c>
      <c r="E2075" s="6" t="s">
        <v>120</v>
      </c>
      <c r="F2075" s="7">
        <v>26</v>
      </c>
      <c r="G2075" s="7">
        <v>3250</v>
      </c>
      <c r="H2075" s="16">
        <v>45266</v>
      </c>
      <c r="I2075" s="6">
        <v>49</v>
      </c>
      <c r="J2075" s="6" t="s">
        <v>121</v>
      </c>
      <c r="K2075" s="6" t="s">
        <v>171</v>
      </c>
      <c r="L2075" s="11">
        <f>F2075*Controls!$B$6</f>
        <v>26</v>
      </c>
      <c r="M2075" s="11">
        <f>G2075*Controls!$B$6</f>
        <v>3250</v>
      </c>
      <c r="N2075" s="12">
        <f>IF(L2075=0,0,SUMIFS('PSI Plan'!$N$6:$N$173,'PSI Plan'!$B$6:$B$173,B2075,'PSI Plan'!$C$6:$C$173,I2075))</f>
        <v>0</v>
      </c>
      <c r="O2075" s="11">
        <f t="shared" si="64"/>
        <v>0</v>
      </c>
      <c r="P2075" s="11">
        <f t="shared" si="65"/>
        <v>0</v>
      </c>
      <c r="Q2075" s="6"/>
      <c r="R2075" s="6"/>
      <c r="S2075" s="6"/>
      <c r="T2075" s="6"/>
    </row>
    <row r="2076" spans="1:20">
      <c r="A2076" s="6" t="s">
        <v>2240</v>
      </c>
      <c r="B2076" s="6" t="s">
        <v>69</v>
      </c>
      <c r="C2076" s="6" t="s">
        <v>90</v>
      </c>
      <c r="D2076" s="6" t="s">
        <v>119</v>
      </c>
      <c r="E2076" s="6" t="s">
        <v>120</v>
      </c>
      <c r="F2076" s="7">
        <v>13</v>
      </c>
      <c r="G2076" s="7">
        <v>1625</v>
      </c>
      <c r="H2076" s="16">
        <v>45249</v>
      </c>
      <c r="I2076" s="6">
        <v>47</v>
      </c>
      <c r="J2076" s="6" t="s">
        <v>121</v>
      </c>
      <c r="K2076" s="6" t="s">
        <v>171</v>
      </c>
      <c r="L2076" s="11">
        <f>F2076*Controls!$B$6</f>
        <v>13</v>
      </c>
      <c r="M2076" s="11">
        <f>G2076*Controls!$B$6</f>
        <v>1625</v>
      </c>
      <c r="N2076" s="12">
        <f>IF(L2076=0,0,SUMIFS('PSI Plan'!$N$6:$N$173,'PSI Plan'!$B$6:$B$173,B2076,'PSI Plan'!$C$6:$C$173,I2076))</f>
        <v>0</v>
      </c>
      <c r="O2076" s="11">
        <f t="shared" si="64"/>
        <v>0</v>
      </c>
      <c r="P2076" s="11">
        <f t="shared" si="65"/>
        <v>0</v>
      </c>
      <c r="Q2076" s="6"/>
      <c r="R2076" s="6"/>
      <c r="S2076" s="6"/>
      <c r="T2076" s="6"/>
    </row>
    <row r="2077" spans="1:20">
      <c r="A2077" s="6" t="s">
        <v>2241</v>
      </c>
      <c r="B2077" s="6" t="s">
        <v>66</v>
      </c>
      <c r="C2077" s="6" t="s">
        <v>100</v>
      </c>
      <c r="D2077" s="6" t="s">
        <v>567</v>
      </c>
      <c r="E2077" s="6" t="s">
        <v>120</v>
      </c>
      <c r="F2077" s="7">
        <v>33</v>
      </c>
      <c r="G2077" s="7">
        <v>4125</v>
      </c>
      <c r="H2077" s="16">
        <v>45269</v>
      </c>
      <c r="I2077" s="6">
        <v>49</v>
      </c>
      <c r="J2077" s="6" t="s">
        <v>121</v>
      </c>
      <c r="K2077" s="6" t="s">
        <v>781</v>
      </c>
      <c r="L2077" s="11">
        <f>F2077*Controls!$B$6</f>
        <v>33</v>
      </c>
      <c r="M2077" s="11">
        <f>G2077*Controls!$B$6</f>
        <v>4125</v>
      </c>
      <c r="N2077" s="12">
        <f>IF(L2077=0,0,SUMIFS('PSI Plan'!$N$6:$N$173,'PSI Plan'!$B$6:$B$173,B2077,'PSI Plan'!$C$6:$C$173,I2077))</f>
        <v>0</v>
      </c>
      <c r="O2077" s="11">
        <f t="shared" si="64"/>
        <v>0</v>
      </c>
      <c r="P2077" s="11">
        <f t="shared" si="65"/>
        <v>0</v>
      </c>
      <c r="Q2077" s="6"/>
      <c r="R2077" s="6"/>
      <c r="S2077" s="6"/>
      <c r="T2077" s="6"/>
    </row>
    <row r="2078" spans="1:20">
      <c r="A2078" s="6" t="s">
        <v>2242</v>
      </c>
      <c r="B2078" s="6" t="s">
        <v>67</v>
      </c>
      <c r="C2078" s="6" t="s">
        <v>100</v>
      </c>
      <c r="D2078" s="6" t="s">
        <v>567</v>
      </c>
      <c r="E2078" s="6" t="s">
        <v>120</v>
      </c>
      <c r="F2078" s="7">
        <v>11</v>
      </c>
      <c r="G2078" s="7">
        <v>1375</v>
      </c>
      <c r="H2078" s="16">
        <v>45272</v>
      </c>
      <c r="I2078" s="6">
        <v>50</v>
      </c>
      <c r="J2078" s="6" t="s">
        <v>121</v>
      </c>
      <c r="K2078" s="6" t="s">
        <v>781</v>
      </c>
      <c r="L2078" s="11">
        <f>F2078*Controls!$B$6</f>
        <v>11</v>
      </c>
      <c r="M2078" s="11">
        <f>G2078*Controls!$B$6</f>
        <v>1375</v>
      </c>
      <c r="N2078" s="12">
        <f>IF(L2078=0,0,SUMIFS('PSI Plan'!$N$6:$N$173,'PSI Plan'!$B$6:$B$173,B2078,'PSI Plan'!$C$6:$C$173,I2078))</f>
        <v>0</v>
      </c>
      <c r="O2078" s="11">
        <f t="shared" si="64"/>
        <v>0</v>
      </c>
      <c r="P2078" s="11">
        <f t="shared" si="65"/>
        <v>0</v>
      </c>
      <c r="Q2078" s="6"/>
      <c r="R2078" s="6"/>
      <c r="S2078" s="6"/>
      <c r="T2078" s="6"/>
    </row>
    <row r="2079" spans="1:20">
      <c r="A2079" s="6" t="s">
        <v>2243</v>
      </c>
      <c r="B2079" s="6" t="s">
        <v>69</v>
      </c>
      <c r="C2079" s="6" t="s">
        <v>100</v>
      </c>
      <c r="D2079" s="6" t="s">
        <v>567</v>
      </c>
      <c r="E2079" s="6" t="s">
        <v>120</v>
      </c>
      <c r="F2079" s="7">
        <v>6</v>
      </c>
      <c r="G2079" s="7">
        <v>750</v>
      </c>
      <c r="H2079" s="16">
        <v>45239</v>
      </c>
      <c r="I2079" s="6">
        <v>45</v>
      </c>
      <c r="J2079" s="6" t="s">
        <v>121</v>
      </c>
      <c r="K2079" s="6" t="s">
        <v>781</v>
      </c>
      <c r="L2079" s="11">
        <f>F2079*Controls!$B$6</f>
        <v>6</v>
      </c>
      <c r="M2079" s="11">
        <f>G2079*Controls!$B$6</f>
        <v>750</v>
      </c>
      <c r="N2079" s="12">
        <f>IF(L2079=0,0,SUMIFS('PSI Plan'!$N$6:$N$173,'PSI Plan'!$B$6:$B$173,B2079,'PSI Plan'!$C$6:$C$173,I2079))</f>
        <v>0</v>
      </c>
      <c r="O2079" s="11">
        <f t="shared" si="64"/>
        <v>0</v>
      </c>
      <c r="P2079" s="11">
        <f t="shared" si="65"/>
        <v>0</v>
      </c>
      <c r="Q2079" s="6"/>
      <c r="R2079" s="6"/>
      <c r="S2079" s="6"/>
      <c r="T2079" s="6"/>
    </row>
    <row r="2080" spans="1:20">
      <c r="A2080" s="6" t="s">
        <v>2244</v>
      </c>
      <c r="B2080" s="6" t="s">
        <v>66</v>
      </c>
      <c r="C2080" s="6" t="s">
        <v>99</v>
      </c>
      <c r="D2080" s="6" t="s">
        <v>319</v>
      </c>
      <c r="E2080" s="6" t="s">
        <v>120</v>
      </c>
      <c r="F2080" s="7">
        <v>34</v>
      </c>
      <c r="G2080" s="7">
        <v>4250</v>
      </c>
      <c r="H2080" s="16">
        <v>45236</v>
      </c>
      <c r="I2080" s="6">
        <v>45</v>
      </c>
      <c r="J2080" s="6" t="s">
        <v>121</v>
      </c>
      <c r="K2080" s="6" t="s">
        <v>459</v>
      </c>
      <c r="L2080" s="11">
        <f>F2080*Controls!$B$6</f>
        <v>34</v>
      </c>
      <c r="M2080" s="11">
        <f>G2080*Controls!$B$6</f>
        <v>4250</v>
      </c>
      <c r="N2080" s="12">
        <f>IF(L2080=0,0,SUMIFS('PSI Plan'!$N$6:$N$173,'PSI Plan'!$B$6:$B$173,B2080,'PSI Plan'!$C$6:$C$173,I2080))</f>
        <v>0</v>
      </c>
      <c r="O2080" s="11">
        <f t="shared" si="64"/>
        <v>0</v>
      </c>
      <c r="P2080" s="11">
        <f t="shared" si="65"/>
        <v>0</v>
      </c>
      <c r="Q2080" s="6"/>
      <c r="R2080" s="6"/>
      <c r="S2080" s="6"/>
      <c r="T2080" s="6"/>
    </row>
    <row r="2081" spans="1:20">
      <c r="A2081" s="6" t="s">
        <v>2245</v>
      </c>
      <c r="B2081" s="6" t="s">
        <v>77</v>
      </c>
      <c r="C2081" s="6" t="s">
        <v>99</v>
      </c>
      <c r="D2081" s="6" t="s">
        <v>319</v>
      </c>
      <c r="E2081" s="6" t="s">
        <v>120</v>
      </c>
      <c r="F2081" s="7">
        <v>34</v>
      </c>
      <c r="G2081" s="7">
        <v>4250</v>
      </c>
      <c r="H2081" s="16">
        <v>45244</v>
      </c>
      <c r="I2081" s="6">
        <v>46</v>
      </c>
      <c r="J2081" s="6" t="s">
        <v>121</v>
      </c>
      <c r="K2081" s="6" t="s">
        <v>459</v>
      </c>
      <c r="L2081" s="11">
        <f>F2081*Controls!$B$6</f>
        <v>34</v>
      </c>
      <c r="M2081" s="11">
        <f>G2081*Controls!$B$6</f>
        <v>4250</v>
      </c>
      <c r="N2081" s="12">
        <f>IF(L2081=0,0,SUMIFS('PSI Plan'!$N$6:$N$173,'PSI Plan'!$B$6:$B$173,B2081,'PSI Plan'!$C$6:$C$173,I2081))</f>
        <v>0</v>
      </c>
      <c r="O2081" s="11">
        <f t="shared" si="64"/>
        <v>0</v>
      </c>
      <c r="P2081" s="11">
        <f t="shared" si="65"/>
        <v>0</v>
      </c>
      <c r="Q2081" s="6"/>
      <c r="R2081" s="6"/>
      <c r="S2081" s="6"/>
      <c r="T2081" s="6"/>
    </row>
    <row r="2082" spans="1:20">
      <c r="A2082" s="6" t="s">
        <v>2246</v>
      </c>
      <c r="B2082" s="6" t="s">
        <v>69</v>
      </c>
      <c r="C2082" s="6" t="s">
        <v>99</v>
      </c>
      <c r="D2082" s="6" t="s">
        <v>319</v>
      </c>
      <c r="E2082" s="6" t="s">
        <v>120</v>
      </c>
      <c r="F2082" s="7">
        <v>34</v>
      </c>
      <c r="G2082" s="7">
        <v>4250</v>
      </c>
      <c r="H2082" s="16">
        <v>45224</v>
      </c>
      <c r="I2082" s="6">
        <v>43</v>
      </c>
      <c r="J2082" s="6" t="s">
        <v>121</v>
      </c>
      <c r="K2082" s="6" t="s">
        <v>459</v>
      </c>
      <c r="L2082" s="11">
        <f>F2082*Controls!$B$6</f>
        <v>34</v>
      </c>
      <c r="M2082" s="11">
        <f>G2082*Controls!$B$6</f>
        <v>4250</v>
      </c>
      <c r="N2082" s="12">
        <f>IF(L2082=0,0,SUMIFS('PSI Plan'!$N$6:$N$173,'PSI Plan'!$B$6:$B$173,B2082,'PSI Plan'!$C$6:$C$173,I2082))</f>
        <v>0</v>
      </c>
      <c r="O2082" s="11">
        <f t="shared" si="64"/>
        <v>0</v>
      </c>
      <c r="P2082" s="11">
        <f t="shared" si="65"/>
        <v>0</v>
      </c>
      <c r="Q2082" s="6"/>
      <c r="R2082" s="6"/>
      <c r="S2082" s="6"/>
      <c r="T2082" s="6"/>
    </row>
    <row r="2083" spans="1:20">
      <c r="A2083" s="6" t="s">
        <v>2247</v>
      </c>
      <c r="B2083" s="6" t="s">
        <v>66</v>
      </c>
      <c r="C2083" s="6" t="s">
        <v>99</v>
      </c>
      <c r="D2083" s="6" t="s">
        <v>319</v>
      </c>
      <c r="E2083" s="6" t="s">
        <v>120</v>
      </c>
      <c r="F2083" s="7">
        <v>14</v>
      </c>
      <c r="G2083" s="7">
        <v>1750</v>
      </c>
      <c r="H2083" s="16">
        <v>45290</v>
      </c>
      <c r="I2083" s="6">
        <v>52</v>
      </c>
      <c r="J2083" s="6" t="s">
        <v>121</v>
      </c>
      <c r="K2083" s="6" t="s">
        <v>374</v>
      </c>
      <c r="L2083" s="11">
        <f>F2083*Controls!$B$6</f>
        <v>14</v>
      </c>
      <c r="M2083" s="11">
        <f>G2083*Controls!$B$6</f>
        <v>1750</v>
      </c>
      <c r="N2083" s="12">
        <f>IF(L2083=0,0,SUMIFS('PSI Plan'!$N$6:$N$173,'PSI Plan'!$B$6:$B$173,B2083,'PSI Plan'!$C$6:$C$173,I2083))</f>
        <v>0</v>
      </c>
      <c r="O2083" s="11">
        <f t="shared" si="64"/>
        <v>0</v>
      </c>
      <c r="P2083" s="11">
        <f t="shared" si="65"/>
        <v>0</v>
      </c>
      <c r="Q2083" s="6"/>
      <c r="R2083" s="6"/>
      <c r="S2083" s="6"/>
      <c r="T2083" s="6"/>
    </row>
    <row r="2084" spans="1:20">
      <c r="A2084" s="6" t="s">
        <v>2248</v>
      </c>
      <c r="B2084" s="6" t="s">
        <v>77</v>
      </c>
      <c r="C2084" s="6" t="s">
        <v>99</v>
      </c>
      <c r="D2084" s="6" t="s">
        <v>319</v>
      </c>
      <c r="E2084" s="6" t="s">
        <v>120</v>
      </c>
      <c r="F2084" s="7">
        <v>20</v>
      </c>
      <c r="G2084" s="7">
        <v>2500</v>
      </c>
      <c r="H2084" s="16">
        <v>45208</v>
      </c>
      <c r="I2084" s="6">
        <v>41</v>
      </c>
      <c r="J2084" s="6" t="s">
        <v>121</v>
      </c>
      <c r="K2084" s="6" t="s">
        <v>374</v>
      </c>
      <c r="L2084" s="11">
        <f>F2084*Controls!$B$6</f>
        <v>20</v>
      </c>
      <c r="M2084" s="11">
        <f>G2084*Controls!$B$6</f>
        <v>2500</v>
      </c>
      <c r="N2084" s="12">
        <f>IF(L2084=0,0,SUMIFS('PSI Plan'!$N$6:$N$173,'PSI Plan'!$B$6:$B$173,B2084,'PSI Plan'!$C$6:$C$173,I2084))</f>
        <v>0</v>
      </c>
      <c r="O2084" s="11">
        <f t="shared" si="64"/>
        <v>0</v>
      </c>
      <c r="P2084" s="11">
        <f t="shared" si="65"/>
        <v>0</v>
      </c>
      <c r="Q2084" s="6"/>
      <c r="R2084" s="6"/>
      <c r="S2084" s="6"/>
      <c r="T2084" s="6"/>
    </row>
    <row r="2085" spans="1:20">
      <c r="A2085" s="6" t="s">
        <v>2249</v>
      </c>
      <c r="B2085" s="6" t="s">
        <v>76</v>
      </c>
      <c r="C2085" s="6" t="s">
        <v>99</v>
      </c>
      <c r="D2085" s="6" t="s">
        <v>319</v>
      </c>
      <c r="E2085" s="6" t="s">
        <v>120</v>
      </c>
      <c r="F2085" s="7">
        <v>20</v>
      </c>
      <c r="G2085" s="7">
        <v>2500</v>
      </c>
      <c r="H2085" s="16">
        <v>45249</v>
      </c>
      <c r="I2085" s="6">
        <v>47</v>
      </c>
      <c r="J2085" s="6" t="s">
        <v>121</v>
      </c>
      <c r="K2085" s="6" t="s">
        <v>374</v>
      </c>
      <c r="L2085" s="11">
        <f>F2085*Controls!$B$6</f>
        <v>20</v>
      </c>
      <c r="M2085" s="11">
        <f>G2085*Controls!$B$6</f>
        <v>2500</v>
      </c>
      <c r="N2085" s="12">
        <f>IF(L2085=0,0,SUMIFS('PSI Plan'!$N$6:$N$173,'PSI Plan'!$B$6:$B$173,B2085,'PSI Plan'!$C$6:$C$173,I2085))</f>
        <v>0</v>
      </c>
      <c r="O2085" s="11">
        <f t="shared" si="64"/>
        <v>0</v>
      </c>
      <c r="P2085" s="11">
        <f t="shared" si="65"/>
        <v>0</v>
      </c>
      <c r="Q2085" s="6"/>
      <c r="R2085" s="6"/>
      <c r="S2085" s="6"/>
      <c r="T2085" s="6"/>
    </row>
    <row r="2086" spans="1:20">
      <c r="A2086" s="6" t="s">
        <v>2250</v>
      </c>
      <c r="B2086" s="6" t="s">
        <v>67</v>
      </c>
      <c r="C2086" s="6" t="s">
        <v>99</v>
      </c>
      <c r="D2086" s="6" t="s">
        <v>319</v>
      </c>
      <c r="E2086" s="6" t="s">
        <v>120</v>
      </c>
      <c r="F2086" s="7">
        <v>10</v>
      </c>
      <c r="G2086" s="7">
        <v>1250</v>
      </c>
      <c r="H2086" s="16">
        <v>45212</v>
      </c>
      <c r="I2086" s="6">
        <v>41</v>
      </c>
      <c r="J2086" s="6" t="s">
        <v>121</v>
      </c>
      <c r="K2086" s="6" t="s">
        <v>374</v>
      </c>
      <c r="L2086" s="11">
        <f>F2086*Controls!$B$6</f>
        <v>10</v>
      </c>
      <c r="M2086" s="11">
        <f>G2086*Controls!$B$6</f>
        <v>1250</v>
      </c>
      <c r="N2086" s="12">
        <f>IF(L2086=0,0,SUMIFS('PSI Plan'!$N$6:$N$173,'PSI Plan'!$B$6:$B$173,B2086,'PSI Plan'!$C$6:$C$173,I2086))</f>
        <v>0</v>
      </c>
      <c r="O2086" s="11">
        <f t="shared" si="64"/>
        <v>0</v>
      </c>
      <c r="P2086" s="11">
        <f t="shared" si="65"/>
        <v>0</v>
      </c>
      <c r="Q2086" s="6"/>
      <c r="R2086" s="6"/>
      <c r="S2086" s="6"/>
      <c r="T2086" s="6"/>
    </row>
    <row r="2087" spans="1:20">
      <c r="A2087" s="6" t="s">
        <v>2251</v>
      </c>
      <c r="B2087" s="6" t="s">
        <v>69</v>
      </c>
      <c r="C2087" s="6" t="s">
        <v>99</v>
      </c>
      <c r="D2087" s="6" t="s">
        <v>319</v>
      </c>
      <c r="E2087" s="6" t="s">
        <v>120</v>
      </c>
      <c r="F2087" s="7">
        <v>8</v>
      </c>
      <c r="G2087" s="7">
        <v>1000</v>
      </c>
      <c r="H2087" s="16">
        <v>45209</v>
      </c>
      <c r="I2087" s="6">
        <v>41</v>
      </c>
      <c r="J2087" s="6" t="s">
        <v>121</v>
      </c>
      <c r="K2087" s="6" t="s">
        <v>374</v>
      </c>
      <c r="L2087" s="11">
        <f>F2087*Controls!$B$6</f>
        <v>8</v>
      </c>
      <c r="M2087" s="11">
        <f>G2087*Controls!$B$6</f>
        <v>1000</v>
      </c>
      <c r="N2087" s="12">
        <f>IF(L2087=0,0,SUMIFS('PSI Plan'!$N$6:$N$173,'PSI Plan'!$B$6:$B$173,B2087,'PSI Plan'!$C$6:$C$173,I2087))</f>
        <v>0</v>
      </c>
      <c r="O2087" s="11">
        <f t="shared" si="64"/>
        <v>0</v>
      </c>
      <c r="P2087" s="11">
        <f t="shared" si="65"/>
        <v>0</v>
      </c>
      <c r="Q2087" s="6"/>
      <c r="R2087" s="6"/>
      <c r="S2087" s="6"/>
      <c r="T2087" s="6"/>
    </row>
    <row r="2088" spans="1:20">
      <c r="A2088" s="6" t="s">
        <v>2252</v>
      </c>
      <c r="B2088" s="6" t="s">
        <v>66</v>
      </c>
      <c r="C2088" s="6" t="s">
        <v>90</v>
      </c>
      <c r="D2088" s="6" t="s">
        <v>119</v>
      </c>
      <c r="E2088" s="6" t="s">
        <v>120</v>
      </c>
      <c r="F2088" s="7">
        <v>26</v>
      </c>
      <c r="G2088" s="7">
        <v>3250</v>
      </c>
      <c r="H2088" s="16">
        <v>45275</v>
      </c>
      <c r="I2088" s="6">
        <v>50</v>
      </c>
      <c r="J2088" s="6" t="s">
        <v>1791</v>
      </c>
      <c r="K2088" s="6" t="s">
        <v>1890</v>
      </c>
      <c r="L2088" s="11">
        <f>F2088*Controls!$B$6</f>
        <v>26</v>
      </c>
      <c r="M2088" s="11">
        <f>G2088*Controls!$B$6</f>
        <v>3250</v>
      </c>
      <c r="N2088" s="12">
        <f>IF(L2088=0,0,SUMIFS('PSI Plan'!$N$6:$N$173,'PSI Plan'!$B$6:$B$173,B2088,'PSI Plan'!$C$6:$C$173,I2088))</f>
        <v>0</v>
      </c>
      <c r="O2088" s="11">
        <f t="shared" si="64"/>
        <v>0</v>
      </c>
      <c r="P2088" s="11">
        <f t="shared" si="65"/>
        <v>0</v>
      </c>
      <c r="Q2088" s="6"/>
      <c r="R2088" s="6"/>
      <c r="S2088" s="6"/>
      <c r="T2088" s="6"/>
    </row>
    <row r="2089" spans="1:20">
      <c r="A2089" s="6" t="s">
        <v>2253</v>
      </c>
      <c r="B2089" s="6" t="s">
        <v>67</v>
      </c>
      <c r="C2089" s="6" t="s">
        <v>90</v>
      </c>
      <c r="D2089" s="6" t="s">
        <v>119</v>
      </c>
      <c r="E2089" s="6" t="s">
        <v>120</v>
      </c>
      <c r="F2089" s="7">
        <v>26</v>
      </c>
      <c r="G2089" s="7">
        <v>3250</v>
      </c>
      <c r="H2089" s="16">
        <v>45277</v>
      </c>
      <c r="I2089" s="6">
        <v>51</v>
      </c>
      <c r="J2089" s="6" t="s">
        <v>1791</v>
      </c>
      <c r="K2089" s="6" t="s">
        <v>1890</v>
      </c>
      <c r="L2089" s="11">
        <f>F2089*Controls!$B$6</f>
        <v>26</v>
      </c>
      <c r="M2089" s="11">
        <f>G2089*Controls!$B$6</f>
        <v>3250</v>
      </c>
      <c r="N2089" s="12">
        <f>IF(L2089=0,0,SUMIFS('PSI Plan'!$N$6:$N$173,'PSI Plan'!$B$6:$B$173,B2089,'PSI Plan'!$C$6:$C$173,I2089))</f>
        <v>0</v>
      </c>
      <c r="O2089" s="11">
        <f t="shared" si="64"/>
        <v>0</v>
      </c>
      <c r="P2089" s="11">
        <f t="shared" si="65"/>
        <v>0</v>
      </c>
      <c r="Q2089" s="6"/>
      <c r="R2089" s="6"/>
      <c r="S2089" s="6"/>
      <c r="T2089" s="6"/>
    </row>
    <row r="2090" spans="1:20">
      <c r="A2090" s="6" t="s">
        <v>2254</v>
      </c>
      <c r="B2090" s="6" t="s">
        <v>77</v>
      </c>
      <c r="C2090" s="6" t="s">
        <v>90</v>
      </c>
      <c r="D2090" s="6" t="s">
        <v>119</v>
      </c>
      <c r="E2090" s="6" t="s">
        <v>120</v>
      </c>
      <c r="F2090" s="7">
        <v>10</v>
      </c>
      <c r="G2090" s="7">
        <v>1250</v>
      </c>
      <c r="H2090" s="16">
        <v>45246</v>
      </c>
      <c r="I2090" s="6">
        <v>46</v>
      </c>
      <c r="J2090" s="6" t="s">
        <v>121</v>
      </c>
      <c r="K2090" s="6" t="s">
        <v>1547</v>
      </c>
      <c r="L2090" s="11">
        <f>F2090*Controls!$B$6</f>
        <v>10</v>
      </c>
      <c r="M2090" s="11">
        <f>G2090*Controls!$B$6</f>
        <v>1250</v>
      </c>
      <c r="N2090" s="12">
        <f>IF(L2090=0,0,SUMIFS('PSI Plan'!$N$6:$N$173,'PSI Plan'!$B$6:$B$173,B2090,'PSI Plan'!$C$6:$C$173,I2090))</f>
        <v>0</v>
      </c>
      <c r="O2090" s="11">
        <f t="shared" si="64"/>
        <v>0</v>
      </c>
      <c r="P2090" s="11">
        <f t="shared" si="65"/>
        <v>0</v>
      </c>
      <c r="Q2090" s="6"/>
      <c r="R2090" s="6"/>
      <c r="S2090" s="6"/>
      <c r="T2090" s="6"/>
    </row>
    <row r="2091" spans="1:20">
      <c r="A2091" s="6" t="s">
        <v>2255</v>
      </c>
      <c r="B2091" s="6" t="s">
        <v>69</v>
      </c>
      <c r="C2091" s="6" t="s">
        <v>90</v>
      </c>
      <c r="D2091" s="6" t="s">
        <v>119</v>
      </c>
      <c r="E2091" s="6" t="s">
        <v>120</v>
      </c>
      <c r="F2091" s="7">
        <v>10</v>
      </c>
      <c r="G2091" s="7">
        <v>1250</v>
      </c>
      <c r="H2091" s="16">
        <v>45217</v>
      </c>
      <c r="I2091" s="6">
        <v>42</v>
      </c>
      <c r="J2091" s="6" t="s">
        <v>121</v>
      </c>
      <c r="K2091" s="6" t="s">
        <v>1547</v>
      </c>
      <c r="L2091" s="11">
        <f>F2091*Controls!$B$6</f>
        <v>10</v>
      </c>
      <c r="M2091" s="11">
        <f>G2091*Controls!$B$6</f>
        <v>1250</v>
      </c>
      <c r="N2091" s="12">
        <f>IF(L2091=0,0,SUMIFS('PSI Plan'!$N$6:$N$173,'PSI Plan'!$B$6:$B$173,B2091,'PSI Plan'!$C$6:$C$173,I2091))</f>
        <v>0</v>
      </c>
      <c r="O2091" s="11">
        <f t="shared" si="64"/>
        <v>0</v>
      </c>
      <c r="P2091" s="11">
        <f t="shared" si="65"/>
        <v>0</v>
      </c>
      <c r="Q2091" s="6"/>
      <c r="R2091" s="6"/>
      <c r="S2091" s="6"/>
      <c r="T2091" s="6"/>
    </row>
    <row r="2092" spans="1:20">
      <c r="A2092" s="6" t="s">
        <v>2256</v>
      </c>
      <c r="B2092" s="6" t="s">
        <v>66</v>
      </c>
      <c r="C2092" s="6" t="s">
        <v>90</v>
      </c>
      <c r="D2092" s="6" t="s">
        <v>119</v>
      </c>
      <c r="E2092" s="6" t="s">
        <v>120</v>
      </c>
      <c r="F2092" s="7">
        <v>52</v>
      </c>
      <c r="G2092" s="7">
        <v>6500</v>
      </c>
      <c r="H2092" s="16">
        <v>45257</v>
      </c>
      <c r="I2092" s="6">
        <v>48</v>
      </c>
      <c r="J2092" s="6" t="s">
        <v>121</v>
      </c>
      <c r="K2092" s="6" t="s">
        <v>122</v>
      </c>
      <c r="L2092" s="11">
        <f>F2092*Controls!$B$6</f>
        <v>52</v>
      </c>
      <c r="M2092" s="11">
        <f>G2092*Controls!$B$6</f>
        <v>6500</v>
      </c>
      <c r="N2092" s="12">
        <f>IF(L2092=0,0,SUMIFS('PSI Plan'!$N$6:$N$173,'PSI Plan'!$B$6:$B$173,B2092,'PSI Plan'!$C$6:$C$173,I2092))</f>
        <v>0</v>
      </c>
      <c r="O2092" s="11">
        <f t="shared" si="64"/>
        <v>0</v>
      </c>
      <c r="P2092" s="11">
        <f t="shared" si="65"/>
        <v>0</v>
      </c>
      <c r="Q2092" s="6"/>
      <c r="R2092" s="6"/>
      <c r="S2092" s="6"/>
      <c r="T2092" s="6"/>
    </row>
    <row r="2093" spans="1:20">
      <c r="A2093" s="6" t="s">
        <v>2257</v>
      </c>
      <c r="B2093" s="6" t="s">
        <v>77</v>
      </c>
      <c r="C2093" s="6" t="s">
        <v>90</v>
      </c>
      <c r="D2093" s="6" t="s">
        <v>119</v>
      </c>
      <c r="E2093" s="6" t="s">
        <v>120</v>
      </c>
      <c r="F2093" s="7">
        <v>52</v>
      </c>
      <c r="G2093" s="7">
        <v>6500</v>
      </c>
      <c r="H2093" s="16">
        <v>45211</v>
      </c>
      <c r="I2093" s="6">
        <v>41</v>
      </c>
      <c r="J2093" s="6" t="s">
        <v>121</v>
      </c>
      <c r="K2093" s="6" t="s">
        <v>122</v>
      </c>
      <c r="L2093" s="11">
        <f>F2093*Controls!$B$6</f>
        <v>52</v>
      </c>
      <c r="M2093" s="11">
        <f>G2093*Controls!$B$6</f>
        <v>6500</v>
      </c>
      <c r="N2093" s="12">
        <f>IF(L2093=0,0,SUMIFS('PSI Plan'!$N$6:$N$173,'PSI Plan'!$B$6:$B$173,B2093,'PSI Plan'!$C$6:$C$173,I2093))</f>
        <v>0</v>
      </c>
      <c r="O2093" s="11">
        <f t="shared" si="64"/>
        <v>0</v>
      </c>
      <c r="P2093" s="11">
        <f t="shared" si="65"/>
        <v>0</v>
      </c>
      <c r="Q2093" s="6"/>
      <c r="R2093" s="6"/>
      <c r="S2093" s="6"/>
      <c r="T2093" s="6"/>
    </row>
    <row r="2094" spans="1:20">
      <c r="A2094" s="6" t="s">
        <v>2258</v>
      </c>
      <c r="B2094" s="6" t="s">
        <v>76</v>
      </c>
      <c r="C2094" s="6" t="s">
        <v>90</v>
      </c>
      <c r="D2094" s="6" t="s">
        <v>119</v>
      </c>
      <c r="E2094" s="6" t="s">
        <v>120</v>
      </c>
      <c r="F2094" s="7">
        <v>52</v>
      </c>
      <c r="G2094" s="7">
        <v>6500</v>
      </c>
      <c r="H2094" s="16">
        <v>45245</v>
      </c>
      <c r="I2094" s="6">
        <v>46</v>
      </c>
      <c r="J2094" s="6" t="s">
        <v>121</v>
      </c>
      <c r="K2094" s="6" t="s">
        <v>122</v>
      </c>
      <c r="L2094" s="11">
        <f>F2094*Controls!$B$6</f>
        <v>52</v>
      </c>
      <c r="M2094" s="11">
        <f>G2094*Controls!$B$6</f>
        <v>6500</v>
      </c>
      <c r="N2094" s="12">
        <f>IF(L2094=0,0,SUMIFS('PSI Plan'!$N$6:$N$173,'PSI Plan'!$B$6:$B$173,B2094,'PSI Plan'!$C$6:$C$173,I2094))</f>
        <v>0</v>
      </c>
      <c r="O2094" s="11">
        <f t="shared" si="64"/>
        <v>0</v>
      </c>
      <c r="P2094" s="11">
        <f t="shared" si="65"/>
        <v>0</v>
      </c>
      <c r="Q2094" s="6"/>
      <c r="R2094" s="6"/>
      <c r="S2094" s="6"/>
      <c r="T2094" s="6"/>
    </row>
    <row r="2095" spans="1:20">
      <c r="A2095" s="6" t="s">
        <v>2259</v>
      </c>
      <c r="B2095" s="6" t="s">
        <v>67</v>
      </c>
      <c r="C2095" s="6" t="s">
        <v>90</v>
      </c>
      <c r="D2095" s="6" t="s">
        <v>119</v>
      </c>
      <c r="E2095" s="6" t="s">
        <v>120</v>
      </c>
      <c r="F2095" s="7">
        <v>39</v>
      </c>
      <c r="G2095" s="7">
        <v>4875</v>
      </c>
      <c r="H2095" s="16">
        <v>45259</v>
      </c>
      <c r="I2095" s="6">
        <v>48</v>
      </c>
      <c r="J2095" s="6" t="s">
        <v>121</v>
      </c>
      <c r="K2095" s="6" t="s">
        <v>122</v>
      </c>
      <c r="L2095" s="11">
        <f>F2095*Controls!$B$6</f>
        <v>39</v>
      </c>
      <c r="M2095" s="11">
        <f>G2095*Controls!$B$6</f>
        <v>4875</v>
      </c>
      <c r="N2095" s="12">
        <f>IF(L2095=0,0,SUMIFS('PSI Plan'!$N$6:$N$173,'PSI Plan'!$B$6:$B$173,B2095,'PSI Plan'!$C$6:$C$173,I2095))</f>
        <v>0</v>
      </c>
      <c r="O2095" s="11">
        <f t="shared" si="64"/>
        <v>0</v>
      </c>
      <c r="P2095" s="11">
        <f t="shared" si="65"/>
        <v>0</v>
      </c>
      <c r="Q2095" s="6"/>
      <c r="R2095" s="6"/>
      <c r="S2095" s="6"/>
      <c r="T2095" s="6"/>
    </row>
    <row r="2096" spans="1:20">
      <c r="A2096" s="6" t="s">
        <v>2260</v>
      </c>
      <c r="B2096" s="6" t="s">
        <v>69</v>
      </c>
      <c r="C2096" s="6" t="s">
        <v>90</v>
      </c>
      <c r="D2096" s="6" t="s">
        <v>119</v>
      </c>
      <c r="E2096" s="6" t="s">
        <v>120</v>
      </c>
      <c r="F2096" s="7">
        <v>104</v>
      </c>
      <c r="G2096" s="7">
        <v>13000</v>
      </c>
      <c r="H2096" s="16">
        <v>45203</v>
      </c>
      <c r="I2096" s="6">
        <v>40</v>
      </c>
      <c r="J2096" s="6" t="s">
        <v>121</v>
      </c>
      <c r="K2096" s="6" t="s">
        <v>122</v>
      </c>
      <c r="L2096" s="11">
        <f>F2096*Controls!$B$6</f>
        <v>104</v>
      </c>
      <c r="M2096" s="11">
        <f>G2096*Controls!$B$6</f>
        <v>13000</v>
      </c>
      <c r="N2096" s="12">
        <f>IF(L2096=0,0,SUMIFS('PSI Plan'!$N$6:$N$173,'PSI Plan'!$B$6:$B$173,B2096,'PSI Plan'!$C$6:$C$173,I2096))</f>
        <v>0</v>
      </c>
      <c r="O2096" s="11">
        <f t="shared" si="64"/>
        <v>0</v>
      </c>
      <c r="P2096" s="11">
        <f t="shared" si="65"/>
        <v>0</v>
      </c>
      <c r="Q2096" s="6"/>
      <c r="R2096" s="6"/>
      <c r="S2096" s="6"/>
      <c r="T2096" s="6"/>
    </row>
    <row r="2097" spans="1:20">
      <c r="A2097" s="6" t="s">
        <v>2261</v>
      </c>
      <c r="B2097" s="6" t="s">
        <v>66</v>
      </c>
      <c r="C2097" s="6" t="s">
        <v>90</v>
      </c>
      <c r="D2097" s="6" t="s">
        <v>119</v>
      </c>
      <c r="E2097" s="6" t="s">
        <v>120</v>
      </c>
      <c r="F2097" s="7">
        <v>13</v>
      </c>
      <c r="G2097" s="7">
        <v>1625</v>
      </c>
      <c r="H2097" s="16">
        <v>45237</v>
      </c>
      <c r="I2097" s="6">
        <v>45</v>
      </c>
      <c r="J2097" s="6" t="s">
        <v>121</v>
      </c>
      <c r="K2097" s="6" t="s">
        <v>139</v>
      </c>
      <c r="L2097" s="11">
        <f>F2097*Controls!$B$6</f>
        <v>13</v>
      </c>
      <c r="M2097" s="11">
        <f>G2097*Controls!$B$6</f>
        <v>1625</v>
      </c>
      <c r="N2097" s="12">
        <f>IF(L2097=0,0,SUMIFS('PSI Plan'!$N$6:$N$173,'PSI Plan'!$B$6:$B$173,B2097,'PSI Plan'!$C$6:$C$173,I2097))</f>
        <v>0</v>
      </c>
      <c r="O2097" s="11">
        <f t="shared" si="64"/>
        <v>0</v>
      </c>
      <c r="P2097" s="11">
        <f t="shared" si="65"/>
        <v>0</v>
      </c>
      <c r="Q2097" s="6"/>
      <c r="R2097" s="6"/>
      <c r="S2097" s="6"/>
      <c r="T2097" s="6"/>
    </row>
    <row r="2098" spans="1:20">
      <c r="A2098" s="6" t="s">
        <v>2262</v>
      </c>
      <c r="B2098" s="6" t="s">
        <v>77</v>
      </c>
      <c r="C2098" s="6" t="s">
        <v>90</v>
      </c>
      <c r="D2098" s="6" t="s">
        <v>119</v>
      </c>
      <c r="E2098" s="6" t="s">
        <v>120</v>
      </c>
      <c r="F2098" s="7">
        <v>13</v>
      </c>
      <c r="G2098" s="7">
        <v>1625</v>
      </c>
      <c r="H2098" s="16">
        <v>45212</v>
      </c>
      <c r="I2098" s="6">
        <v>41</v>
      </c>
      <c r="J2098" s="6" t="s">
        <v>121</v>
      </c>
      <c r="K2098" s="6" t="s">
        <v>139</v>
      </c>
      <c r="L2098" s="11">
        <f>F2098*Controls!$B$6</f>
        <v>13</v>
      </c>
      <c r="M2098" s="11">
        <f>G2098*Controls!$B$6</f>
        <v>1625</v>
      </c>
      <c r="N2098" s="12">
        <f>IF(L2098=0,0,SUMIFS('PSI Plan'!$N$6:$N$173,'PSI Plan'!$B$6:$B$173,B2098,'PSI Plan'!$C$6:$C$173,I2098))</f>
        <v>0</v>
      </c>
      <c r="O2098" s="11">
        <f t="shared" si="64"/>
        <v>0</v>
      </c>
      <c r="P2098" s="11">
        <f t="shared" si="65"/>
        <v>0</v>
      </c>
      <c r="Q2098" s="6"/>
      <c r="R2098" s="6"/>
      <c r="S2098" s="6"/>
      <c r="T2098" s="6"/>
    </row>
    <row r="2099" spans="1:20">
      <c r="A2099" s="6" t="s">
        <v>2263</v>
      </c>
      <c r="B2099" s="6" t="s">
        <v>76</v>
      </c>
      <c r="C2099" s="6" t="s">
        <v>90</v>
      </c>
      <c r="D2099" s="6" t="s">
        <v>119</v>
      </c>
      <c r="E2099" s="6" t="s">
        <v>120</v>
      </c>
      <c r="F2099" s="7">
        <v>13</v>
      </c>
      <c r="G2099" s="7">
        <v>1625</v>
      </c>
      <c r="H2099" s="16">
        <v>45233</v>
      </c>
      <c r="I2099" s="6">
        <v>44</v>
      </c>
      <c r="J2099" s="6" t="s">
        <v>121</v>
      </c>
      <c r="K2099" s="6" t="s">
        <v>139</v>
      </c>
      <c r="L2099" s="11">
        <f>F2099*Controls!$B$6</f>
        <v>13</v>
      </c>
      <c r="M2099" s="11">
        <f>G2099*Controls!$B$6</f>
        <v>1625</v>
      </c>
      <c r="N2099" s="12">
        <f>IF(L2099=0,0,SUMIFS('PSI Plan'!$N$6:$N$173,'PSI Plan'!$B$6:$B$173,B2099,'PSI Plan'!$C$6:$C$173,I2099))</f>
        <v>0</v>
      </c>
      <c r="O2099" s="11">
        <f t="shared" si="64"/>
        <v>0</v>
      </c>
      <c r="P2099" s="11">
        <f t="shared" si="65"/>
        <v>0</v>
      </c>
      <c r="Q2099" s="6"/>
      <c r="R2099" s="6"/>
      <c r="S2099" s="6"/>
      <c r="T2099" s="6"/>
    </row>
    <row r="2100" spans="1:20">
      <c r="A2100" s="6" t="s">
        <v>2264</v>
      </c>
      <c r="B2100" s="6" t="s">
        <v>69</v>
      </c>
      <c r="C2100" s="6" t="s">
        <v>90</v>
      </c>
      <c r="D2100" s="6" t="s">
        <v>119</v>
      </c>
      <c r="E2100" s="6" t="s">
        <v>120</v>
      </c>
      <c r="F2100" s="7">
        <v>13</v>
      </c>
      <c r="G2100" s="7">
        <v>1625</v>
      </c>
      <c r="H2100" s="16">
        <v>45229</v>
      </c>
      <c r="I2100" s="6">
        <v>44</v>
      </c>
      <c r="J2100" s="6" t="s">
        <v>121</v>
      </c>
      <c r="K2100" s="6" t="s">
        <v>139</v>
      </c>
      <c r="L2100" s="11">
        <f>F2100*Controls!$B$6</f>
        <v>13</v>
      </c>
      <c r="M2100" s="11">
        <f>G2100*Controls!$B$6</f>
        <v>1625</v>
      </c>
      <c r="N2100" s="12">
        <f>IF(L2100=0,0,SUMIFS('PSI Plan'!$N$6:$N$173,'PSI Plan'!$B$6:$B$173,B2100,'PSI Plan'!$C$6:$C$173,I2100))</f>
        <v>0</v>
      </c>
      <c r="O2100" s="11">
        <f t="shared" si="64"/>
        <v>0</v>
      </c>
      <c r="P2100" s="11">
        <f t="shared" si="65"/>
        <v>0</v>
      </c>
      <c r="Q2100" s="6"/>
      <c r="R2100" s="6"/>
      <c r="S2100" s="6"/>
      <c r="T2100" s="6"/>
    </row>
    <row r="2101" spans="1:20">
      <c r="A2101" s="6" t="s">
        <v>2265</v>
      </c>
      <c r="B2101" s="6" t="s">
        <v>66</v>
      </c>
      <c r="C2101" s="6" t="s">
        <v>90</v>
      </c>
      <c r="D2101" s="6" t="s">
        <v>119</v>
      </c>
      <c r="E2101" s="6" t="s">
        <v>120</v>
      </c>
      <c r="F2101" s="7">
        <v>13</v>
      </c>
      <c r="G2101" s="7">
        <v>1625</v>
      </c>
      <c r="H2101" s="16">
        <v>45281</v>
      </c>
      <c r="I2101" s="6">
        <v>51</v>
      </c>
      <c r="J2101" s="6" t="s">
        <v>121</v>
      </c>
      <c r="K2101" s="6" t="s">
        <v>169</v>
      </c>
      <c r="L2101" s="11">
        <f>F2101*Controls!$B$6</f>
        <v>13</v>
      </c>
      <c r="M2101" s="11">
        <f>G2101*Controls!$B$6</f>
        <v>1625</v>
      </c>
      <c r="N2101" s="12">
        <f>IF(L2101=0,0,SUMIFS('PSI Plan'!$N$6:$N$173,'PSI Plan'!$B$6:$B$173,B2101,'PSI Plan'!$C$6:$C$173,I2101))</f>
        <v>0</v>
      </c>
      <c r="O2101" s="11">
        <f t="shared" si="64"/>
        <v>0</v>
      </c>
      <c r="P2101" s="11">
        <f t="shared" si="65"/>
        <v>0</v>
      </c>
      <c r="Q2101" s="6"/>
      <c r="R2101" s="6"/>
      <c r="S2101" s="6"/>
      <c r="T2101" s="6"/>
    </row>
    <row r="2102" spans="1:20">
      <c r="A2102" s="6" t="s">
        <v>2266</v>
      </c>
      <c r="B2102" s="6" t="s">
        <v>77</v>
      </c>
      <c r="C2102" s="6" t="s">
        <v>90</v>
      </c>
      <c r="D2102" s="6" t="s">
        <v>119</v>
      </c>
      <c r="E2102" s="6" t="s">
        <v>120</v>
      </c>
      <c r="F2102" s="7">
        <v>13</v>
      </c>
      <c r="G2102" s="7">
        <v>1625</v>
      </c>
      <c r="H2102" s="16">
        <v>45218</v>
      </c>
      <c r="I2102" s="6">
        <v>42</v>
      </c>
      <c r="J2102" s="6" t="s">
        <v>121</v>
      </c>
      <c r="K2102" s="6" t="s">
        <v>169</v>
      </c>
      <c r="L2102" s="11">
        <f>F2102*Controls!$B$6</f>
        <v>13</v>
      </c>
      <c r="M2102" s="11">
        <f>G2102*Controls!$B$6</f>
        <v>1625</v>
      </c>
      <c r="N2102" s="12">
        <f>IF(L2102=0,0,SUMIFS('PSI Plan'!$N$6:$N$173,'PSI Plan'!$B$6:$B$173,B2102,'PSI Plan'!$C$6:$C$173,I2102))</f>
        <v>0</v>
      </c>
      <c r="O2102" s="11">
        <f t="shared" si="64"/>
        <v>0</v>
      </c>
      <c r="P2102" s="11">
        <f t="shared" si="65"/>
        <v>0</v>
      </c>
      <c r="Q2102" s="6"/>
      <c r="R2102" s="6"/>
      <c r="S2102" s="6"/>
      <c r="T2102" s="6"/>
    </row>
    <row r="2103" spans="1:20">
      <c r="A2103" s="6" t="s">
        <v>2267</v>
      </c>
      <c r="B2103" s="6" t="s">
        <v>69</v>
      </c>
      <c r="C2103" s="6" t="s">
        <v>90</v>
      </c>
      <c r="D2103" s="6" t="s">
        <v>119</v>
      </c>
      <c r="E2103" s="6" t="s">
        <v>120</v>
      </c>
      <c r="F2103" s="7">
        <v>13</v>
      </c>
      <c r="G2103" s="7">
        <v>1625</v>
      </c>
      <c r="H2103" s="16">
        <v>45232</v>
      </c>
      <c r="I2103" s="6">
        <v>44</v>
      </c>
      <c r="J2103" s="6" t="s">
        <v>121</v>
      </c>
      <c r="K2103" s="6" t="s">
        <v>169</v>
      </c>
      <c r="L2103" s="11">
        <f>F2103*Controls!$B$6</f>
        <v>13</v>
      </c>
      <c r="M2103" s="11">
        <f>G2103*Controls!$B$6</f>
        <v>1625</v>
      </c>
      <c r="N2103" s="12">
        <f>IF(L2103=0,0,SUMIFS('PSI Plan'!$N$6:$N$173,'PSI Plan'!$B$6:$B$173,B2103,'PSI Plan'!$C$6:$C$173,I2103))</f>
        <v>0</v>
      </c>
      <c r="O2103" s="11">
        <f t="shared" si="64"/>
        <v>0</v>
      </c>
      <c r="P2103" s="11">
        <f t="shared" si="65"/>
        <v>0</v>
      </c>
      <c r="Q2103" s="6"/>
      <c r="R2103" s="6"/>
      <c r="S2103" s="6"/>
      <c r="T2103" s="6"/>
    </row>
    <row r="2104" spans="1:20">
      <c r="A2104" s="6" t="s">
        <v>2268</v>
      </c>
      <c r="B2104" s="6" t="s">
        <v>66</v>
      </c>
      <c r="C2104" s="6" t="s">
        <v>101</v>
      </c>
      <c r="D2104" s="6" t="s">
        <v>567</v>
      </c>
      <c r="E2104" s="6" t="s">
        <v>120</v>
      </c>
      <c r="F2104" s="7">
        <v>13</v>
      </c>
      <c r="G2104" s="7">
        <v>1625</v>
      </c>
      <c r="H2104" s="16">
        <v>45204</v>
      </c>
      <c r="I2104" s="6">
        <v>40</v>
      </c>
      <c r="J2104" s="6" t="s">
        <v>1791</v>
      </c>
      <c r="K2104" s="6" t="s">
        <v>1792</v>
      </c>
      <c r="L2104" s="11">
        <f>F2104*Controls!$B$6</f>
        <v>13</v>
      </c>
      <c r="M2104" s="11">
        <f>G2104*Controls!$B$6</f>
        <v>1625</v>
      </c>
      <c r="N2104" s="12">
        <f>IF(L2104=0,0,SUMIFS('PSI Plan'!$N$6:$N$173,'PSI Plan'!$B$6:$B$173,B2104,'PSI Plan'!$C$6:$C$173,I2104))</f>
        <v>0</v>
      </c>
      <c r="O2104" s="11">
        <f t="shared" si="64"/>
        <v>0</v>
      </c>
      <c r="P2104" s="11">
        <f t="shared" si="65"/>
        <v>0</v>
      </c>
      <c r="Q2104" s="6"/>
      <c r="R2104" s="6"/>
      <c r="S2104" s="6"/>
      <c r="T2104" s="6"/>
    </row>
    <row r="2105" spans="1:20">
      <c r="A2105" s="6" t="s">
        <v>2269</v>
      </c>
      <c r="B2105" s="6" t="s">
        <v>66</v>
      </c>
      <c r="C2105" s="6" t="s">
        <v>101</v>
      </c>
      <c r="D2105" s="6" t="s">
        <v>567</v>
      </c>
      <c r="E2105" s="6" t="s">
        <v>120</v>
      </c>
      <c r="F2105" s="7">
        <v>13</v>
      </c>
      <c r="G2105" s="7">
        <v>1625</v>
      </c>
      <c r="H2105" s="16">
        <v>45268</v>
      </c>
      <c r="I2105" s="6">
        <v>49</v>
      </c>
      <c r="J2105" s="6" t="s">
        <v>1791</v>
      </c>
      <c r="K2105" s="6" t="s">
        <v>1792</v>
      </c>
      <c r="L2105" s="11">
        <f>F2105*Controls!$B$6</f>
        <v>13</v>
      </c>
      <c r="M2105" s="11">
        <f>G2105*Controls!$B$6</f>
        <v>1625</v>
      </c>
      <c r="N2105" s="12">
        <f>IF(L2105=0,0,SUMIFS('PSI Plan'!$N$6:$N$173,'PSI Plan'!$B$6:$B$173,B2105,'PSI Plan'!$C$6:$C$173,I2105))</f>
        <v>0</v>
      </c>
      <c r="O2105" s="11">
        <f t="shared" si="64"/>
        <v>0</v>
      </c>
      <c r="P2105" s="11">
        <f t="shared" si="65"/>
        <v>0</v>
      </c>
      <c r="Q2105" s="6"/>
      <c r="R2105" s="6"/>
      <c r="S2105" s="6"/>
      <c r="T2105" s="6"/>
    </row>
    <row r="2106" spans="1:20">
      <c r="A2106" s="6" t="s">
        <v>2270</v>
      </c>
      <c r="B2106" s="6" t="s">
        <v>76</v>
      </c>
      <c r="C2106" s="6" t="s">
        <v>101</v>
      </c>
      <c r="D2106" s="6" t="s">
        <v>567</v>
      </c>
      <c r="E2106" s="6" t="s">
        <v>120</v>
      </c>
      <c r="F2106" s="7">
        <v>13</v>
      </c>
      <c r="G2106" s="7">
        <v>1625</v>
      </c>
      <c r="H2106" s="16">
        <v>45226</v>
      </c>
      <c r="I2106" s="6">
        <v>43</v>
      </c>
      <c r="J2106" s="6" t="s">
        <v>1791</v>
      </c>
      <c r="K2106" s="6" t="s">
        <v>1792</v>
      </c>
      <c r="L2106" s="11">
        <f>F2106*Controls!$B$6</f>
        <v>13</v>
      </c>
      <c r="M2106" s="11">
        <f>G2106*Controls!$B$6</f>
        <v>1625</v>
      </c>
      <c r="N2106" s="12">
        <f>IF(L2106=0,0,SUMIFS('PSI Plan'!$N$6:$N$173,'PSI Plan'!$B$6:$B$173,B2106,'PSI Plan'!$C$6:$C$173,I2106))</f>
        <v>0</v>
      </c>
      <c r="O2106" s="11">
        <f t="shared" si="64"/>
        <v>0</v>
      </c>
      <c r="P2106" s="11">
        <f t="shared" si="65"/>
        <v>0</v>
      </c>
      <c r="Q2106" s="6"/>
      <c r="R2106" s="6"/>
      <c r="S2106" s="6"/>
      <c r="T2106" s="6"/>
    </row>
    <row r="2107" spans="1:20">
      <c r="A2107" s="6" t="s">
        <v>2271</v>
      </c>
      <c r="B2107" s="6" t="s">
        <v>67</v>
      </c>
      <c r="C2107" s="6" t="s">
        <v>101</v>
      </c>
      <c r="D2107" s="6" t="s">
        <v>567</v>
      </c>
      <c r="E2107" s="6" t="s">
        <v>120</v>
      </c>
      <c r="F2107" s="7">
        <v>26</v>
      </c>
      <c r="G2107" s="7">
        <v>3250</v>
      </c>
      <c r="H2107" s="16">
        <v>45270</v>
      </c>
      <c r="I2107" s="6">
        <v>50</v>
      </c>
      <c r="J2107" s="6" t="s">
        <v>1791</v>
      </c>
      <c r="K2107" s="6" t="s">
        <v>1792</v>
      </c>
      <c r="L2107" s="11">
        <f>F2107*Controls!$B$6</f>
        <v>26</v>
      </c>
      <c r="M2107" s="11">
        <f>G2107*Controls!$B$6</f>
        <v>3250</v>
      </c>
      <c r="N2107" s="12">
        <f>IF(L2107=0,0,SUMIFS('PSI Plan'!$N$6:$N$173,'PSI Plan'!$B$6:$B$173,B2107,'PSI Plan'!$C$6:$C$173,I2107))</f>
        <v>0</v>
      </c>
      <c r="O2107" s="11">
        <f t="shared" si="64"/>
        <v>0</v>
      </c>
      <c r="P2107" s="11">
        <f t="shared" si="65"/>
        <v>0</v>
      </c>
      <c r="Q2107" s="6"/>
      <c r="R2107" s="6"/>
      <c r="S2107" s="6"/>
      <c r="T2107" s="6"/>
    </row>
    <row r="2108" spans="1:20">
      <c r="A2108" s="6" t="s">
        <v>2272</v>
      </c>
      <c r="B2108" s="6" t="s">
        <v>69</v>
      </c>
      <c r="C2108" s="6" t="s">
        <v>101</v>
      </c>
      <c r="D2108" s="6" t="s">
        <v>567</v>
      </c>
      <c r="E2108" s="6" t="s">
        <v>120</v>
      </c>
      <c r="F2108" s="7">
        <v>26</v>
      </c>
      <c r="G2108" s="7">
        <v>3250</v>
      </c>
      <c r="H2108" s="16">
        <v>45211</v>
      </c>
      <c r="I2108" s="6">
        <v>41</v>
      </c>
      <c r="J2108" s="6" t="s">
        <v>1791</v>
      </c>
      <c r="K2108" s="6" t="s">
        <v>1792</v>
      </c>
      <c r="L2108" s="11">
        <f>F2108*Controls!$B$6</f>
        <v>26</v>
      </c>
      <c r="M2108" s="11">
        <f>G2108*Controls!$B$6</f>
        <v>3250</v>
      </c>
      <c r="N2108" s="12">
        <f>IF(L2108=0,0,SUMIFS('PSI Plan'!$N$6:$N$173,'PSI Plan'!$B$6:$B$173,B2108,'PSI Plan'!$C$6:$C$173,I2108))</f>
        <v>0</v>
      </c>
      <c r="O2108" s="11">
        <f t="shared" si="64"/>
        <v>0</v>
      </c>
      <c r="P2108" s="11">
        <f t="shared" si="65"/>
        <v>0</v>
      </c>
      <c r="Q2108" s="6"/>
      <c r="R2108" s="6"/>
      <c r="S2108" s="6"/>
      <c r="T2108" s="6"/>
    </row>
    <row r="2109" spans="1:20">
      <c r="A2109" s="6" t="s">
        <v>2273</v>
      </c>
      <c r="B2109" s="6" t="s">
        <v>66</v>
      </c>
      <c r="C2109" s="6" t="s">
        <v>90</v>
      </c>
      <c r="D2109" s="6" t="s">
        <v>119</v>
      </c>
      <c r="E2109" s="6" t="s">
        <v>120</v>
      </c>
      <c r="F2109" s="7">
        <v>39</v>
      </c>
      <c r="G2109" s="7">
        <v>4875</v>
      </c>
      <c r="H2109" s="16">
        <v>45208</v>
      </c>
      <c r="I2109" s="6">
        <v>41</v>
      </c>
      <c r="J2109" s="6" t="s">
        <v>1791</v>
      </c>
      <c r="K2109" s="6" t="s">
        <v>1890</v>
      </c>
      <c r="L2109" s="11">
        <f>F2109*Controls!$B$6</f>
        <v>39</v>
      </c>
      <c r="M2109" s="11">
        <f>G2109*Controls!$B$6</f>
        <v>4875</v>
      </c>
      <c r="N2109" s="12">
        <f>IF(L2109=0,0,SUMIFS('PSI Plan'!$N$6:$N$173,'PSI Plan'!$B$6:$B$173,B2109,'PSI Plan'!$C$6:$C$173,I2109))</f>
        <v>0.22897465437788017</v>
      </c>
      <c r="O2109" s="11">
        <f t="shared" si="64"/>
        <v>8.9300115207373274</v>
      </c>
      <c r="P2109" s="11">
        <f t="shared" si="65"/>
        <v>1116.2514400921659</v>
      </c>
      <c r="Q2109" s="6"/>
      <c r="R2109" s="6"/>
      <c r="S2109" s="6"/>
      <c r="T2109" s="6"/>
    </row>
    <row r="2110" spans="1:20">
      <c r="A2110" s="6" t="s">
        <v>2274</v>
      </c>
      <c r="B2110" s="6" t="s">
        <v>66</v>
      </c>
      <c r="C2110" s="6" t="s">
        <v>90</v>
      </c>
      <c r="D2110" s="6" t="s">
        <v>119</v>
      </c>
      <c r="E2110" s="6" t="s">
        <v>120</v>
      </c>
      <c r="F2110" s="7">
        <v>26</v>
      </c>
      <c r="G2110" s="7">
        <v>3250</v>
      </c>
      <c r="H2110" s="16">
        <v>45200</v>
      </c>
      <c r="I2110" s="6">
        <v>40</v>
      </c>
      <c r="J2110" s="6" t="s">
        <v>1791</v>
      </c>
      <c r="K2110" s="6" t="s">
        <v>1890</v>
      </c>
      <c r="L2110" s="11">
        <f>F2110*Controls!$B$6</f>
        <v>26</v>
      </c>
      <c r="M2110" s="11">
        <f>G2110*Controls!$B$6</f>
        <v>3250</v>
      </c>
      <c r="N2110" s="12">
        <f>IF(L2110=0,0,SUMIFS('PSI Plan'!$N$6:$N$173,'PSI Plan'!$B$6:$B$173,B2110,'PSI Plan'!$C$6:$C$173,I2110))</f>
        <v>0</v>
      </c>
      <c r="O2110" s="11">
        <f t="shared" si="64"/>
        <v>0</v>
      </c>
      <c r="P2110" s="11">
        <f t="shared" si="65"/>
        <v>0</v>
      </c>
      <c r="Q2110" s="6"/>
      <c r="R2110" s="6"/>
      <c r="S2110" s="6"/>
      <c r="T2110" s="6"/>
    </row>
    <row r="2111" spans="1:20">
      <c r="A2111" s="6" t="s">
        <v>2275</v>
      </c>
      <c r="B2111" s="6" t="s">
        <v>76</v>
      </c>
      <c r="C2111" s="6" t="s">
        <v>90</v>
      </c>
      <c r="D2111" s="6" t="s">
        <v>119</v>
      </c>
      <c r="E2111" s="6" t="s">
        <v>120</v>
      </c>
      <c r="F2111" s="7">
        <v>13</v>
      </c>
      <c r="G2111" s="7">
        <v>1625</v>
      </c>
      <c r="H2111" s="16">
        <v>45243</v>
      </c>
      <c r="I2111" s="6">
        <v>46</v>
      </c>
      <c r="J2111" s="6" t="s">
        <v>1791</v>
      </c>
      <c r="K2111" s="6" t="s">
        <v>1890</v>
      </c>
      <c r="L2111" s="11">
        <f>F2111*Controls!$B$6</f>
        <v>13</v>
      </c>
      <c r="M2111" s="11">
        <f>G2111*Controls!$B$6</f>
        <v>1625</v>
      </c>
      <c r="N2111" s="12">
        <f>IF(L2111=0,0,SUMIFS('PSI Plan'!$N$6:$N$173,'PSI Plan'!$B$6:$B$173,B2111,'PSI Plan'!$C$6:$C$173,I2111))</f>
        <v>0</v>
      </c>
      <c r="O2111" s="11">
        <f t="shared" si="64"/>
        <v>0</v>
      </c>
      <c r="P2111" s="11">
        <f t="shared" si="65"/>
        <v>0</v>
      </c>
      <c r="Q2111" s="6"/>
      <c r="R2111" s="6"/>
      <c r="S2111" s="6"/>
      <c r="T2111" s="6"/>
    </row>
    <row r="2112" spans="1:20">
      <c r="A2112" s="6" t="s">
        <v>2276</v>
      </c>
      <c r="B2112" s="6" t="s">
        <v>77</v>
      </c>
      <c r="C2112" s="6" t="s">
        <v>90</v>
      </c>
      <c r="D2112" s="6" t="s">
        <v>119</v>
      </c>
      <c r="E2112" s="6" t="s">
        <v>120</v>
      </c>
      <c r="F2112" s="7">
        <v>13</v>
      </c>
      <c r="G2112" s="7">
        <v>1625</v>
      </c>
      <c r="H2112" s="16">
        <v>45268</v>
      </c>
      <c r="I2112" s="6">
        <v>49</v>
      </c>
      <c r="J2112" s="6" t="s">
        <v>121</v>
      </c>
      <c r="K2112" s="6" t="s">
        <v>725</v>
      </c>
      <c r="L2112" s="11">
        <f>F2112*Controls!$B$6</f>
        <v>13</v>
      </c>
      <c r="M2112" s="11">
        <f>G2112*Controls!$B$6</f>
        <v>1625</v>
      </c>
      <c r="N2112" s="12">
        <f>IF(L2112=0,0,SUMIFS('PSI Plan'!$N$6:$N$173,'PSI Plan'!$B$6:$B$173,B2112,'PSI Plan'!$C$6:$C$173,I2112))</f>
        <v>0</v>
      </c>
      <c r="O2112" s="11">
        <f t="shared" si="64"/>
        <v>0</v>
      </c>
      <c r="P2112" s="11">
        <f t="shared" si="65"/>
        <v>0</v>
      </c>
      <c r="Q2112" s="6"/>
      <c r="R2112" s="6"/>
      <c r="S2112" s="6"/>
      <c r="T2112" s="6"/>
    </row>
    <row r="2113" spans="1:20">
      <c r="A2113" s="6" t="s">
        <v>2277</v>
      </c>
      <c r="B2113" s="6" t="s">
        <v>69</v>
      </c>
      <c r="C2113" s="6" t="s">
        <v>90</v>
      </c>
      <c r="D2113" s="6" t="s">
        <v>119</v>
      </c>
      <c r="E2113" s="6" t="s">
        <v>120</v>
      </c>
      <c r="F2113" s="7">
        <v>13</v>
      </c>
      <c r="G2113" s="7">
        <v>1625</v>
      </c>
      <c r="H2113" s="16">
        <v>45223</v>
      </c>
      <c r="I2113" s="6">
        <v>43</v>
      </c>
      <c r="J2113" s="6" t="s">
        <v>121</v>
      </c>
      <c r="K2113" s="6" t="s">
        <v>725</v>
      </c>
      <c r="L2113" s="11">
        <f>F2113*Controls!$B$6</f>
        <v>13</v>
      </c>
      <c r="M2113" s="11">
        <f>G2113*Controls!$B$6</f>
        <v>1625</v>
      </c>
      <c r="N2113" s="12">
        <f>IF(L2113=0,0,SUMIFS('PSI Plan'!$N$6:$N$173,'PSI Plan'!$B$6:$B$173,B2113,'PSI Plan'!$C$6:$C$173,I2113))</f>
        <v>0</v>
      </c>
      <c r="O2113" s="11">
        <f t="shared" si="64"/>
        <v>0</v>
      </c>
      <c r="P2113" s="11">
        <f t="shared" si="65"/>
        <v>0</v>
      </c>
      <c r="Q2113" s="6"/>
      <c r="R2113" s="6"/>
      <c r="S2113" s="6"/>
      <c r="T2113" s="6"/>
    </row>
    <row r="2114" spans="1:20">
      <c r="A2114" s="6" t="s">
        <v>2278</v>
      </c>
      <c r="B2114" s="6" t="s">
        <v>77</v>
      </c>
      <c r="C2114" s="6" t="s">
        <v>90</v>
      </c>
      <c r="D2114" s="6" t="s">
        <v>119</v>
      </c>
      <c r="E2114" s="6" t="s">
        <v>120</v>
      </c>
      <c r="F2114" s="7">
        <v>26</v>
      </c>
      <c r="G2114" s="7">
        <v>3250</v>
      </c>
      <c r="H2114" s="16">
        <v>45239</v>
      </c>
      <c r="I2114" s="6">
        <v>45</v>
      </c>
      <c r="J2114" s="6" t="s">
        <v>121</v>
      </c>
      <c r="K2114" s="6" t="s">
        <v>122</v>
      </c>
      <c r="L2114" s="11">
        <f>F2114*Controls!$B$6</f>
        <v>26</v>
      </c>
      <c r="M2114" s="11">
        <f>G2114*Controls!$B$6</f>
        <v>3250</v>
      </c>
      <c r="N2114" s="12">
        <f>IF(L2114=0,0,SUMIFS('PSI Plan'!$N$6:$N$173,'PSI Plan'!$B$6:$B$173,B2114,'PSI Plan'!$C$6:$C$173,I2114))</f>
        <v>0</v>
      </c>
      <c r="O2114" s="11">
        <f t="shared" ref="O2114:O2177" si="66">L2114*N2114</f>
        <v>0</v>
      </c>
      <c r="P2114" s="11">
        <f t="shared" ref="P2114:P2177" si="67">M2114*N2114</f>
        <v>0</v>
      </c>
      <c r="Q2114" s="6"/>
      <c r="R2114" s="6"/>
      <c r="S2114" s="6"/>
      <c r="T2114" s="6"/>
    </row>
    <row r="2115" spans="1:20">
      <c r="A2115" s="6" t="s">
        <v>2279</v>
      </c>
      <c r="B2115" s="6" t="s">
        <v>76</v>
      </c>
      <c r="C2115" s="6" t="s">
        <v>90</v>
      </c>
      <c r="D2115" s="6" t="s">
        <v>119</v>
      </c>
      <c r="E2115" s="6" t="s">
        <v>120</v>
      </c>
      <c r="F2115" s="7">
        <v>39</v>
      </c>
      <c r="G2115" s="7">
        <v>4875</v>
      </c>
      <c r="H2115" s="16">
        <v>45278</v>
      </c>
      <c r="I2115" s="6">
        <v>51</v>
      </c>
      <c r="J2115" s="6" t="s">
        <v>121</v>
      </c>
      <c r="K2115" s="6" t="s">
        <v>122</v>
      </c>
      <c r="L2115" s="11">
        <f>F2115*Controls!$B$6</f>
        <v>39</v>
      </c>
      <c r="M2115" s="11">
        <f>G2115*Controls!$B$6</f>
        <v>4875</v>
      </c>
      <c r="N2115" s="12">
        <f>IF(L2115=0,0,SUMIFS('PSI Plan'!$N$6:$N$173,'PSI Plan'!$B$6:$B$173,B2115,'PSI Plan'!$C$6:$C$173,I2115))</f>
        <v>0</v>
      </c>
      <c r="O2115" s="11">
        <f t="shared" si="66"/>
        <v>0</v>
      </c>
      <c r="P2115" s="11">
        <f t="shared" si="67"/>
        <v>0</v>
      </c>
      <c r="Q2115" s="6"/>
      <c r="R2115" s="6"/>
      <c r="S2115" s="6"/>
      <c r="T2115" s="6"/>
    </row>
    <row r="2116" spans="1:20">
      <c r="A2116" s="6" t="s">
        <v>2280</v>
      </c>
      <c r="B2116" s="6" t="s">
        <v>67</v>
      </c>
      <c r="C2116" s="6" t="s">
        <v>90</v>
      </c>
      <c r="D2116" s="6" t="s">
        <v>119</v>
      </c>
      <c r="E2116" s="6" t="s">
        <v>120</v>
      </c>
      <c r="F2116" s="7">
        <v>13</v>
      </c>
      <c r="G2116" s="7">
        <v>1625</v>
      </c>
      <c r="H2116" s="16">
        <v>45239</v>
      </c>
      <c r="I2116" s="6">
        <v>45</v>
      </c>
      <c r="J2116" s="6" t="s">
        <v>121</v>
      </c>
      <c r="K2116" s="6" t="s">
        <v>122</v>
      </c>
      <c r="L2116" s="11">
        <f>F2116*Controls!$B$6</f>
        <v>13</v>
      </c>
      <c r="M2116" s="11">
        <f>G2116*Controls!$B$6</f>
        <v>1625</v>
      </c>
      <c r="N2116" s="12">
        <f>IF(L2116=0,0,SUMIFS('PSI Plan'!$N$6:$N$173,'PSI Plan'!$B$6:$B$173,B2116,'PSI Plan'!$C$6:$C$173,I2116))</f>
        <v>0</v>
      </c>
      <c r="O2116" s="11">
        <f t="shared" si="66"/>
        <v>0</v>
      </c>
      <c r="P2116" s="11">
        <f t="shared" si="67"/>
        <v>0</v>
      </c>
      <c r="Q2116" s="6"/>
      <c r="R2116" s="6"/>
      <c r="S2116" s="6"/>
      <c r="T2116" s="6"/>
    </row>
    <row r="2117" spans="1:20">
      <c r="A2117" s="6" t="s">
        <v>2281</v>
      </c>
      <c r="B2117" s="6" t="s">
        <v>69</v>
      </c>
      <c r="C2117" s="6" t="s">
        <v>90</v>
      </c>
      <c r="D2117" s="6" t="s">
        <v>119</v>
      </c>
      <c r="E2117" s="6" t="s">
        <v>120</v>
      </c>
      <c r="F2117" s="7">
        <v>52</v>
      </c>
      <c r="G2117" s="7">
        <v>6500</v>
      </c>
      <c r="H2117" s="16">
        <v>45233</v>
      </c>
      <c r="I2117" s="6">
        <v>44</v>
      </c>
      <c r="J2117" s="6" t="s">
        <v>121</v>
      </c>
      <c r="K2117" s="6" t="s">
        <v>122</v>
      </c>
      <c r="L2117" s="11">
        <f>F2117*Controls!$B$6</f>
        <v>52</v>
      </c>
      <c r="M2117" s="11">
        <f>G2117*Controls!$B$6</f>
        <v>6500</v>
      </c>
      <c r="N2117" s="12">
        <f>IF(L2117=0,0,SUMIFS('PSI Plan'!$N$6:$N$173,'PSI Plan'!$B$6:$B$173,B2117,'PSI Plan'!$C$6:$C$173,I2117))</f>
        <v>0</v>
      </c>
      <c r="O2117" s="11">
        <f t="shared" si="66"/>
        <v>0</v>
      </c>
      <c r="P2117" s="11">
        <f t="shared" si="67"/>
        <v>0</v>
      </c>
      <c r="Q2117" s="6"/>
      <c r="R2117" s="6"/>
      <c r="S2117" s="6"/>
      <c r="T2117" s="6"/>
    </row>
    <row r="2118" spans="1:20">
      <c r="A2118" s="6" t="s">
        <v>2282</v>
      </c>
      <c r="B2118" s="6" t="s">
        <v>66</v>
      </c>
      <c r="C2118" s="6" t="s">
        <v>99</v>
      </c>
      <c r="D2118" s="6" t="s">
        <v>319</v>
      </c>
      <c r="E2118" s="6" t="s">
        <v>120</v>
      </c>
      <c r="F2118" s="7">
        <v>17</v>
      </c>
      <c r="G2118" s="7">
        <v>2125</v>
      </c>
      <c r="H2118" s="16">
        <v>45288</v>
      </c>
      <c r="I2118" s="6">
        <v>52</v>
      </c>
      <c r="J2118" s="6" t="s">
        <v>121</v>
      </c>
      <c r="K2118" s="6" t="s">
        <v>324</v>
      </c>
      <c r="L2118" s="11">
        <f>F2118*Controls!$B$6</f>
        <v>17</v>
      </c>
      <c r="M2118" s="11">
        <f>G2118*Controls!$B$6</f>
        <v>2125</v>
      </c>
      <c r="N2118" s="12">
        <f>IF(L2118=0,0,SUMIFS('PSI Plan'!$N$6:$N$173,'PSI Plan'!$B$6:$B$173,B2118,'PSI Plan'!$C$6:$C$173,I2118))</f>
        <v>0</v>
      </c>
      <c r="O2118" s="11">
        <f t="shared" si="66"/>
        <v>0</v>
      </c>
      <c r="P2118" s="11">
        <f t="shared" si="67"/>
        <v>0</v>
      </c>
      <c r="Q2118" s="6"/>
      <c r="R2118" s="6"/>
      <c r="S2118" s="6"/>
      <c r="T2118" s="6"/>
    </row>
    <row r="2119" spans="1:20">
      <c r="A2119" s="6" t="s">
        <v>2283</v>
      </c>
      <c r="B2119" s="6" t="s">
        <v>77</v>
      </c>
      <c r="C2119" s="6" t="s">
        <v>99</v>
      </c>
      <c r="D2119" s="6" t="s">
        <v>319</v>
      </c>
      <c r="E2119" s="6" t="s">
        <v>120</v>
      </c>
      <c r="F2119" s="7">
        <v>15</v>
      </c>
      <c r="G2119" s="7">
        <v>1875</v>
      </c>
      <c r="H2119" s="16">
        <v>45210</v>
      </c>
      <c r="I2119" s="6">
        <v>41</v>
      </c>
      <c r="J2119" s="6" t="s">
        <v>121</v>
      </c>
      <c r="K2119" s="6" t="s">
        <v>324</v>
      </c>
      <c r="L2119" s="11">
        <f>F2119*Controls!$B$6</f>
        <v>15</v>
      </c>
      <c r="M2119" s="11">
        <f>G2119*Controls!$B$6</f>
        <v>1875</v>
      </c>
      <c r="N2119" s="12">
        <f>IF(L2119=0,0,SUMIFS('PSI Plan'!$N$6:$N$173,'PSI Plan'!$B$6:$B$173,B2119,'PSI Plan'!$C$6:$C$173,I2119))</f>
        <v>0</v>
      </c>
      <c r="O2119" s="11">
        <f t="shared" si="66"/>
        <v>0</v>
      </c>
      <c r="P2119" s="11">
        <f t="shared" si="67"/>
        <v>0</v>
      </c>
      <c r="Q2119" s="6"/>
      <c r="R2119" s="6"/>
      <c r="S2119" s="6"/>
      <c r="T2119" s="6"/>
    </row>
    <row r="2120" spans="1:20">
      <c r="A2120" s="6" t="s">
        <v>2284</v>
      </c>
      <c r="B2120" s="6" t="s">
        <v>69</v>
      </c>
      <c r="C2120" s="6" t="s">
        <v>99</v>
      </c>
      <c r="D2120" s="6" t="s">
        <v>319</v>
      </c>
      <c r="E2120" s="6" t="s">
        <v>120</v>
      </c>
      <c r="F2120" s="7">
        <v>38</v>
      </c>
      <c r="G2120" s="7">
        <v>4750</v>
      </c>
      <c r="H2120" s="16">
        <v>45287</v>
      </c>
      <c r="I2120" s="6">
        <v>52</v>
      </c>
      <c r="J2120" s="6" t="s">
        <v>121</v>
      </c>
      <c r="K2120" s="6" t="s">
        <v>324</v>
      </c>
      <c r="L2120" s="11">
        <f>F2120*Controls!$B$6</f>
        <v>38</v>
      </c>
      <c r="M2120" s="11">
        <f>G2120*Controls!$B$6</f>
        <v>4750</v>
      </c>
      <c r="N2120" s="12">
        <f>IF(L2120=0,0,SUMIFS('PSI Plan'!$N$6:$N$173,'PSI Plan'!$B$6:$B$173,B2120,'PSI Plan'!$C$6:$C$173,I2120))</f>
        <v>0</v>
      </c>
      <c r="O2120" s="11">
        <f t="shared" si="66"/>
        <v>0</v>
      </c>
      <c r="P2120" s="11">
        <f t="shared" si="67"/>
        <v>0</v>
      </c>
      <c r="Q2120" s="6"/>
      <c r="R2120" s="6"/>
      <c r="S2120" s="6"/>
      <c r="T2120" s="6"/>
    </row>
    <row r="2121" spans="1:20">
      <c r="A2121" s="6" t="s">
        <v>2285</v>
      </c>
      <c r="B2121" s="6" t="s">
        <v>66</v>
      </c>
      <c r="C2121" s="6" t="s">
        <v>99</v>
      </c>
      <c r="D2121" s="6" t="s">
        <v>319</v>
      </c>
      <c r="E2121" s="6" t="s">
        <v>120</v>
      </c>
      <c r="F2121" s="7">
        <v>36</v>
      </c>
      <c r="G2121" s="7">
        <v>4500</v>
      </c>
      <c r="H2121" s="16">
        <v>45269</v>
      </c>
      <c r="I2121" s="6">
        <v>49</v>
      </c>
      <c r="J2121" s="6" t="s">
        <v>121</v>
      </c>
      <c r="K2121" s="6" t="s">
        <v>459</v>
      </c>
      <c r="L2121" s="11">
        <f>F2121*Controls!$B$6</f>
        <v>36</v>
      </c>
      <c r="M2121" s="11">
        <f>G2121*Controls!$B$6</f>
        <v>4500</v>
      </c>
      <c r="N2121" s="12">
        <f>IF(L2121=0,0,SUMIFS('PSI Plan'!$N$6:$N$173,'PSI Plan'!$B$6:$B$173,B2121,'PSI Plan'!$C$6:$C$173,I2121))</f>
        <v>0</v>
      </c>
      <c r="O2121" s="11">
        <f t="shared" si="66"/>
        <v>0</v>
      </c>
      <c r="P2121" s="11">
        <f t="shared" si="67"/>
        <v>0</v>
      </c>
      <c r="Q2121" s="6"/>
      <c r="R2121" s="6"/>
      <c r="S2121" s="6"/>
      <c r="T2121" s="6"/>
    </row>
    <row r="2122" spans="1:20">
      <c r="A2122" s="6" t="s">
        <v>2286</v>
      </c>
      <c r="B2122" s="6" t="s">
        <v>77</v>
      </c>
      <c r="C2122" s="6" t="s">
        <v>99</v>
      </c>
      <c r="D2122" s="6" t="s">
        <v>319</v>
      </c>
      <c r="E2122" s="6" t="s">
        <v>120</v>
      </c>
      <c r="F2122" s="7">
        <v>21</v>
      </c>
      <c r="G2122" s="7">
        <v>2625</v>
      </c>
      <c r="H2122" s="16">
        <v>45279</v>
      </c>
      <c r="I2122" s="6">
        <v>51</v>
      </c>
      <c r="J2122" s="6" t="s">
        <v>121</v>
      </c>
      <c r="K2122" s="6" t="s">
        <v>459</v>
      </c>
      <c r="L2122" s="11">
        <f>F2122*Controls!$B$6</f>
        <v>21</v>
      </c>
      <c r="M2122" s="11">
        <f>G2122*Controls!$B$6</f>
        <v>2625</v>
      </c>
      <c r="N2122" s="12">
        <f>IF(L2122=0,0,SUMIFS('PSI Plan'!$N$6:$N$173,'PSI Plan'!$B$6:$B$173,B2122,'PSI Plan'!$C$6:$C$173,I2122))</f>
        <v>0</v>
      </c>
      <c r="O2122" s="11">
        <f t="shared" si="66"/>
        <v>0</v>
      </c>
      <c r="P2122" s="11">
        <f t="shared" si="67"/>
        <v>0</v>
      </c>
      <c r="Q2122" s="6"/>
      <c r="R2122" s="6"/>
      <c r="S2122" s="6"/>
      <c r="T2122" s="6"/>
    </row>
    <row r="2123" spans="1:20">
      <c r="A2123" s="6" t="s">
        <v>2287</v>
      </c>
      <c r="B2123" s="6" t="s">
        <v>66</v>
      </c>
      <c r="C2123" s="6" t="s">
        <v>100</v>
      </c>
      <c r="D2123" s="6" t="s">
        <v>1895</v>
      </c>
      <c r="E2123" s="6" t="s">
        <v>120</v>
      </c>
      <c r="F2123" s="7">
        <v>20</v>
      </c>
      <c r="G2123" s="7">
        <v>2500</v>
      </c>
      <c r="H2123" s="16">
        <v>45257</v>
      </c>
      <c r="I2123" s="6">
        <v>48</v>
      </c>
      <c r="J2123" s="6" t="s">
        <v>1791</v>
      </c>
      <c r="K2123" s="6" t="s">
        <v>1896</v>
      </c>
      <c r="L2123" s="11">
        <f>F2123*Controls!$B$6</f>
        <v>20</v>
      </c>
      <c r="M2123" s="11">
        <f>G2123*Controls!$B$6</f>
        <v>2500</v>
      </c>
      <c r="N2123" s="12">
        <f>IF(L2123=0,0,SUMIFS('PSI Plan'!$N$6:$N$173,'PSI Plan'!$B$6:$B$173,B2123,'PSI Plan'!$C$6:$C$173,I2123))</f>
        <v>0</v>
      </c>
      <c r="O2123" s="11">
        <f t="shared" si="66"/>
        <v>0</v>
      </c>
      <c r="P2123" s="11">
        <f t="shared" si="67"/>
        <v>0</v>
      </c>
      <c r="Q2123" s="6"/>
      <c r="R2123" s="6"/>
      <c r="S2123" s="6"/>
      <c r="T2123" s="6"/>
    </row>
    <row r="2124" spans="1:20">
      <c r="A2124" s="6" t="s">
        <v>2288</v>
      </c>
      <c r="B2124" s="6" t="s">
        <v>66</v>
      </c>
      <c r="C2124" s="6" t="s">
        <v>100</v>
      </c>
      <c r="D2124" s="6" t="s">
        <v>1895</v>
      </c>
      <c r="E2124" s="6" t="s">
        <v>120</v>
      </c>
      <c r="F2124" s="7">
        <v>20</v>
      </c>
      <c r="G2124" s="7">
        <v>2500</v>
      </c>
      <c r="H2124" s="16">
        <v>45275</v>
      </c>
      <c r="I2124" s="6">
        <v>50</v>
      </c>
      <c r="J2124" s="6" t="s">
        <v>1791</v>
      </c>
      <c r="K2124" s="6" t="s">
        <v>1896</v>
      </c>
      <c r="L2124" s="11">
        <f>F2124*Controls!$B$6</f>
        <v>20</v>
      </c>
      <c r="M2124" s="11">
        <f>G2124*Controls!$B$6</f>
        <v>2500</v>
      </c>
      <c r="N2124" s="12">
        <f>IF(L2124=0,0,SUMIFS('PSI Plan'!$N$6:$N$173,'PSI Plan'!$B$6:$B$173,B2124,'PSI Plan'!$C$6:$C$173,I2124))</f>
        <v>0</v>
      </c>
      <c r="O2124" s="11">
        <f t="shared" si="66"/>
        <v>0</v>
      </c>
      <c r="P2124" s="11">
        <f t="shared" si="67"/>
        <v>0</v>
      </c>
      <c r="Q2124" s="6"/>
      <c r="R2124" s="6"/>
      <c r="S2124" s="6"/>
      <c r="T2124" s="6"/>
    </row>
    <row r="2125" spans="1:20">
      <c r="A2125" s="6" t="s">
        <v>2289</v>
      </c>
      <c r="B2125" s="6" t="s">
        <v>67</v>
      </c>
      <c r="C2125" s="6" t="s">
        <v>100</v>
      </c>
      <c r="D2125" s="6" t="s">
        <v>1895</v>
      </c>
      <c r="E2125" s="6" t="s">
        <v>120</v>
      </c>
      <c r="F2125" s="7">
        <v>20</v>
      </c>
      <c r="G2125" s="7">
        <v>2500</v>
      </c>
      <c r="H2125" s="16">
        <v>45203</v>
      </c>
      <c r="I2125" s="6">
        <v>40</v>
      </c>
      <c r="J2125" s="6" t="s">
        <v>1791</v>
      </c>
      <c r="K2125" s="6" t="s">
        <v>1896</v>
      </c>
      <c r="L2125" s="11">
        <f>F2125*Controls!$B$6</f>
        <v>20</v>
      </c>
      <c r="M2125" s="11">
        <f>G2125*Controls!$B$6</f>
        <v>2500</v>
      </c>
      <c r="N2125" s="12">
        <f>IF(L2125=0,0,SUMIFS('PSI Plan'!$N$6:$N$173,'PSI Plan'!$B$6:$B$173,B2125,'PSI Plan'!$C$6:$C$173,I2125))</f>
        <v>0</v>
      </c>
      <c r="O2125" s="11">
        <f t="shared" si="66"/>
        <v>0</v>
      </c>
      <c r="P2125" s="11">
        <f t="shared" si="67"/>
        <v>0</v>
      </c>
      <c r="Q2125" s="6"/>
      <c r="R2125" s="6"/>
      <c r="S2125" s="6"/>
      <c r="T2125" s="6"/>
    </row>
    <row r="2126" spans="1:20">
      <c r="A2126" s="6" t="s">
        <v>2290</v>
      </c>
      <c r="B2126" s="6" t="s">
        <v>77</v>
      </c>
      <c r="C2126" s="6" t="s">
        <v>100</v>
      </c>
      <c r="D2126" s="6" t="s">
        <v>567</v>
      </c>
      <c r="E2126" s="6" t="s">
        <v>120</v>
      </c>
      <c r="F2126" s="7">
        <v>12</v>
      </c>
      <c r="G2126" s="7">
        <v>1500</v>
      </c>
      <c r="H2126" s="16">
        <v>45241</v>
      </c>
      <c r="I2126" s="6">
        <v>45</v>
      </c>
      <c r="J2126" s="6" t="s">
        <v>121</v>
      </c>
      <c r="K2126" s="6" t="s">
        <v>568</v>
      </c>
      <c r="L2126" s="11">
        <f>F2126*Controls!$B$6</f>
        <v>12</v>
      </c>
      <c r="M2126" s="11">
        <f>G2126*Controls!$B$6</f>
        <v>1500</v>
      </c>
      <c r="N2126" s="12">
        <f>IF(L2126=0,0,SUMIFS('PSI Plan'!$N$6:$N$173,'PSI Plan'!$B$6:$B$173,B2126,'PSI Plan'!$C$6:$C$173,I2126))</f>
        <v>0</v>
      </c>
      <c r="O2126" s="11">
        <f t="shared" si="66"/>
        <v>0</v>
      </c>
      <c r="P2126" s="11">
        <f t="shared" si="67"/>
        <v>0</v>
      </c>
      <c r="Q2126" s="6"/>
      <c r="R2126" s="6"/>
      <c r="S2126" s="6"/>
      <c r="T2126" s="6"/>
    </row>
    <row r="2127" spans="1:20">
      <c r="A2127" s="6" t="s">
        <v>2291</v>
      </c>
      <c r="B2127" s="6" t="s">
        <v>76</v>
      </c>
      <c r="C2127" s="6" t="s">
        <v>100</v>
      </c>
      <c r="D2127" s="6" t="s">
        <v>567</v>
      </c>
      <c r="E2127" s="6" t="s">
        <v>120</v>
      </c>
      <c r="F2127" s="7">
        <v>12</v>
      </c>
      <c r="G2127" s="7">
        <v>1500</v>
      </c>
      <c r="H2127" s="16">
        <v>45259</v>
      </c>
      <c r="I2127" s="6">
        <v>48</v>
      </c>
      <c r="J2127" s="6" t="s">
        <v>121</v>
      </c>
      <c r="K2127" s="6" t="s">
        <v>568</v>
      </c>
      <c r="L2127" s="11">
        <f>F2127*Controls!$B$6</f>
        <v>12</v>
      </c>
      <c r="M2127" s="11">
        <f>G2127*Controls!$B$6</f>
        <v>1500</v>
      </c>
      <c r="N2127" s="12">
        <f>IF(L2127=0,0,SUMIFS('PSI Plan'!$N$6:$N$173,'PSI Plan'!$B$6:$B$173,B2127,'PSI Plan'!$C$6:$C$173,I2127))</f>
        <v>0</v>
      </c>
      <c r="O2127" s="11">
        <f t="shared" si="66"/>
        <v>0</v>
      </c>
      <c r="P2127" s="11">
        <f t="shared" si="67"/>
        <v>0</v>
      </c>
      <c r="Q2127" s="6"/>
      <c r="R2127" s="6"/>
      <c r="S2127" s="6"/>
      <c r="T2127" s="6"/>
    </row>
    <row r="2128" spans="1:20">
      <c r="A2128" s="6" t="s">
        <v>2292</v>
      </c>
      <c r="B2128" s="6" t="s">
        <v>69</v>
      </c>
      <c r="C2128" s="6" t="s">
        <v>100</v>
      </c>
      <c r="D2128" s="6" t="s">
        <v>567</v>
      </c>
      <c r="E2128" s="6" t="s">
        <v>120</v>
      </c>
      <c r="F2128" s="7">
        <v>16</v>
      </c>
      <c r="G2128" s="7">
        <v>2000</v>
      </c>
      <c r="H2128" s="16">
        <v>45213</v>
      </c>
      <c r="I2128" s="6">
        <v>41</v>
      </c>
      <c r="J2128" s="6" t="s">
        <v>121</v>
      </c>
      <c r="K2128" s="6" t="s">
        <v>568</v>
      </c>
      <c r="L2128" s="11">
        <f>F2128*Controls!$B$6</f>
        <v>16</v>
      </c>
      <c r="M2128" s="11">
        <f>G2128*Controls!$B$6</f>
        <v>2000</v>
      </c>
      <c r="N2128" s="12">
        <f>IF(L2128=0,0,SUMIFS('PSI Plan'!$N$6:$N$173,'PSI Plan'!$B$6:$B$173,B2128,'PSI Plan'!$C$6:$C$173,I2128))</f>
        <v>0</v>
      </c>
      <c r="O2128" s="11">
        <f t="shared" si="66"/>
        <v>0</v>
      </c>
      <c r="P2128" s="11">
        <f t="shared" si="67"/>
        <v>0</v>
      </c>
      <c r="Q2128" s="6"/>
      <c r="R2128" s="6"/>
      <c r="S2128" s="6"/>
      <c r="T2128" s="6"/>
    </row>
    <row r="2129" spans="1:20">
      <c r="A2129" s="6" t="s">
        <v>2293</v>
      </c>
      <c r="B2129" s="6" t="s">
        <v>66</v>
      </c>
      <c r="C2129" s="6" t="s">
        <v>90</v>
      </c>
      <c r="D2129" s="6" t="s">
        <v>119</v>
      </c>
      <c r="E2129" s="6" t="s">
        <v>120</v>
      </c>
      <c r="F2129" s="7">
        <v>13</v>
      </c>
      <c r="G2129" s="7">
        <v>1625</v>
      </c>
      <c r="H2129" s="16">
        <v>45204</v>
      </c>
      <c r="I2129" s="6">
        <v>40</v>
      </c>
      <c r="J2129" s="6" t="s">
        <v>121</v>
      </c>
      <c r="K2129" s="6" t="s">
        <v>150</v>
      </c>
      <c r="L2129" s="11">
        <f>F2129*Controls!$B$6</f>
        <v>13</v>
      </c>
      <c r="M2129" s="11">
        <f>G2129*Controls!$B$6</f>
        <v>1625</v>
      </c>
      <c r="N2129" s="12">
        <f>IF(L2129=0,0,SUMIFS('PSI Plan'!$N$6:$N$173,'PSI Plan'!$B$6:$B$173,B2129,'PSI Plan'!$C$6:$C$173,I2129))</f>
        <v>0</v>
      </c>
      <c r="O2129" s="11">
        <f t="shared" si="66"/>
        <v>0</v>
      </c>
      <c r="P2129" s="11">
        <f t="shared" si="67"/>
        <v>0</v>
      </c>
      <c r="Q2129" s="6"/>
      <c r="R2129" s="6"/>
      <c r="S2129" s="6"/>
      <c r="T2129" s="6"/>
    </row>
    <row r="2130" spans="1:20">
      <c r="A2130" s="6" t="s">
        <v>2294</v>
      </c>
      <c r="B2130" s="6" t="s">
        <v>77</v>
      </c>
      <c r="C2130" s="6" t="s">
        <v>90</v>
      </c>
      <c r="D2130" s="6" t="s">
        <v>119</v>
      </c>
      <c r="E2130" s="6" t="s">
        <v>120</v>
      </c>
      <c r="F2130" s="7">
        <v>13</v>
      </c>
      <c r="G2130" s="7">
        <v>1625</v>
      </c>
      <c r="H2130" s="16">
        <v>45206</v>
      </c>
      <c r="I2130" s="6">
        <v>40</v>
      </c>
      <c r="J2130" s="6" t="s">
        <v>121</v>
      </c>
      <c r="K2130" s="6" t="s">
        <v>150</v>
      </c>
      <c r="L2130" s="11">
        <f>F2130*Controls!$B$6</f>
        <v>13</v>
      </c>
      <c r="M2130" s="11">
        <f>G2130*Controls!$B$6</f>
        <v>1625</v>
      </c>
      <c r="N2130" s="12">
        <f>IF(L2130=0,0,SUMIFS('PSI Plan'!$N$6:$N$173,'PSI Plan'!$B$6:$B$173,B2130,'PSI Plan'!$C$6:$C$173,I2130))</f>
        <v>0</v>
      </c>
      <c r="O2130" s="11">
        <f t="shared" si="66"/>
        <v>0</v>
      </c>
      <c r="P2130" s="11">
        <f t="shared" si="67"/>
        <v>0</v>
      </c>
      <c r="Q2130" s="6"/>
      <c r="R2130" s="6"/>
      <c r="S2130" s="6"/>
      <c r="T2130" s="6"/>
    </row>
    <row r="2131" spans="1:20">
      <c r="A2131" s="6" t="s">
        <v>2295</v>
      </c>
      <c r="B2131" s="6" t="s">
        <v>76</v>
      </c>
      <c r="C2131" s="6" t="s">
        <v>90</v>
      </c>
      <c r="D2131" s="6" t="s">
        <v>119</v>
      </c>
      <c r="E2131" s="6" t="s">
        <v>120</v>
      </c>
      <c r="F2131" s="7">
        <v>13</v>
      </c>
      <c r="G2131" s="7">
        <v>1625</v>
      </c>
      <c r="H2131" s="16">
        <v>45247</v>
      </c>
      <c r="I2131" s="6">
        <v>46</v>
      </c>
      <c r="J2131" s="6" t="s">
        <v>121</v>
      </c>
      <c r="K2131" s="6" t="s">
        <v>150</v>
      </c>
      <c r="L2131" s="11">
        <f>F2131*Controls!$B$6</f>
        <v>13</v>
      </c>
      <c r="M2131" s="11">
        <f>G2131*Controls!$B$6</f>
        <v>1625</v>
      </c>
      <c r="N2131" s="12">
        <f>IF(L2131=0,0,SUMIFS('PSI Plan'!$N$6:$N$173,'PSI Plan'!$B$6:$B$173,B2131,'PSI Plan'!$C$6:$C$173,I2131))</f>
        <v>0</v>
      </c>
      <c r="O2131" s="11">
        <f t="shared" si="66"/>
        <v>0</v>
      </c>
      <c r="P2131" s="11">
        <f t="shared" si="67"/>
        <v>0</v>
      </c>
      <c r="Q2131" s="6"/>
      <c r="R2131" s="6"/>
      <c r="S2131" s="6"/>
      <c r="T2131" s="6"/>
    </row>
    <row r="2132" spans="1:20">
      <c r="A2132" s="6" t="s">
        <v>2296</v>
      </c>
      <c r="B2132" s="6" t="s">
        <v>69</v>
      </c>
      <c r="C2132" s="6" t="s">
        <v>90</v>
      </c>
      <c r="D2132" s="6" t="s">
        <v>119</v>
      </c>
      <c r="E2132" s="6" t="s">
        <v>120</v>
      </c>
      <c r="F2132" s="7">
        <v>13</v>
      </c>
      <c r="G2132" s="7">
        <v>1625</v>
      </c>
      <c r="H2132" s="16">
        <v>45257</v>
      </c>
      <c r="I2132" s="6">
        <v>48</v>
      </c>
      <c r="J2132" s="6" t="s">
        <v>121</v>
      </c>
      <c r="K2132" s="6" t="s">
        <v>150</v>
      </c>
      <c r="L2132" s="11">
        <f>F2132*Controls!$B$6</f>
        <v>13</v>
      </c>
      <c r="M2132" s="11">
        <f>G2132*Controls!$B$6</f>
        <v>1625</v>
      </c>
      <c r="N2132" s="12">
        <f>IF(L2132=0,0,SUMIFS('PSI Plan'!$N$6:$N$173,'PSI Plan'!$B$6:$B$173,B2132,'PSI Plan'!$C$6:$C$173,I2132))</f>
        <v>0</v>
      </c>
      <c r="O2132" s="11">
        <f t="shared" si="66"/>
        <v>0</v>
      </c>
      <c r="P2132" s="11">
        <f t="shared" si="67"/>
        <v>0</v>
      </c>
      <c r="Q2132" s="6"/>
      <c r="R2132" s="6"/>
      <c r="S2132" s="6"/>
      <c r="T2132" s="6"/>
    </row>
    <row r="2133" spans="1:20">
      <c r="A2133" s="6" t="s">
        <v>2297</v>
      </c>
      <c r="B2133" s="6" t="s">
        <v>66</v>
      </c>
      <c r="C2133" s="6" t="s">
        <v>90</v>
      </c>
      <c r="D2133" s="6" t="s">
        <v>119</v>
      </c>
      <c r="E2133" s="6" t="s">
        <v>120</v>
      </c>
      <c r="F2133" s="7">
        <v>39</v>
      </c>
      <c r="G2133" s="7">
        <v>4875</v>
      </c>
      <c r="H2133" s="16">
        <v>45230</v>
      </c>
      <c r="I2133" s="6">
        <v>44</v>
      </c>
      <c r="J2133" s="6" t="s">
        <v>121</v>
      </c>
      <c r="K2133" s="6" t="s">
        <v>855</v>
      </c>
      <c r="L2133" s="11">
        <f>F2133*Controls!$B$6</f>
        <v>39</v>
      </c>
      <c r="M2133" s="11">
        <f>G2133*Controls!$B$6</f>
        <v>4875</v>
      </c>
      <c r="N2133" s="12">
        <f>IF(L2133=0,0,SUMIFS('PSI Plan'!$N$6:$N$173,'PSI Plan'!$B$6:$B$173,B2133,'PSI Plan'!$C$6:$C$173,I2133))</f>
        <v>0</v>
      </c>
      <c r="O2133" s="11">
        <f t="shared" si="66"/>
        <v>0</v>
      </c>
      <c r="P2133" s="11">
        <f t="shared" si="67"/>
        <v>0</v>
      </c>
      <c r="Q2133" s="6"/>
      <c r="R2133" s="6"/>
      <c r="S2133" s="6"/>
      <c r="T2133" s="6"/>
    </row>
    <row r="2134" spans="1:20">
      <c r="A2134" s="6" t="s">
        <v>2298</v>
      </c>
      <c r="B2134" s="6" t="s">
        <v>77</v>
      </c>
      <c r="C2134" s="6" t="s">
        <v>90</v>
      </c>
      <c r="D2134" s="6" t="s">
        <v>119</v>
      </c>
      <c r="E2134" s="6" t="s">
        <v>120</v>
      </c>
      <c r="F2134" s="7">
        <v>39</v>
      </c>
      <c r="G2134" s="7">
        <v>4875</v>
      </c>
      <c r="H2134" s="16">
        <v>45203</v>
      </c>
      <c r="I2134" s="6">
        <v>40</v>
      </c>
      <c r="J2134" s="6" t="s">
        <v>121</v>
      </c>
      <c r="K2134" s="6" t="s">
        <v>855</v>
      </c>
      <c r="L2134" s="11">
        <f>F2134*Controls!$B$6</f>
        <v>39</v>
      </c>
      <c r="M2134" s="11">
        <f>G2134*Controls!$B$6</f>
        <v>4875</v>
      </c>
      <c r="N2134" s="12">
        <f>IF(L2134=0,0,SUMIFS('PSI Plan'!$N$6:$N$173,'PSI Plan'!$B$6:$B$173,B2134,'PSI Plan'!$C$6:$C$173,I2134))</f>
        <v>0</v>
      </c>
      <c r="O2134" s="11">
        <f t="shared" si="66"/>
        <v>0</v>
      </c>
      <c r="P2134" s="11">
        <f t="shared" si="67"/>
        <v>0</v>
      </c>
      <c r="Q2134" s="6"/>
      <c r="R2134" s="6"/>
      <c r="S2134" s="6"/>
      <c r="T2134" s="6"/>
    </row>
    <row r="2135" spans="1:20">
      <c r="A2135" s="6" t="s">
        <v>2299</v>
      </c>
      <c r="B2135" s="6" t="s">
        <v>76</v>
      </c>
      <c r="C2135" s="6" t="s">
        <v>90</v>
      </c>
      <c r="D2135" s="6" t="s">
        <v>119</v>
      </c>
      <c r="E2135" s="6" t="s">
        <v>120</v>
      </c>
      <c r="F2135" s="7">
        <v>39</v>
      </c>
      <c r="G2135" s="7">
        <v>4875</v>
      </c>
      <c r="H2135" s="16">
        <v>45259</v>
      </c>
      <c r="I2135" s="6">
        <v>48</v>
      </c>
      <c r="J2135" s="6" t="s">
        <v>121</v>
      </c>
      <c r="K2135" s="6" t="s">
        <v>855</v>
      </c>
      <c r="L2135" s="11">
        <f>F2135*Controls!$B$6</f>
        <v>39</v>
      </c>
      <c r="M2135" s="11">
        <f>G2135*Controls!$B$6</f>
        <v>4875</v>
      </c>
      <c r="N2135" s="12">
        <f>IF(L2135=0,0,SUMIFS('PSI Plan'!$N$6:$N$173,'PSI Plan'!$B$6:$B$173,B2135,'PSI Plan'!$C$6:$C$173,I2135))</f>
        <v>0</v>
      </c>
      <c r="O2135" s="11">
        <f t="shared" si="66"/>
        <v>0</v>
      </c>
      <c r="P2135" s="11">
        <f t="shared" si="67"/>
        <v>0</v>
      </c>
      <c r="Q2135" s="6"/>
      <c r="R2135" s="6"/>
      <c r="S2135" s="6"/>
      <c r="T2135" s="6"/>
    </row>
    <row r="2136" spans="1:20">
      <c r="A2136" s="6" t="s">
        <v>2300</v>
      </c>
      <c r="B2136" s="6" t="s">
        <v>69</v>
      </c>
      <c r="C2136" s="6" t="s">
        <v>90</v>
      </c>
      <c r="D2136" s="6" t="s">
        <v>119</v>
      </c>
      <c r="E2136" s="6" t="s">
        <v>120</v>
      </c>
      <c r="F2136" s="7">
        <v>39</v>
      </c>
      <c r="G2136" s="7">
        <v>4875</v>
      </c>
      <c r="H2136" s="16">
        <v>45276</v>
      </c>
      <c r="I2136" s="6">
        <v>50</v>
      </c>
      <c r="J2136" s="6" t="s">
        <v>121</v>
      </c>
      <c r="K2136" s="6" t="s">
        <v>855</v>
      </c>
      <c r="L2136" s="11">
        <f>F2136*Controls!$B$6</f>
        <v>39</v>
      </c>
      <c r="M2136" s="11">
        <f>G2136*Controls!$B$6</f>
        <v>4875</v>
      </c>
      <c r="N2136" s="12">
        <f>IF(L2136=0,0,SUMIFS('PSI Plan'!$N$6:$N$173,'PSI Plan'!$B$6:$B$173,B2136,'PSI Plan'!$C$6:$C$173,I2136))</f>
        <v>0</v>
      </c>
      <c r="O2136" s="11">
        <f t="shared" si="66"/>
        <v>0</v>
      </c>
      <c r="P2136" s="11">
        <f t="shared" si="67"/>
        <v>0</v>
      </c>
      <c r="Q2136" s="6"/>
      <c r="R2136" s="6"/>
      <c r="S2136" s="6"/>
      <c r="T2136" s="6"/>
    </row>
    <row r="2137" spans="1:20">
      <c r="A2137" s="6" t="s">
        <v>2301</v>
      </c>
      <c r="B2137" s="6" t="s">
        <v>66</v>
      </c>
      <c r="C2137" s="6" t="s">
        <v>90</v>
      </c>
      <c r="D2137" s="6" t="s">
        <v>119</v>
      </c>
      <c r="E2137" s="6" t="s">
        <v>120</v>
      </c>
      <c r="F2137" s="7">
        <v>13</v>
      </c>
      <c r="G2137" s="7">
        <v>1625</v>
      </c>
      <c r="H2137" s="16">
        <v>45216</v>
      </c>
      <c r="I2137" s="6">
        <v>42</v>
      </c>
      <c r="J2137" s="6" t="s">
        <v>121</v>
      </c>
      <c r="K2137" s="6" t="s">
        <v>171</v>
      </c>
      <c r="L2137" s="11">
        <f>F2137*Controls!$B$6</f>
        <v>13</v>
      </c>
      <c r="M2137" s="11">
        <f>G2137*Controls!$B$6</f>
        <v>1625</v>
      </c>
      <c r="N2137" s="12">
        <f>IF(L2137=0,0,SUMIFS('PSI Plan'!$N$6:$N$173,'PSI Plan'!$B$6:$B$173,B2137,'PSI Plan'!$C$6:$C$173,I2137))</f>
        <v>0.59807073954983925</v>
      </c>
      <c r="O2137" s="11">
        <f t="shared" si="66"/>
        <v>7.77491961414791</v>
      </c>
      <c r="P2137" s="11">
        <f t="shared" si="67"/>
        <v>971.86495176848882</v>
      </c>
      <c r="Q2137" s="6"/>
      <c r="R2137" s="6"/>
      <c r="S2137" s="6"/>
      <c r="T2137" s="6"/>
    </row>
    <row r="2138" spans="1:20">
      <c r="A2138" s="6" t="s">
        <v>2302</v>
      </c>
      <c r="B2138" s="6" t="s">
        <v>77</v>
      </c>
      <c r="C2138" s="6" t="s">
        <v>90</v>
      </c>
      <c r="D2138" s="6" t="s">
        <v>119</v>
      </c>
      <c r="E2138" s="6" t="s">
        <v>120</v>
      </c>
      <c r="F2138" s="7">
        <v>26</v>
      </c>
      <c r="G2138" s="7">
        <v>3250</v>
      </c>
      <c r="H2138" s="16">
        <v>45214</v>
      </c>
      <c r="I2138" s="6">
        <v>42</v>
      </c>
      <c r="J2138" s="6" t="s">
        <v>121</v>
      </c>
      <c r="K2138" s="6" t="s">
        <v>171</v>
      </c>
      <c r="L2138" s="11">
        <f>F2138*Controls!$B$6</f>
        <v>26</v>
      </c>
      <c r="M2138" s="11">
        <f>G2138*Controls!$B$6</f>
        <v>3250</v>
      </c>
      <c r="N2138" s="12">
        <f>IF(L2138=0,0,SUMIFS('PSI Plan'!$N$6:$N$173,'PSI Plan'!$B$6:$B$173,B2138,'PSI Plan'!$C$6:$C$173,I2138))</f>
        <v>0</v>
      </c>
      <c r="O2138" s="11">
        <f t="shared" si="66"/>
        <v>0</v>
      </c>
      <c r="P2138" s="11">
        <f t="shared" si="67"/>
        <v>0</v>
      </c>
      <c r="Q2138" s="6"/>
      <c r="R2138" s="6"/>
      <c r="S2138" s="6"/>
      <c r="T2138" s="6"/>
    </row>
    <row r="2139" spans="1:20">
      <c r="A2139" s="6" t="s">
        <v>2303</v>
      </c>
      <c r="B2139" s="6" t="s">
        <v>76</v>
      </c>
      <c r="C2139" s="6" t="s">
        <v>90</v>
      </c>
      <c r="D2139" s="6" t="s">
        <v>119</v>
      </c>
      <c r="E2139" s="6" t="s">
        <v>120</v>
      </c>
      <c r="F2139" s="7">
        <v>13</v>
      </c>
      <c r="G2139" s="7">
        <v>1625</v>
      </c>
      <c r="H2139" s="16">
        <v>45224</v>
      </c>
      <c r="I2139" s="6">
        <v>43</v>
      </c>
      <c r="J2139" s="6" t="s">
        <v>121</v>
      </c>
      <c r="K2139" s="6" t="s">
        <v>171</v>
      </c>
      <c r="L2139" s="11">
        <f>F2139*Controls!$B$6</f>
        <v>13</v>
      </c>
      <c r="M2139" s="11">
        <f>G2139*Controls!$B$6</f>
        <v>1625</v>
      </c>
      <c r="N2139" s="12">
        <f>IF(L2139=0,0,SUMIFS('PSI Plan'!$N$6:$N$173,'PSI Plan'!$B$6:$B$173,B2139,'PSI Plan'!$C$6:$C$173,I2139))</f>
        <v>0</v>
      </c>
      <c r="O2139" s="11">
        <f t="shared" si="66"/>
        <v>0</v>
      </c>
      <c r="P2139" s="11">
        <f t="shared" si="67"/>
        <v>0</v>
      </c>
      <c r="Q2139" s="6"/>
      <c r="R2139" s="6"/>
      <c r="S2139" s="6"/>
      <c r="T2139" s="6"/>
    </row>
    <row r="2140" spans="1:20">
      <c r="A2140" s="6" t="s">
        <v>2304</v>
      </c>
      <c r="B2140" s="6" t="s">
        <v>69</v>
      </c>
      <c r="C2140" s="6" t="s">
        <v>90</v>
      </c>
      <c r="D2140" s="6" t="s">
        <v>119</v>
      </c>
      <c r="E2140" s="6" t="s">
        <v>120</v>
      </c>
      <c r="F2140" s="7">
        <v>26</v>
      </c>
      <c r="G2140" s="7">
        <v>3250</v>
      </c>
      <c r="H2140" s="16">
        <v>45245</v>
      </c>
      <c r="I2140" s="6">
        <v>46</v>
      </c>
      <c r="J2140" s="6" t="s">
        <v>121</v>
      </c>
      <c r="K2140" s="6" t="s">
        <v>171</v>
      </c>
      <c r="L2140" s="11">
        <f>F2140*Controls!$B$6</f>
        <v>26</v>
      </c>
      <c r="M2140" s="11">
        <f>G2140*Controls!$B$6</f>
        <v>3250</v>
      </c>
      <c r="N2140" s="12">
        <f>IF(L2140=0,0,SUMIFS('PSI Plan'!$N$6:$N$173,'PSI Plan'!$B$6:$B$173,B2140,'PSI Plan'!$C$6:$C$173,I2140))</f>
        <v>0</v>
      </c>
      <c r="O2140" s="11">
        <f t="shared" si="66"/>
        <v>0</v>
      </c>
      <c r="P2140" s="11">
        <f t="shared" si="67"/>
        <v>0</v>
      </c>
      <c r="Q2140" s="6"/>
      <c r="R2140" s="6"/>
      <c r="S2140" s="6"/>
      <c r="T2140" s="6"/>
    </row>
    <row r="2141" spans="1:20">
      <c r="A2141" s="6" t="s">
        <v>2305</v>
      </c>
      <c r="B2141" s="6" t="s">
        <v>77</v>
      </c>
      <c r="C2141" s="6" t="s">
        <v>101</v>
      </c>
      <c r="D2141" s="6" t="s">
        <v>567</v>
      </c>
      <c r="E2141" s="6" t="s">
        <v>120</v>
      </c>
      <c r="F2141" s="7">
        <v>52</v>
      </c>
      <c r="G2141" s="7">
        <v>6500</v>
      </c>
      <c r="H2141" s="16">
        <v>45202</v>
      </c>
      <c r="I2141" s="6">
        <v>40</v>
      </c>
      <c r="J2141" s="6" t="s">
        <v>121</v>
      </c>
      <c r="K2141" s="6" t="s">
        <v>781</v>
      </c>
      <c r="L2141" s="11">
        <f>F2141*Controls!$B$6</f>
        <v>52</v>
      </c>
      <c r="M2141" s="11">
        <f>G2141*Controls!$B$6</f>
        <v>6500</v>
      </c>
      <c r="N2141" s="12">
        <f>IF(L2141=0,0,SUMIFS('PSI Plan'!$N$6:$N$173,'PSI Plan'!$B$6:$B$173,B2141,'PSI Plan'!$C$6:$C$173,I2141))</f>
        <v>0</v>
      </c>
      <c r="O2141" s="11">
        <f t="shared" si="66"/>
        <v>0</v>
      </c>
      <c r="P2141" s="11">
        <f t="shared" si="67"/>
        <v>0</v>
      </c>
      <c r="Q2141" s="6"/>
      <c r="R2141" s="6"/>
      <c r="S2141" s="6"/>
      <c r="T2141" s="6"/>
    </row>
    <row r="2142" spans="1:20">
      <c r="A2142" s="6" t="s">
        <v>2306</v>
      </c>
      <c r="B2142" s="6" t="s">
        <v>76</v>
      </c>
      <c r="C2142" s="6" t="s">
        <v>101</v>
      </c>
      <c r="D2142" s="6" t="s">
        <v>567</v>
      </c>
      <c r="E2142" s="6" t="s">
        <v>120</v>
      </c>
      <c r="F2142" s="7">
        <v>52</v>
      </c>
      <c r="G2142" s="7">
        <v>6500</v>
      </c>
      <c r="H2142" s="16">
        <v>45224</v>
      </c>
      <c r="I2142" s="6">
        <v>43</v>
      </c>
      <c r="J2142" s="6" t="s">
        <v>121</v>
      </c>
      <c r="K2142" s="6" t="s">
        <v>781</v>
      </c>
      <c r="L2142" s="11">
        <f>F2142*Controls!$B$6</f>
        <v>52</v>
      </c>
      <c r="M2142" s="11">
        <f>G2142*Controls!$B$6</f>
        <v>6500</v>
      </c>
      <c r="N2142" s="12">
        <f>IF(L2142=0,0,SUMIFS('PSI Plan'!$N$6:$N$173,'PSI Plan'!$B$6:$B$173,B2142,'PSI Plan'!$C$6:$C$173,I2142))</f>
        <v>0</v>
      </c>
      <c r="O2142" s="11">
        <f t="shared" si="66"/>
        <v>0</v>
      </c>
      <c r="P2142" s="11">
        <f t="shared" si="67"/>
        <v>0</v>
      </c>
      <c r="Q2142" s="6"/>
      <c r="R2142" s="6"/>
      <c r="S2142" s="6"/>
      <c r="T2142" s="6"/>
    </row>
    <row r="2143" spans="1:20">
      <c r="A2143" s="6" t="s">
        <v>2307</v>
      </c>
      <c r="B2143" s="6" t="s">
        <v>67</v>
      </c>
      <c r="C2143" s="6" t="s">
        <v>101</v>
      </c>
      <c r="D2143" s="6" t="s">
        <v>567</v>
      </c>
      <c r="E2143" s="6" t="s">
        <v>120</v>
      </c>
      <c r="F2143" s="7">
        <v>26</v>
      </c>
      <c r="G2143" s="7">
        <v>3250</v>
      </c>
      <c r="H2143" s="16">
        <v>45207</v>
      </c>
      <c r="I2143" s="6">
        <v>41</v>
      </c>
      <c r="J2143" s="6" t="s">
        <v>121</v>
      </c>
      <c r="K2143" s="6" t="s">
        <v>781</v>
      </c>
      <c r="L2143" s="11">
        <f>F2143*Controls!$B$6</f>
        <v>26</v>
      </c>
      <c r="M2143" s="11">
        <f>G2143*Controls!$B$6</f>
        <v>3250</v>
      </c>
      <c r="N2143" s="12">
        <f>IF(L2143=0,0,SUMIFS('PSI Plan'!$N$6:$N$173,'PSI Plan'!$B$6:$B$173,B2143,'PSI Plan'!$C$6:$C$173,I2143))</f>
        <v>0</v>
      </c>
      <c r="O2143" s="11">
        <f t="shared" si="66"/>
        <v>0</v>
      </c>
      <c r="P2143" s="11">
        <f t="shared" si="67"/>
        <v>0</v>
      </c>
      <c r="Q2143" s="6"/>
      <c r="R2143" s="6"/>
      <c r="S2143" s="6"/>
      <c r="T2143" s="6"/>
    </row>
    <row r="2144" spans="1:20">
      <c r="A2144" s="6" t="s">
        <v>2308</v>
      </c>
      <c r="B2144" s="6" t="s">
        <v>69</v>
      </c>
      <c r="C2144" s="6" t="s">
        <v>101</v>
      </c>
      <c r="D2144" s="6" t="s">
        <v>567</v>
      </c>
      <c r="E2144" s="6" t="s">
        <v>120</v>
      </c>
      <c r="F2144" s="7">
        <v>26</v>
      </c>
      <c r="G2144" s="7">
        <v>3250</v>
      </c>
      <c r="H2144" s="16">
        <v>45241</v>
      </c>
      <c r="I2144" s="6">
        <v>45</v>
      </c>
      <c r="J2144" s="6" t="s">
        <v>121</v>
      </c>
      <c r="K2144" s="6" t="s">
        <v>781</v>
      </c>
      <c r="L2144" s="11">
        <f>F2144*Controls!$B$6</f>
        <v>26</v>
      </c>
      <c r="M2144" s="11">
        <f>G2144*Controls!$B$6</f>
        <v>3250</v>
      </c>
      <c r="N2144" s="12">
        <f>IF(L2144=0,0,SUMIFS('PSI Plan'!$N$6:$N$173,'PSI Plan'!$B$6:$B$173,B2144,'PSI Plan'!$C$6:$C$173,I2144))</f>
        <v>0</v>
      </c>
      <c r="O2144" s="11">
        <f t="shared" si="66"/>
        <v>0</v>
      </c>
      <c r="P2144" s="11">
        <f t="shared" si="67"/>
        <v>0</v>
      </c>
      <c r="Q2144" s="6"/>
      <c r="R2144" s="6"/>
      <c r="S2144" s="6"/>
      <c r="T2144" s="6"/>
    </row>
    <row r="2145" spans="1:20">
      <c r="A2145" s="6" t="s">
        <v>2309</v>
      </c>
      <c r="B2145" s="6" t="s">
        <v>77</v>
      </c>
      <c r="C2145" s="6" t="s">
        <v>99</v>
      </c>
      <c r="D2145" s="6" t="s">
        <v>319</v>
      </c>
      <c r="E2145" s="6" t="s">
        <v>120</v>
      </c>
      <c r="F2145" s="7">
        <v>106</v>
      </c>
      <c r="G2145" s="7">
        <v>13250</v>
      </c>
      <c r="H2145" s="16">
        <v>45212</v>
      </c>
      <c r="I2145" s="6">
        <v>41</v>
      </c>
      <c r="J2145" s="6" t="s">
        <v>121</v>
      </c>
      <c r="K2145" s="6" t="s">
        <v>347</v>
      </c>
      <c r="L2145" s="11">
        <f>F2145*Controls!$B$6</f>
        <v>106</v>
      </c>
      <c r="M2145" s="11">
        <f>G2145*Controls!$B$6</f>
        <v>13250</v>
      </c>
      <c r="N2145" s="12">
        <f>IF(L2145=0,0,SUMIFS('PSI Plan'!$N$6:$N$173,'PSI Plan'!$B$6:$B$173,B2145,'PSI Plan'!$C$6:$C$173,I2145))</f>
        <v>0</v>
      </c>
      <c r="O2145" s="11">
        <f t="shared" si="66"/>
        <v>0</v>
      </c>
      <c r="P2145" s="11">
        <f t="shared" si="67"/>
        <v>0</v>
      </c>
      <c r="Q2145" s="6"/>
      <c r="R2145" s="6"/>
      <c r="S2145" s="6"/>
      <c r="T2145" s="6"/>
    </row>
    <row r="2146" spans="1:20">
      <c r="A2146" s="6" t="s">
        <v>2310</v>
      </c>
      <c r="B2146" s="6" t="s">
        <v>69</v>
      </c>
      <c r="C2146" s="6" t="s">
        <v>99</v>
      </c>
      <c r="D2146" s="6" t="s">
        <v>319</v>
      </c>
      <c r="E2146" s="6" t="s">
        <v>120</v>
      </c>
      <c r="F2146" s="7">
        <v>64</v>
      </c>
      <c r="G2146" s="7">
        <v>8000</v>
      </c>
      <c r="H2146" s="16">
        <v>45264</v>
      </c>
      <c r="I2146" s="6">
        <v>49</v>
      </c>
      <c r="J2146" s="6" t="s">
        <v>121</v>
      </c>
      <c r="K2146" s="6" t="s">
        <v>347</v>
      </c>
      <c r="L2146" s="11">
        <f>F2146*Controls!$B$6</f>
        <v>64</v>
      </c>
      <c r="M2146" s="11">
        <f>G2146*Controls!$B$6</f>
        <v>8000</v>
      </c>
      <c r="N2146" s="12">
        <f>IF(L2146=0,0,SUMIFS('PSI Plan'!$N$6:$N$173,'PSI Plan'!$B$6:$B$173,B2146,'PSI Plan'!$C$6:$C$173,I2146))</f>
        <v>0</v>
      </c>
      <c r="O2146" s="11">
        <f t="shared" si="66"/>
        <v>0</v>
      </c>
      <c r="P2146" s="11">
        <f t="shared" si="67"/>
        <v>0</v>
      </c>
      <c r="Q2146" s="6"/>
      <c r="R2146" s="6"/>
      <c r="S2146" s="6"/>
      <c r="T2146" s="6"/>
    </row>
    <row r="2147" spans="1:20">
      <c r="A2147" s="6" t="s">
        <v>2311</v>
      </c>
      <c r="B2147" s="6" t="s">
        <v>77</v>
      </c>
      <c r="C2147" s="6" t="s">
        <v>99</v>
      </c>
      <c r="D2147" s="6" t="s">
        <v>319</v>
      </c>
      <c r="E2147" s="6" t="s">
        <v>120</v>
      </c>
      <c r="F2147" s="7">
        <v>45</v>
      </c>
      <c r="G2147" s="7">
        <v>5625</v>
      </c>
      <c r="H2147" s="16">
        <v>45203</v>
      </c>
      <c r="I2147" s="6">
        <v>40</v>
      </c>
      <c r="J2147" s="6" t="s">
        <v>121</v>
      </c>
      <c r="K2147" s="6" t="s">
        <v>361</v>
      </c>
      <c r="L2147" s="11">
        <f>F2147*Controls!$B$6</f>
        <v>45</v>
      </c>
      <c r="M2147" s="11">
        <f>G2147*Controls!$B$6</f>
        <v>5625</v>
      </c>
      <c r="N2147" s="12">
        <f>IF(L2147=0,0,SUMIFS('PSI Plan'!$N$6:$N$173,'PSI Plan'!$B$6:$B$173,B2147,'PSI Plan'!$C$6:$C$173,I2147))</f>
        <v>0</v>
      </c>
      <c r="O2147" s="11">
        <f t="shared" si="66"/>
        <v>0</v>
      </c>
      <c r="P2147" s="11">
        <f t="shared" si="67"/>
        <v>0</v>
      </c>
      <c r="Q2147" s="6"/>
      <c r="R2147" s="6"/>
      <c r="S2147" s="6"/>
      <c r="T2147" s="6"/>
    </row>
    <row r="2148" spans="1:20">
      <c r="A2148" s="6" t="s">
        <v>2312</v>
      </c>
      <c r="B2148" s="6" t="s">
        <v>67</v>
      </c>
      <c r="C2148" s="6" t="s">
        <v>99</v>
      </c>
      <c r="D2148" s="6" t="s">
        <v>319</v>
      </c>
      <c r="E2148" s="6" t="s">
        <v>120</v>
      </c>
      <c r="F2148" s="7">
        <v>34</v>
      </c>
      <c r="G2148" s="7">
        <v>4250</v>
      </c>
      <c r="H2148" s="16">
        <v>45289</v>
      </c>
      <c r="I2148" s="6">
        <v>52</v>
      </c>
      <c r="J2148" s="6" t="s">
        <v>121</v>
      </c>
      <c r="K2148" s="6" t="s">
        <v>361</v>
      </c>
      <c r="L2148" s="11">
        <f>F2148*Controls!$B$6</f>
        <v>34</v>
      </c>
      <c r="M2148" s="11">
        <f>G2148*Controls!$B$6</f>
        <v>4250</v>
      </c>
      <c r="N2148" s="12">
        <f>IF(L2148=0,0,SUMIFS('PSI Plan'!$N$6:$N$173,'PSI Plan'!$B$6:$B$173,B2148,'PSI Plan'!$C$6:$C$173,I2148))</f>
        <v>0</v>
      </c>
      <c r="O2148" s="11">
        <f t="shared" si="66"/>
        <v>0</v>
      </c>
      <c r="P2148" s="11">
        <f t="shared" si="67"/>
        <v>0</v>
      </c>
      <c r="Q2148" s="6"/>
      <c r="R2148" s="6"/>
      <c r="S2148" s="6"/>
      <c r="T2148" s="6"/>
    </row>
    <row r="2149" spans="1:20">
      <c r="A2149" s="6" t="s">
        <v>2313</v>
      </c>
      <c r="B2149" s="6" t="s">
        <v>66</v>
      </c>
      <c r="C2149" s="6" t="s">
        <v>90</v>
      </c>
      <c r="D2149" s="6" t="s">
        <v>119</v>
      </c>
      <c r="E2149" s="6" t="s">
        <v>120</v>
      </c>
      <c r="F2149" s="7">
        <v>39</v>
      </c>
      <c r="G2149" s="7">
        <v>4875</v>
      </c>
      <c r="H2149" s="16">
        <v>45264</v>
      </c>
      <c r="I2149" s="6">
        <v>49</v>
      </c>
      <c r="J2149" s="6" t="s">
        <v>121</v>
      </c>
      <c r="K2149" s="6" t="s">
        <v>125</v>
      </c>
      <c r="L2149" s="11">
        <f>F2149*Controls!$B$6</f>
        <v>39</v>
      </c>
      <c r="M2149" s="11">
        <f>G2149*Controls!$B$6</f>
        <v>4875</v>
      </c>
      <c r="N2149" s="12">
        <f>IF(L2149=0,0,SUMIFS('PSI Plan'!$N$6:$N$173,'PSI Plan'!$B$6:$B$173,B2149,'PSI Plan'!$C$6:$C$173,I2149))</f>
        <v>0</v>
      </c>
      <c r="O2149" s="11">
        <f t="shared" si="66"/>
        <v>0</v>
      </c>
      <c r="P2149" s="11">
        <f t="shared" si="67"/>
        <v>0</v>
      </c>
      <c r="Q2149" s="6"/>
      <c r="R2149" s="6"/>
      <c r="S2149" s="6"/>
      <c r="T2149" s="6"/>
    </row>
    <row r="2150" spans="1:20">
      <c r="A2150" s="6" t="s">
        <v>2314</v>
      </c>
      <c r="B2150" s="6" t="s">
        <v>77</v>
      </c>
      <c r="C2150" s="6" t="s">
        <v>90</v>
      </c>
      <c r="D2150" s="6" t="s">
        <v>119</v>
      </c>
      <c r="E2150" s="6" t="s">
        <v>120</v>
      </c>
      <c r="F2150" s="7">
        <v>39</v>
      </c>
      <c r="G2150" s="7">
        <v>4875</v>
      </c>
      <c r="H2150" s="16">
        <v>45250</v>
      </c>
      <c r="I2150" s="6">
        <v>47</v>
      </c>
      <c r="J2150" s="6" t="s">
        <v>121</v>
      </c>
      <c r="K2150" s="6" t="s">
        <v>125</v>
      </c>
      <c r="L2150" s="11">
        <f>F2150*Controls!$B$6</f>
        <v>39</v>
      </c>
      <c r="M2150" s="11">
        <f>G2150*Controls!$B$6</f>
        <v>4875</v>
      </c>
      <c r="N2150" s="12">
        <f>IF(L2150=0,0,SUMIFS('PSI Plan'!$N$6:$N$173,'PSI Plan'!$B$6:$B$173,B2150,'PSI Plan'!$C$6:$C$173,I2150))</f>
        <v>0</v>
      </c>
      <c r="O2150" s="11">
        <f t="shared" si="66"/>
        <v>0</v>
      </c>
      <c r="P2150" s="11">
        <f t="shared" si="67"/>
        <v>0</v>
      </c>
      <c r="Q2150" s="6"/>
      <c r="R2150" s="6"/>
      <c r="S2150" s="6"/>
      <c r="T2150" s="6"/>
    </row>
    <row r="2151" spans="1:20">
      <c r="A2151" s="6" t="s">
        <v>2315</v>
      </c>
      <c r="B2151" s="6" t="s">
        <v>69</v>
      </c>
      <c r="C2151" s="6" t="s">
        <v>90</v>
      </c>
      <c r="D2151" s="6" t="s">
        <v>119</v>
      </c>
      <c r="E2151" s="6" t="s">
        <v>120</v>
      </c>
      <c r="F2151" s="7">
        <v>39</v>
      </c>
      <c r="G2151" s="7">
        <v>4875</v>
      </c>
      <c r="H2151" s="16">
        <v>45272</v>
      </c>
      <c r="I2151" s="6">
        <v>50</v>
      </c>
      <c r="J2151" s="6" t="s">
        <v>121</v>
      </c>
      <c r="K2151" s="6" t="s">
        <v>125</v>
      </c>
      <c r="L2151" s="11">
        <f>F2151*Controls!$B$6</f>
        <v>39</v>
      </c>
      <c r="M2151" s="11">
        <f>G2151*Controls!$B$6</f>
        <v>4875</v>
      </c>
      <c r="N2151" s="12">
        <f>IF(L2151=0,0,SUMIFS('PSI Plan'!$N$6:$N$173,'PSI Plan'!$B$6:$B$173,B2151,'PSI Plan'!$C$6:$C$173,I2151))</f>
        <v>0</v>
      </c>
      <c r="O2151" s="11">
        <f t="shared" si="66"/>
        <v>0</v>
      </c>
      <c r="P2151" s="11">
        <f t="shared" si="67"/>
        <v>0</v>
      </c>
      <c r="Q2151" s="6"/>
      <c r="R2151" s="6"/>
      <c r="S2151" s="6"/>
      <c r="T2151" s="6"/>
    </row>
    <row r="2152" spans="1:20">
      <c r="A2152" s="6" t="s">
        <v>2316</v>
      </c>
      <c r="B2152" s="6" t="s">
        <v>66</v>
      </c>
      <c r="C2152" s="6" t="s">
        <v>90</v>
      </c>
      <c r="D2152" s="6" t="s">
        <v>119</v>
      </c>
      <c r="E2152" s="6" t="s">
        <v>120</v>
      </c>
      <c r="F2152" s="7">
        <v>13</v>
      </c>
      <c r="G2152" s="7">
        <v>1625</v>
      </c>
      <c r="H2152" s="16">
        <v>45236</v>
      </c>
      <c r="I2152" s="6">
        <v>45</v>
      </c>
      <c r="J2152" s="6" t="s">
        <v>2151</v>
      </c>
      <c r="K2152" s="6" t="s">
        <v>2317</v>
      </c>
      <c r="L2152" s="11">
        <f>F2152*Controls!$B$6</f>
        <v>13</v>
      </c>
      <c r="M2152" s="11">
        <f>G2152*Controls!$B$6</f>
        <v>1625</v>
      </c>
      <c r="N2152" s="12">
        <f>IF(L2152=0,0,SUMIFS('PSI Plan'!$N$6:$N$173,'PSI Plan'!$B$6:$B$173,B2152,'PSI Plan'!$C$6:$C$173,I2152))</f>
        <v>0</v>
      </c>
      <c r="O2152" s="11">
        <f t="shared" si="66"/>
        <v>0</v>
      </c>
      <c r="P2152" s="11">
        <f t="shared" si="67"/>
        <v>0</v>
      </c>
      <c r="Q2152" s="6"/>
      <c r="R2152" s="6"/>
      <c r="S2152" s="6"/>
      <c r="T2152" s="6"/>
    </row>
    <row r="2153" spans="1:20">
      <c r="A2153" s="6" t="s">
        <v>2318</v>
      </c>
      <c r="B2153" s="6" t="s">
        <v>69</v>
      </c>
      <c r="C2153" s="6" t="s">
        <v>90</v>
      </c>
      <c r="D2153" s="6" t="s">
        <v>119</v>
      </c>
      <c r="E2153" s="6" t="s">
        <v>120</v>
      </c>
      <c r="F2153" s="7">
        <v>13</v>
      </c>
      <c r="G2153" s="7">
        <v>1625</v>
      </c>
      <c r="H2153" s="16">
        <v>45247</v>
      </c>
      <c r="I2153" s="6">
        <v>46</v>
      </c>
      <c r="J2153" s="6" t="s">
        <v>2151</v>
      </c>
      <c r="K2153" s="6" t="s">
        <v>2317</v>
      </c>
      <c r="L2153" s="11">
        <f>F2153*Controls!$B$6</f>
        <v>13</v>
      </c>
      <c r="M2153" s="11">
        <f>G2153*Controls!$B$6</f>
        <v>1625</v>
      </c>
      <c r="N2153" s="12">
        <f>IF(L2153=0,0,SUMIFS('PSI Plan'!$N$6:$N$173,'PSI Plan'!$B$6:$B$173,B2153,'PSI Plan'!$C$6:$C$173,I2153))</f>
        <v>0</v>
      </c>
      <c r="O2153" s="11">
        <f t="shared" si="66"/>
        <v>0</v>
      </c>
      <c r="P2153" s="11">
        <f t="shared" si="67"/>
        <v>0</v>
      </c>
      <c r="Q2153" s="6"/>
      <c r="R2153" s="6"/>
      <c r="S2153" s="6"/>
      <c r="T2153" s="6"/>
    </row>
    <row r="2154" spans="1:20">
      <c r="A2154" s="6" t="s">
        <v>2319</v>
      </c>
      <c r="B2154" s="6" t="s">
        <v>66</v>
      </c>
      <c r="C2154" s="6" t="s">
        <v>90</v>
      </c>
      <c r="D2154" s="6" t="s">
        <v>119</v>
      </c>
      <c r="E2154" s="6" t="s">
        <v>120</v>
      </c>
      <c r="F2154" s="7">
        <v>52</v>
      </c>
      <c r="G2154" s="7">
        <v>6500</v>
      </c>
      <c r="H2154" s="16">
        <v>45220</v>
      </c>
      <c r="I2154" s="6">
        <v>42</v>
      </c>
      <c r="J2154" s="6" t="s">
        <v>1791</v>
      </c>
      <c r="K2154" s="6" t="s">
        <v>1890</v>
      </c>
      <c r="L2154" s="11">
        <f>F2154*Controls!$B$6</f>
        <v>52</v>
      </c>
      <c r="M2154" s="11">
        <f>G2154*Controls!$B$6</f>
        <v>6500</v>
      </c>
      <c r="N2154" s="12">
        <f>IF(L2154=0,0,SUMIFS('PSI Plan'!$N$6:$N$173,'PSI Plan'!$B$6:$B$173,B2154,'PSI Plan'!$C$6:$C$173,I2154))</f>
        <v>0.59807073954983925</v>
      </c>
      <c r="O2154" s="11">
        <f t="shared" si="66"/>
        <v>31.09967845659164</v>
      </c>
      <c r="P2154" s="11">
        <f t="shared" si="67"/>
        <v>3887.4598070739553</v>
      </c>
      <c r="Q2154" s="6"/>
      <c r="R2154" s="6"/>
      <c r="S2154" s="6"/>
      <c r="T2154" s="6"/>
    </row>
    <row r="2155" spans="1:20">
      <c r="A2155" s="6" t="s">
        <v>2320</v>
      </c>
      <c r="B2155" s="6" t="s">
        <v>77</v>
      </c>
      <c r="C2155" s="6" t="s">
        <v>90</v>
      </c>
      <c r="D2155" s="6" t="s">
        <v>119</v>
      </c>
      <c r="E2155" s="6" t="s">
        <v>120</v>
      </c>
      <c r="F2155" s="7">
        <v>26</v>
      </c>
      <c r="G2155" s="7">
        <v>3250</v>
      </c>
      <c r="H2155" s="16">
        <v>45202</v>
      </c>
      <c r="I2155" s="6">
        <v>40</v>
      </c>
      <c r="J2155" s="6" t="s">
        <v>121</v>
      </c>
      <c r="K2155" s="6" t="s">
        <v>725</v>
      </c>
      <c r="L2155" s="11">
        <f>F2155*Controls!$B$6</f>
        <v>26</v>
      </c>
      <c r="M2155" s="11">
        <f>G2155*Controls!$B$6</f>
        <v>3250</v>
      </c>
      <c r="N2155" s="12">
        <f>IF(L2155=0,0,SUMIFS('PSI Plan'!$N$6:$N$173,'PSI Plan'!$B$6:$B$173,B2155,'PSI Plan'!$C$6:$C$173,I2155))</f>
        <v>0</v>
      </c>
      <c r="O2155" s="11">
        <f t="shared" si="66"/>
        <v>0</v>
      </c>
      <c r="P2155" s="11">
        <f t="shared" si="67"/>
        <v>0</v>
      </c>
      <c r="Q2155" s="6"/>
      <c r="R2155" s="6"/>
      <c r="S2155" s="6"/>
      <c r="T2155" s="6"/>
    </row>
    <row r="2156" spans="1:20">
      <c r="A2156" s="6" t="s">
        <v>2321</v>
      </c>
      <c r="B2156" s="6" t="s">
        <v>69</v>
      </c>
      <c r="C2156" s="6" t="s">
        <v>90</v>
      </c>
      <c r="D2156" s="6" t="s">
        <v>119</v>
      </c>
      <c r="E2156" s="6" t="s">
        <v>120</v>
      </c>
      <c r="F2156" s="7">
        <v>26</v>
      </c>
      <c r="G2156" s="7">
        <v>3250</v>
      </c>
      <c r="H2156" s="16">
        <v>45202</v>
      </c>
      <c r="I2156" s="6">
        <v>40</v>
      </c>
      <c r="J2156" s="6" t="s">
        <v>121</v>
      </c>
      <c r="K2156" s="6" t="s">
        <v>725</v>
      </c>
      <c r="L2156" s="11">
        <f>F2156*Controls!$B$6</f>
        <v>26</v>
      </c>
      <c r="M2156" s="11">
        <f>G2156*Controls!$B$6</f>
        <v>3250</v>
      </c>
      <c r="N2156" s="12">
        <f>IF(L2156=0,0,SUMIFS('PSI Plan'!$N$6:$N$173,'PSI Plan'!$B$6:$B$173,B2156,'PSI Plan'!$C$6:$C$173,I2156))</f>
        <v>0</v>
      </c>
      <c r="O2156" s="11">
        <f t="shared" si="66"/>
        <v>0</v>
      </c>
      <c r="P2156" s="11">
        <f t="shared" si="67"/>
        <v>0</v>
      </c>
      <c r="Q2156" s="6"/>
      <c r="R2156" s="6"/>
      <c r="S2156" s="6"/>
      <c r="T2156" s="6"/>
    </row>
    <row r="2157" spans="1:20">
      <c r="A2157" s="6" t="s">
        <v>2322</v>
      </c>
      <c r="B2157" s="6" t="s">
        <v>66</v>
      </c>
      <c r="C2157" s="6" t="s">
        <v>90</v>
      </c>
      <c r="D2157" s="6" t="s">
        <v>119</v>
      </c>
      <c r="E2157" s="6" t="s">
        <v>120</v>
      </c>
      <c r="F2157" s="7">
        <v>26</v>
      </c>
      <c r="G2157" s="7">
        <v>3250</v>
      </c>
      <c r="H2157" s="16">
        <v>45266</v>
      </c>
      <c r="I2157" s="6">
        <v>49</v>
      </c>
      <c r="J2157" s="6" t="s">
        <v>121</v>
      </c>
      <c r="K2157" s="6" t="s">
        <v>122</v>
      </c>
      <c r="L2157" s="11">
        <f>F2157*Controls!$B$6</f>
        <v>26</v>
      </c>
      <c r="M2157" s="11">
        <f>G2157*Controls!$B$6</f>
        <v>3250</v>
      </c>
      <c r="N2157" s="12">
        <f>IF(L2157=0,0,SUMIFS('PSI Plan'!$N$6:$N$173,'PSI Plan'!$B$6:$B$173,B2157,'PSI Plan'!$C$6:$C$173,I2157))</f>
        <v>0</v>
      </c>
      <c r="O2157" s="11">
        <f t="shared" si="66"/>
        <v>0</v>
      </c>
      <c r="P2157" s="11">
        <f t="shared" si="67"/>
        <v>0</v>
      </c>
      <c r="Q2157" s="6"/>
      <c r="R2157" s="6"/>
      <c r="S2157" s="6"/>
      <c r="T2157" s="6"/>
    </row>
    <row r="2158" spans="1:20">
      <c r="A2158" s="6" t="s">
        <v>2323</v>
      </c>
      <c r="B2158" s="6" t="s">
        <v>77</v>
      </c>
      <c r="C2158" s="6" t="s">
        <v>90</v>
      </c>
      <c r="D2158" s="6" t="s">
        <v>119</v>
      </c>
      <c r="E2158" s="6" t="s">
        <v>120</v>
      </c>
      <c r="F2158" s="7">
        <v>134</v>
      </c>
      <c r="G2158" s="7">
        <v>16750</v>
      </c>
      <c r="H2158" s="16">
        <v>45271</v>
      </c>
      <c r="I2158" s="6">
        <v>50</v>
      </c>
      <c r="J2158" s="6" t="s">
        <v>121</v>
      </c>
      <c r="K2158" s="6" t="s">
        <v>122</v>
      </c>
      <c r="L2158" s="11">
        <f>F2158*Controls!$B$6</f>
        <v>134</v>
      </c>
      <c r="M2158" s="11">
        <f>G2158*Controls!$B$6</f>
        <v>16750</v>
      </c>
      <c r="N2158" s="12">
        <f>IF(L2158=0,0,SUMIFS('PSI Plan'!$N$6:$N$173,'PSI Plan'!$B$6:$B$173,B2158,'PSI Plan'!$C$6:$C$173,I2158))</f>
        <v>0</v>
      </c>
      <c r="O2158" s="11">
        <f t="shared" si="66"/>
        <v>0</v>
      </c>
      <c r="P2158" s="11">
        <f t="shared" si="67"/>
        <v>0</v>
      </c>
      <c r="Q2158" s="6"/>
      <c r="R2158" s="6"/>
      <c r="S2158" s="6"/>
      <c r="T2158" s="6"/>
    </row>
    <row r="2159" spans="1:20">
      <c r="A2159" s="6" t="s">
        <v>2324</v>
      </c>
      <c r="B2159" s="6" t="s">
        <v>76</v>
      </c>
      <c r="C2159" s="6" t="s">
        <v>90</v>
      </c>
      <c r="D2159" s="6" t="s">
        <v>119</v>
      </c>
      <c r="E2159" s="6" t="s">
        <v>120</v>
      </c>
      <c r="F2159" s="7">
        <v>58</v>
      </c>
      <c r="G2159" s="7">
        <v>7250</v>
      </c>
      <c r="H2159" s="16">
        <v>45251</v>
      </c>
      <c r="I2159" s="6">
        <v>47</v>
      </c>
      <c r="J2159" s="6" t="s">
        <v>121</v>
      </c>
      <c r="K2159" s="6" t="s">
        <v>122</v>
      </c>
      <c r="L2159" s="11">
        <f>F2159*Controls!$B$6</f>
        <v>58</v>
      </c>
      <c r="M2159" s="11">
        <f>G2159*Controls!$B$6</f>
        <v>7250</v>
      </c>
      <c r="N2159" s="12">
        <f>IF(L2159=0,0,SUMIFS('PSI Plan'!$N$6:$N$173,'PSI Plan'!$B$6:$B$173,B2159,'PSI Plan'!$C$6:$C$173,I2159))</f>
        <v>0</v>
      </c>
      <c r="O2159" s="11">
        <f t="shared" si="66"/>
        <v>0</v>
      </c>
      <c r="P2159" s="11">
        <f t="shared" si="67"/>
        <v>0</v>
      </c>
      <c r="Q2159" s="6"/>
      <c r="R2159" s="6"/>
      <c r="S2159" s="6"/>
      <c r="T2159" s="6"/>
    </row>
    <row r="2160" spans="1:20">
      <c r="A2160" s="6" t="s">
        <v>2325</v>
      </c>
      <c r="B2160" s="6" t="s">
        <v>67</v>
      </c>
      <c r="C2160" s="6" t="s">
        <v>90</v>
      </c>
      <c r="D2160" s="6" t="s">
        <v>119</v>
      </c>
      <c r="E2160" s="6" t="s">
        <v>120</v>
      </c>
      <c r="F2160" s="7">
        <v>44</v>
      </c>
      <c r="G2160" s="7">
        <v>5500</v>
      </c>
      <c r="H2160" s="16">
        <v>45247</v>
      </c>
      <c r="I2160" s="6">
        <v>46</v>
      </c>
      <c r="J2160" s="6" t="s">
        <v>121</v>
      </c>
      <c r="K2160" s="6" t="s">
        <v>122</v>
      </c>
      <c r="L2160" s="11">
        <f>F2160*Controls!$B$6</f>
        <v>44</v>
      </c>
      <c r="M2160" s="11">
        <f>G2160*Controls!$B$6</f>
        <v>5500</v>
      </c>
      <c r="N2160" s="12">
        <f>IF(L2160=0,0,SUMIFS('PSI Plan'!$N$6:$N$173,'PSI Plan'!$B$6:$B$173,B2160,'PSI Plan'!$C$6:$C$173,I2160))</f>
        <v>0</v>
      </c>
      <c r="O2160" s="11">
        <f t="shared" si="66"/>
        <v>0</v>
      </c>
      <c r="P2160" s="11">
        <f t="shared" si="67"/>
        <v>0</v>
      </c>
      <c r="Q2160" s="6"/>
      <c r="R2160" s="6"/>
      <c r="S2160" s="6"/>
      <c r="T2160" s="6"/>
    </row>
    <row r="2161" spans="1:20">
      <c r="A2161" s="6" t="s">
        <v>2326</v>
      </c>
      <c r="B2161" s="6" t="s">
        <v>69</v>
      </c>
      <c r="C2161" s="6" t="s">
        <v>90</v>
      </c>
      <c r="D2161" s="6" t="s">
        <v>119</v>
      </c>
      <c r="E2161" s="6" t="s">
        <v>120</v>
      </c>
      <c r="F2161" s="7">
        <v>67</v>
      </c>
      <c r="G2161" s="7">
        <v>8375</v>
      </c>
      <c r="H2161" s="16">
        <v>45279</v>
      </c>
      <c r="I2161" s="6">
        <v>51</v>
      </c>
      <c r="J2161" s="6" t="s">
        <v>121</v>
      </c>
      <c r="K2161" s="6" t="s">
        <v>122</v>
      </c>
      <c r="L2161" s="11">
        <f>F2161*Controls!$B$6</f>
        <v>67</v>
      </c>
      <c r="M2161" s="11">
        <f>G2161*Controls!$B$6</f>
        <v>8375</v>
      </c>
      <c r="N2161" s="12">
        <f>IF(L2161=0,0,SUMIFS('PSI Plan'!$N$6:$N$173,'PSI Plan'!$B$6:$B$173,B2161,'PSI Plan'!$C$6:$C$173,I2161))</f>
        <v>0</v>
      </c>
      <c r="O2161" s="11">
        <f t="shared" si="66"/>
        <v>0</v>
      </c>
      <c r="P2161" s="11">
        <f t="shared" si="67"/>
        <v>0</v>
      </c>
      <c r="Q2161" s="6"/>
      <c r="R2161" s="6"/>
      <c r="S2161" s="6"/>
      <c r="T2161" s="6"/>
    </row>
    <row r="2162" spans="1:20">
      <c r="A2162" s="6" t="s">
        <v>2327</v>
      </c>
      <c r="B2162" s="6" t="s">
        <v>66</v>
      </c>
      <c r="C2162" s="6" t="s">
        <v>90</v>
      </c>
      <c r="D2162" s="6" t="s">
        <v>119</v>
      </c>
      <c r="E2162" s="6" t="s">
        <v>120</v>
      </c>
      <c r="F2162" s="7">
        <v>26</v>
      </c>
      <c r="G2162" s="7">
        <v>3250</v>
      </c>
      <c r="H2162" s="16">
        <v>45250</v>
      </c>
      <c r="I2162" s="6">
        <v>47</v>
      </c>
      <c r="J2162" s="6" t="s">
        <v>121</v>
      </c>
      <c r="K2162" s="6" t="s">
        <v>855</v>
      </c>
      <c r="L2162" s="11">
        <f>F2162*Controls!$B$6</f>
        <v>26</v>
      </c>
      <c r="M2162" s="11">
        <f>G2162*Controls!$B$6</f>
        <v>3250</v>
      </c>
      <c r="N2162" s="12">
        <f>IF(L2162=0,0,SUMIFS('PSI Plan'!$N$6:$N$173,'PSI Plan'!$B$6:$B$173,B2162,'PSI Plan'!$C$6:$C$173,I2162))</f>
        <v>0</v>
      </c>
      <c r="O2162" s="11">
        <f t="shared" si="66"/>
        <v>0</v>
      </c>
      <c r="P2162" s="11">
        <f t="shared" si="67"/>
        <v>0</v>
      </c>
      <c r="Q2162" s="6"/>
      <c r="R2162" s="6"/>
      <c r="S2162" s="6"/>
      <c r="T2162" s="6"/>
    </row>
    <row r="2163" spans="1:20">
      <c r="A2163" s="6" t="s">
        <v>2328</v>
      </c>
      <c r="B2163" s="6" t="s">
        <v>77</v>
      </c>
      <c r="C2163" s="6" t="s">
        <v>90</v>
      </c>
      <c r="D2163" s="6" t="s">
        <v>119</v>
      </c>
      <c r="E2163" s="6" t="s">
        <v>120</v>
      </c>
      <c r="F2163" s="7">
        <v>13</v>
      </c>
      <c r="G2163" s="7">
        <v>1625</v>
      </c>
      <c r="H2163" s="16">
        <v>45268</v>
      </c>
      <c r="I2163" s="6">
        <v>49</v>
      </c>
      <c r="J2163" s="6" t="s">
        <v>121</v>
      </c>
      <c r="K2163" s="6" t="s">
        <v>855</v>
      </c>
      <c r="L2163" s="11">
        <f>F2163*Controls!$B$6</f>
        <v>13</v>
      </c>
      <c r="M2163" s="11">
        <f>G2163*Controls!$B$6</f>
        <v>1625</v>
      </c>
      <c r="N2163" s="12">
        <f>IF(L2163=0,0,SUMIFS('PSI Plan'!$N$6:$N$173,'PSI Plan'!$B$6:$B$173,B2163,'PSI Plan'!$C$6:$C$173,I2163))</f>
        <v>0</v>
      </c>
      <c r="O2163" s="11">
        <f t="shared" si="66"/>
        <v>0</v>
      </c>
      <c r="P2163" s="11">
        <f t="shared" si="67"/>
        <v>0</v>
      </c>
      <c r="Q2163" s="6"/>
      <c r="R2163" s="6"/>
      <c r="S2163" s="6"/>
      <c r="T2163" s="6"/>
    </row>
    <row r="2164" spans="1:20">
      <c r="A2164" s="6" t="s">
        <v>2329</v>
      </c>
      <c r="B2164" s="6" t="s">
        <v>76</v>
      </c>
      <c r="C2164" s="6" t="s">
        <v>90</v>
      </c>
      <c r="D2164" s="6" t="s">
        <v>119</v>
      </c>
      <c r="E2164" s="6" t="s">
        <v>120</v>
      </c>
      <c r="F2164" s="7">
        <v>26</v>
      </c>
      <c r="G2164" s="7">
        <v>3250</v>
      </c>
      <c r="H2164" s="16">
        <v>45257</v>
      </c>
      <c r="I2164" s="6">
        <v>48</v>
      </c>
      <c r="J2164" s="6" t="s">
        <v>121</v>
      </c>
      <c r="K2164" s="6" t="s">
        <v>855</v>
      </c>
      <c r="L2164" s="11">
        <f>F2164*Controls!$B$6</f>
        <v>26</v>
      </c>
      <c r="M2164" s="11">
        <f>G2164*Controls!$B$6</f>
        <v>3250</v>
      </c>
      <c r="N2164" s="12">
        <f>IF(L2164=0,0,SUMIFS('PSI Plan'!$N$6:$N$173,'PSI Plan'!$B$6:$B$173,B2164,'PSI Plan'!$C$6:$C$173,I2164))</f>
        <v>0</v>
      </c>
      <c r="O2164" s="11">
        <f t="shared" si="66"/>
        <v>0</v>
      </c>
      <c r="P2164" s="11">
        <f t="shared" si="67"/>
        <v>0</v>
      </c>
      <c r="Q2164" s="6"/>
      <c r="R2164" s="6"/>
      <c r="S2164" s="6"/>
      <c r="T2164" s="6"/>
    </row>
    <row r="2165" spans="1:20">
      <c r="A2165" s="6" t="s">
        <v>2330</v>
      </c>
      <c r="B2165" s="6" t="s">
        <v>69</v>
      </c>
      <c r="C2165" s="6" t="s">
        <v>90</v>
      </c>
      <c r="D2165" s="6" t="s">
        <v>119</v>
      </c>
      <c r="E2165" s="6" t="s">
        <v>120</v>
      </c>
      <c r="F2165" s="7">
        <v>13</v>
      </c>
      <c r="G2165" s="7">
        <v>1625</v>
      </c>
      <c r="H2165" s="16">
        <v>45236</v>
      </c>
      <c r="I2165" s="6">
        <v>45</v>
      </c>
      <c r="J2165" s="6" t="s">
        <v>121</v>
      </c>
      <c r="K2165" s="6" t="s">
        <v>855</v>
      </c>
      <c r="L2165" s="11">
        <f>F2165*Controls!$B$6</f>
        <v>13</v>
      </c>
      <c r="M2165" s="11">
        <f>G2165*Controls!$B$6</f>
        <v>1625</v>
      </c>
      <c r="N2165" s="12">
        <f>IF(L2165=0,0,SUMIFS('PSI Plan'!$N$6:$N$173,'PSI Plan'!$B$6:$B$173,B2165,'PSI Plan'!$C$6:$C$173,I2165))</f>
        <v>0</v>
      </c>
      <c r="O2165" s="11">
        <f t="shared" si="66"/>
        <v>0</v>
      </c>
      <c r="P2165" s="11">
        <f t="shared" si="67"/>
        <v>0</v>
      </c>
      <c r="Q2165" s="6"/>
      <c r="R2165" s="6"/>
      <c r="S2165" s="6"/>
      <c r="T2165" s="6"/>
    </row>
    <row r="2166" spans="1:20">
      <c r="A2166" s="6" t="s">
        <v>2331</v>
      </c>
      <c r="B2166" s="6" t="s">
        <v>77</v>
      </c>
      <c r="C2166" s="6" t="s">
        <v>90</v>
      </c>
      <c r="D2166" s="6" t="s">
        <v>119</v>
      </c>
      <c r="E2166" s="6" t="s">
        <v>120</v>
      </c>
      <c r="F2166" s="7">
        <v>13</v>
      </c>
      <c r="G2166" s="7">
        <v>1625</v>
      </c>
      <c r="H2166" s="16">
        <v>45221</v>
      </c>
      <c r="I2166" s="6">
        <v>43</v>
      </c>
      <c r="J2166" s="6" t="s">
        <v>121</v>
      </c>
      <c r="K2166" s="6" t="s">
        <v>132</v>
      </c>
      <c r="L2166" s="11">
        <f>F2166*Controls!$B$6</f>
        <v>13</v>
      </c>
      <c r="M2166" s="11">
        <f>G2166*Controls!$B$6</f>
        <v>1625</v>
      </c>
      <c r="N2166" s="12">
        <f>IF(L2166=0,0,SUMIFS('PSI Plan'!$N$6:$N$173,'PSI Plan'!$B$6:$B$173,B2166,'PSI Plan'!$C$6:$C$173,I2166))</f>
        <v>0</v>
      </c>
      <c r="O2166" s="11">
        <f t="shared" si="66"/>
        <v>0</v>
      </c>
      <c r="P2166" s="11">
        <f t="shared" si="67"/>
        <v>0</v>
      </c>
      <c r="Q2166" s="6"/>
      <c r="R2166" s="6"/>
      <c r="S2166" s="6"/>
      <c r="T2166" s="6"/>
    </row>
    <row r="2167" spans="1:20">
      <c r="A2167" s="6" t="s">
        <v>2332</v>
      </c>
      <c r="B2167" s="6" t="s">
        <v>69</v>
      </c>
      <c r="C2167" s="6" t="s">
        <v>90</v>
      </c>
      <c r="D2167" s="6" t="s">
        <v>119</v>
      </c>
      <c r="E2167" s="6" t="s">
        <v>120</v>
      </c>
      <c r="F2167" s="7">
        <v>13</v>
      </c>
      <c r="G2167" s="7">
        <v>1625</v>
      </c>
      <c r="H2167" s="16">
        <v>45226</v>
      </c>
      <c r="I2167" s="6">
        <v>43</v>
      </c>
      <c r="J2167" s="6" t="s">
        <v>121</v>
      </c>
      <c r="K2167" s="6" t="s">
        <v>132</v>
      </c>
      <c r="L2167" s="11">
        <f>F2167*Controls!$B$6</f>
        <v>13</v>
      </c>
      <c r="M2167" s="11">
        <f>G2167*Controls!$B$6</f>
        <v>1625</v>
      </c>
      <c r="N2167" s="12">
        <f>IF(L2167=0,0,SUMIFS('PSI Plan'!$N$6:$N$173,'PSI Plan'!$B$6:$B$173,B2167,'PSI Plan'!$C$6:$C$173,I2167))</f>
        <v>0</v>
      </c>
      <c r="O2167" s="11">
        <f t="shared" si="66"/>
        <v>0</v>
      </c>
      <c r="P2167" s="11">
        <f t="shared" si="67"/>
        <v>0</v>
      </c>
      <c r="Q2167" s="6"/>
      <c r="R2167" s="6"/>
      <c r="S2167" s="6"/>
      <c r="T2167" s="6"/>
    </row>
    <row r="2168" spans="1:20">
      <c r="A2168" s="6" t="s">
        <v>2333</v>
      </c>
      <c r="B2168" s="6" t="s">
        <v>66</v>
      </c>
      <c r="C2168" s="6" t="s">
        <v>90</v>
      </c>
      <c r="D2168" s="6" t="s">
        <v>119</v>
      </c>
      <c r="E2168" s="6" t="s">
        <v>120</v>
      </c>
      <c r="F2168" s="7">
        <v>13</v>
      </c>
      <c r="G2168" s="7">
        <v>1625</v>
      </c>
      <c r="H2168" s="16">
        <v>45230</v>
      </c>
      <c r="I2168" s="6">
        <v>44</v>
      </c>
      <c r="J2168" s="6" t="s">
        <v>121</v>
      </c>
      <c r="K2168" s="6" t="s">
        <v>139</v>
      </c>
      <c r="L2168" s="11">
        <f>F2168*Controls!$B$6</f>
        <v>13</v>
      </c>
      <c r="M2168" s="11">
        <f>G2168*Controls!$B$6</f>
        <v>1625</v>
      </c>
      <c r="N2168" s="12">
        <f>IF(L2168=0,0,SUMIFS('PSI Plan'!$N$6:$N$173,'PSI Plan'!$B$6:$B$173,B2168,'PSI Plan'!$C$6:$C$173,I2168))</f>
        <v>0</v>
      </c>
      <c r="O2168" s="11">
        <f t="shared" si="66"/>
        <v>0</v>
      </c>
      <c r="P2168" s="11">
        <f t="shared" si="67"/>
        <v>0</v>
      </c>
      <c r="Q2168" s="6"/>
      <c r="R2168" s="6"/>
      <c r="S2168" s="6"/>
      <c r="T2168" s="6"/>
    </row>
    <row r="2169" spans="1:20">
      <c r="A2169" s="6" t="s">
        <v>2334</v>
      </c>
      <c r="B2169" s="6" t="s">
        <v>77</v>
      </c>
      <c r="C2169" s="6" t="s">
        <v>90</v>
      </c>
      <c r="D2169" s="6" t="s">
        <v>119</v>
      </c>
      <c r="E2169" s="6" t="s">
        <v>120</v>
      </c>
      <c r="F2169" s="7">
        <v>13</v>
      </c>
      <c r="G2169" s="7">
        <v>1625</v>
      </c>
      <c r="H2169" s="16">
        <v>45261</v>
      </c>
      <c r="I2169" s="6">
        <v>48</v>
      </c>
      <c r="J2169" s="6" t="s">
        <v>121</v>
      </c>
      <c r="K2169" s="6" t="s">
        <v>139</v>
      </c>
      <c r="L2169" s="11">
        <f>F2169*Controls!$B$6</f>
        <v>13</v>
      </c>
      <c r="M2169" s="11">
        <f>G2169*Controls!$B$6</f>
        <v>1625</v>
      </c>
      <c r="N2169" s="12">
        <f>IF(L2169=0,0,SUMIFS('PSI Plan'!$N$6:$N$173,'PSI Plan'!$B$6:$B$173,B2169,'PSI Plan'!$C$6:$C$173,I2169))</f>
        <v>0</v>
      </c>
      <c r="O2169" s="11">
        <f t="shared" si="66"/>
        <v>0</v>
      </c>
      <c r="P2169" s="11">
        <f t="shared" si="67"/>
        <v>0</v>
      </c>
      <c r="Q2169" s="6"/>
      <c r="R2169" s="6"/>
      <c r="S2169" s="6"/>
      <c r="T2169" s="6"/>
    </row>
    <row r="2170" spans="1:20">
      <c r="A2170" s="6" t="s">
        <v>2335</v>
      </c>
      <c r="B2170" s="6" t="s">
        <v>76</v>
      </c>
      <c r="C2170" s="6" t="s">
        <v>90</v>
      </c>
      <c r="D2170" s="6" t="s">
        <v>119</v>
      </c>
      <c r="E2170" s="6" t="s">
        <v>120</v>
      </c>
      <c r="F2170" s="7">
        <v>13</v>
      </c>
      <c r="G2170" s="7">
        <v>1625</v>
      </c>
      <c r="H2170" s="16">
        <v>45247</v>
      </c>
      <c r="I2170" s="6">
        <v>46</v>
      </c>
      <c r="J2170" s="6" t="s">
        <v>121</v>
      </c>
      <c r="K2170" s="6" t="s">
        <v>139</v>
      </c>
      <c r="L2170" s="11">
        <f>F2170*Controls!$B$6</f>
        <v>13</v>
      </c>
      <c r="M2170" s="11">
        <f>G2170*Controls!$B$6</f>
        <v>1625</v>
      </c>
      <c r="N2170" s="12">
        <f>IF(L2170=0,0,SUMIFS('PSI Plan'!$N$6:$N$173,'PSI Plan'!$B$6:$B$173,B2170,'PSI Plan'!$C$6:$C$173,I2170))</f>
        <v>0</v>
      </c>
      <c r="O2170" s="11">
        <f t="shared" si="66"/>
        <v>0</v>
      </c>
      <c r="P2170" s="11">
        <f t="shared" si="67"/>
        <v>0</v>
      </c>
      <c r="Q2170" s="6"/>
      <c r="R2170" s="6"/>
      <c r="S2170" s="6"/>
      <c r="T2170" s="6"/>
    </row>
    <row r="2171" spans="1:20">
      <c r="A2171" s="6" t="s">
        <v>2336</v>
      </c>
      <c r="B2171" s="6" t="s">
        <v>69</v>
      </c>
      <c r="C2171" s="6" t="s">
        <v>90</v>
      </c>
      <c r="D2171" s="6" t="s">
        <v>119</v>
      </c>
      <c r="E2171" s="6" t="s">
        <v>120</v>
      </c>
      <c r="F2171" s="7">
        <v>13</v>
      </c>
      <c r="G2171" s="7">
        <v>1625</v>
      </c>
      <c r="H2171" s="16">
        <v>45246</v>
      </c>
      <c r="I2171" s="6">
        <v>46</v>
      </c>
      <c r="J2171" s="6" t="s">
        <v>121</v>
      </c>
      <c r="K2171" s="6" t="s">
        <v>139</v>
      </c>
      <c r="L2171" s="11">
        <f>F2171*Controls!$B$6</f>
        <v>13</v>
      </c>
      <c r="M2171" s="11">
        <f>G2171*Controls!$B$6</f>
        <v>1625</v>
      </c>
      <c r="N2171" s="12">
        <f>IF(L2171=0,0,SUMIFS('PSI Plan'!$N$6:$N$173,'PSI Plan'!$B$6:$B$173,B2171,'PSI Plan'!$C$6:$C$173,I2171))</f>
        <v>0</v>
      </c>
      <c r="O2171" s="11">
        <f t="shared" si="66"/>
        <v>0</v>
      </c>
      <c r="P2171" s="11">
        <f t="shared" si="67"/>
        <v>0</v>
      </c>
      <c r="Q2171" s="6"/>
      <c r="R2171" s="6"/>
      <c r="S2171" s="6"/>
      <c r="T2171" s="6"/>
    </row>
    <row r="2172" spans="1:20">
      <c r="A2172" s="6" t="s">
        <v>2337</v>
      </c>
      <c r="B2172" s="6" t="s">
        <v>66</v>
      </c>
      <c r="C2172" s="6" t="s">
        <v>90</v>
      </c>
      <c r="D2172" s="6" t="s">
        <v>119</v>
      </c>
      <c r="E2172" s="6" t="s">
        <v>120</v>
      </c>
      <c r="F2172" s="7">
        <v>39</v>
      </c>
      <c r="G2172" s="7">
        <v>4875</v>
      </c>
      <c r="H2172" s="16">
        <v>45235</v>
      </c>
      <c r="I2172" s="6">
        <v>45</v>
      </c>
      <c r="J2172" s="6" t="s">
        <v>121</v>
      </c>
      <c r="K2172" s="6" t="s">
        <v>171</v>
      </c>
      <c r="L2172" s="11">
        <f>F2172*Controls!$B$6</f>
        <v>39</v>
      </c>
      <c r="M2172" s="11">
        <f>G2172*Controls!$B$6</f>
        <v>4875</v>
      </c>
      <c r="N2172" s="12">
        <f>IF(L2172=0,0,SUMIFS('PSI Plan'!$N$6:$N$173,'PSI Plan'!$B$6:$B$173,B2172,'PSI Plan'!$C$6:$C$173,I2172))</f>
        <v>0</v>
      </c>
      <c r="O2172" s="11">
        <f t="shared" si="66"/>
        <v>0</v>
      </c>
      <c r="P2172" s="11">
        <f t="shared" si="67"/>
        <v>0</v>
      </c>
      <c r="Q2172" s="6"/>
      <c r="R2172" s="6"/>
      <c r="S2172" s="6"/>
      <c r="T2172" s="6"/>
    </row>
    <row r="2173" spans="1:20">
      <c r="A2173" s="6" t="s">
        <v>2338</v>
      </c>
      <c r="B2173" s="6" t="s">
        <v>77</v>
      </c>
      <c r="C2173" s="6" t="s">
        <v>90</v>
      </c>
      <c r="D2173" s="6" t="s">
        <v>119</v>
      </c>
      <c r="E2173" s="6" t="s">
        <v>120</v>
      </c>
      <c r="F2173" s="7">
        <v>39</v>
      </c>
      <c r="G2173" s="7">
        <v>4875</v>
      </c>
      <c r="H2173" s="16">
        <v>45257</v>
      </c>
      <c r="I2173" s="6">
        <v>48</v>
      </c>
      <c r="J2173" s="6" t="s">
        <v>121</v>
      </c>
      <c r="K2173" s="6" t="s">
        <v>171</v>
      </c>
      <c r="L2173" s="11">
        <f>F2173*Controls!$B$6</f>
        <v>39</v>
      </c>
      <c r="M2173" s="11">
        <f>G2173*Controls!$B$6</f>
        <v>4875</v>
      </c>
      <c r="N2173" s="12">
        <f>IF(L2173=0,0,SUMIFS('PSI Plan'!$N$6:$N$173,'PSI Plan'!$B$6:$B$173,B2173,'PSI Plan'!$C$6:$C$173,I2173))</f>
        <v>0</v>
      </c>
      <c r="O2173" s="11">
        <f t="shared" si="66"/>
        <v>0</v>
      </c>
      <c r="P2173" s="11">
        <f t="shared" si="67"/>
        <v>0</v>
      </c>
      <c r="Q2173" s="6"/>
      <c r="R2173" s="6"/>
      <c r="S2173" s="6"/>
      <c r="T2173" s="6"/>
    </row>
    <row r="2174" spans="1:20">
      <c r="A2174" s="6" t="s">
        <v>2339</v>
      </c>
      <c r="B2174" s="6" t="s">
        <v>69</v>
      </c>
      <c r="C2174" s="6" t="s">
        <v>90</v>
      </c>
      <c r="D2174" s="6" t="s">
        <v>119</v>
      </c>
      <c r="E2174" s="6" t="s">
        <v>120</v>
      </c>
      <c r="F2174" s="7">
        <v>26</v>
      </c>
      <c r="G2174" s="7">
        <v>3250</v>
      </c>
      <c r="H2174" s="16">
        <v>45268</v>
      </c>
      <c r="I2174" s="6">
        <v>49</v>
      </c>
      <c r="J2174" s="6" t="s">
        <v>121</v>
      </c>
      <c r="K2174" s="6" t="s">
        <v>171</v>
      </c>
      <c r="L2174" s="11">
        <f>F2174*Controls!$B$6</f>
        <v>26</v>
      </c>
      <c r="M2174" s="11">
        <f>G2174*Controls!$B$6</f>
        <v>3250</v>
      </c>
      <c r="N2174" s="12">
        <f>IF(L2174=0,0,SUMIFS('PSI Plan'!$N$6:$N$173,'PSI Plan'!$B$6:$B$173,B2174,'PSI Plan'!$C$6:$C$173,I2174))</f>
        <v>0</v>
      </c>
      <c r="O2174" s="11">
        <f t="shared" si="66"/>
        <v>0</v>
      </c>
      <c r="P2174" s="11">
        <f t="shared" si="67"/>
        <v>0</v>
      </c>
      <c r="Q2174" s="6"/>
      <c r="R2174" s="6"/>
      <c r="S2174" s="6"/>
      <c r="T2174" s="6"/>
    </row>
    <row r="2175" spans="1:20">
      <c r="A2175" s="6" t="s">
        <v>2340</v>
      </c>
      <c r="B2175" s="6" t="s">
        <v>67</v>
      </c>
      <c r="C2175" s="6" t="s">
        <v>99</v>
      </c>
      <c r="D2175" s="6" t="s">
        <v>319</v>
      </c>
      <c r="E2175" s="6" t="s">
        <v>120</v>
      </c>
      <c r="F2175" s="7">
        <v>60</v>
      </c>
      <c r="G2175" s="7">
        <v>7500</v>
      </c>
      <c r="H2175" s="16">
        <v>45270</v>
      </c>
      <c r="I2175" s="6">
        <v>50</v>
      </c>
      <c r="J2175" s="6" t="s">
        <v>121</v>
      </c>
      <c r="K2175" s="6" t="s">
        <v>324</v>
      </c>
      <c r="L2175" s="11">
        <f>F2175*Controls!$B$6</f>
        <v>60</v>
      </c>
      <c r="M2175" s="11">
        <f>G2175*Controls!$B$6</f>
        <v>7500</v>
      </c>
      <c r="N2175" s="12">
        <f>IF(L2175=0,0,SUMIFS('PSI Plan'!$N$6:$N$173,'PSI Plan'!$B$6:$B$173,B2175,'PSI Plan'!$C$6:$C$173,I2175))</f>
        <v>0</v>
      </c>
      <c r="O2175" s="11">
        <f t="shared" si="66"/>
        <v>0</v>
      </c>
      <c r="P2175" s="11">
        <f t="shared" si="67"/>
        <v>0</v>
      </c>
      <c r="Q2175" s="6"/>
      <c r="R2175" s="6"/>
      <c r="S2175" s="6"/>
      <c r="T2175" s="6"/>
    </row>
    <row r="2176" spans="1:20">
      <c r="A2176" s="6" t="s">
        <v>2341</v>
      </c>
      <c r="B2176" s="6" t="s">
        <v>67</v>
      </c>
      <c r="C2176" s="6" t="s">
        <v>99</v>
      </c>
      <c r="D2176" s="6" t="s">
        <v>319</v>
      </c>
      <c r="E2176" s="6" t="s">
        <v>120</v>
      </c>
      <c r="F2176" s="7">
        <v>65</v>
      </c>
      <c r="G2176" s="7">
        <v>8125</v>
      </c>
      <c r="H2176" s="16">
        <v>45282</v>
      </c>
      <c r="I2176" s="6">
        <v>51</v>
      </c>
      <c r="J2176" s="6" t="s">
        <v>121</v>
      </c>
      <c r="K2176" s="6" t="s">
        <v>459</v>
      </c>
      <c r="L2176" s="11">
        <f>F2176*Controls!$B$6</f>
        <v>65</v>
      </c>
      <c r="M2176" s="11">
        <f>G2176*Controls!$B$6</f>
        <v>8125</v>
      </c>
      <c r="N2176" s="12">
        <f>IF(L2176=0,0,SUMIFS('PSI Plan'!$N$6:$N$173,'PSI Plan'!$B$6:$B$173,B2176,'PSI Plan'!$C$6:$C$173,I2176))</f>
        <v>0</v>
      </c>
      <c r="O2176" s="11">
        <f t="shared" si="66"/>
        <v>0</v>
      </c>
      <c r="P2176" s="11">
        <f t="shared" si="67"/>
        <v>0</v>
      </c>
      <c r="Q2176" s="6"/>
      <c r="R2176" s="6"/>
      <c r="S2176" s="6"/>
      <c r="T2176" s="6"/>
    </row>
    <row r="2177" spans="1:20">
      <c r="A2177" s="6" t="s">
        <v>2342</v>
      </c>
      <c r="B2177" s="6" t="s">
        <v>69</v>
      </c>
      <c r="C2177" s="6" t="s">
        <v>99</v>
      </c>
      <c r="D2177" s="6" t="s">
        <v>319</v>
      </c>
      <c r="E2177" s="6" t="s">
        <v>120</v>
      </c>
      <c r="F2177" s="7">
        <v>56</v>
      </c>
      <c r="G2177" s="7">
        <v>7000</v>
      </c>
      <c r="H2177" s="16">
        <v>45264</v>
      </c>
      <c r="I2177" s="6">
        <v>49</v>
      </c>
      <c r="J2177" s="6" t="s">
        <v>121</v>
      </c>
      <c r="K2177" s="6" t="s">
        <v>459</v>
      </c>
      <c r="L2177" s="11">
        <f>F2177*Controls!$B$6</f>
        <v>56</v>
      </c>
      <c r="M2177" s="11">
        <f>G2177*Controls!$B$6</f>
        <v>7000</v>
      </c>
      <c r="N2177" s="12">
        <f>IF(L2177=0,0,SUMIFS('PSI Plan'!$N$6:$N$173,'PSI Plan'!$B$6:$B$173,B2177,'PSI Plan'!$C$6:$C$173,I2177))</f>
        <v>0</v>
      </c>
      <c r="O2177" s="11">
        <f t="shared" si="66"/>
        <v>0</v>
      </c>
      <c r="P2177" s="11">
        <f t="shared" si="67"/>
        <v>0</v>
      </c>
      <c r="Q2177" s="6"/>
      <c r="R2177" s="6"/>
      <c r="S2177" s="6"/>
      <c r="T2177" s="6"/>
    </row>
    <row r="2178" spans="1:20">
      <c r="A2178" s="6" t="s">
        <v>2343</v>
      </c>
      <c r="B2178" s="6" t="s">
        <v>77</v>
      </c>
      <c r="C2178" s="6" t="s">
        <v>90</v>
      </c>
      <c r="D2178" s="6" t="s">
        <v>119</v>
      </c>
      <c r="E2178" s="6" t="s">
        <v>120</v>
      </c>
      <c r="F2178" s="7">
        <v>50</v>
      </c>
      <c r="G2178" s="7">
        <v>6250</v>
      </c>
      <c r="H2178" s="16">
        <v>45240</v>
      </c>
      <c r="I2178" s="6">
        <v>45</v>
      </c>
      <c r="J2178" s="6" t="s">
        <v>121</v>
      </c>
      <c r="K2178" s="6" t="s">
        <v>298</v>
      </c>
      <c r="L2178" s="11">
        <f>F2178*Controls!$B$6</f>
        <v>50</v>
      </c>
      <c r="M2178" s="11">
        <f>G2178*Controls!$B$6</f>
        <v>6250</v>
      </c>
      <c r="N2178" s="12">
        <f>IF(L2178=0,0,SUMIFS('PSI Plan'!$N$6:$N$173,'PSI Plan'!$B$6:$B$173,B2178,'PSI Plan'!$C$6:$C$173,I2178))</f>
        <v>0</v>
      </c>
      <c r="O2178" s="11">
        <f t="shared" ref="O2178:O2241" si="68">L2178*N2178</f>
        <v>0</v>
      </c>
      <c r="P2178" s="11">
        <f t="shared" ref="P2178:P2241" si="69">M2178*N2178</f>
        <v>0</v>
      </c>
      <c r="Q2178" s="6"/>
      <c r="R2178" s="6"/>
      <c r="S2178" s="6"/>
      <c r="T2178" s="6"/>
    </row>
    <row r="2179" spans="1:20">
      <c r="A2179" s="6" t="s">
        <v>2344</v>
      </c>
      <c r="B2179" s="6" t="s">
        <v>76</v>
      </c>
      <c r="C2179" s="6" t="s">
        <v>90</v>
      </c>
      <c r="D2179" s="6" t="s">
        <v>119</v>
      </c>
      <c r="E2179" s="6" t="s">
        <v>120</v>
      </c>
      <c r="F2179" s="7">
        <v>13</v>
      </c>
      <c r="G2179" s="7">
        <v>1625</v>
      </c>
      <c r="H2179" s="16">
        <v>45207</v>
      </c>
      <c r="I2179" s="6">
        <v>41</v>
      </c>
      <c r="J2179" s="6" t="s">
        <v>121</v>
      </c>
      <c r="K2179" s="6" t="s">
        <v>298</v>
      </c>
      <c r="L2179" s="11">
        <f>F2179*Controls!$B$6</f>
        <v>13</v>
      </c>
      <c r="M2179" s="11">
        <f>G2179*Controls!$B$6</f>
        <v>1625</v>
      </c>
      <c r="N2179" s="12">
        <f>IF(L2179=0,0,SUMIFS('PSI Plan'!$N$6:$N$173,'PSI Plan'!$B$6:$B$173,B2179,'PSI Plan'!$C$6:$C$173,I2179))</f>
        <v>0</v>
      </c>
      <c r="O2179" s="11">
        <f t="shared" si="68"/>
        <v>0</v>
      </c>
      <c r="P2179" s="11">
        <f t="shared" si="69"/>
        <v>0</v>
      </c>
      <c r="Q2179" s="6"/>
      <c r="R2179" s="6"/>
      <c r="S2179" s="6"/>
      <c r="T2179" s="6"/>
    </row>
    <row r="2180" spans="1:20">
      <c r="A2180" s="6" t="s">
        <v>2345</v>
      </c>
      <c r="B2180" s="6" t="s">
        <v>69</v>
      </c>
      <c r="C2180" s="6" t="s">
        <v>90</v>
      </c>
      <c r="D2180" s="6" t="s">
        <v>119</v>
      </c>
      <c r="E2180" s="6" t="s">
        <v>120</v>
      </c>
      <c r="F2180" s="7">
        <v>29</v>
      </c>
      <c r="G2180" s="7">
        <v>3625</v>
      </c>
      <c r="H2180" s="16">
        <v>45241</v>
      </c>
      <c r="I2180" s="6">
        <v>45</v>
      </c>
      <c r="J2180" s="6" t="s">
        <v>121</v>
      </c>
      <c r="K2180" s="6" t="s">
        <v>298</v>
      </c>
      <c r="L2180" s="11">
        <f>F2180*Controls!$B$6</f>
        <v>29</v>
      </c>
      <c r="M2180" s="11">
        <f>G2180*Controls!$B$6</f>
        <v>3625</v>
      </c>
      <c r="N2180" s="12">
        <f>IF(L2180=0,0,SUMIFS('PSI Plan'!$N$6:$N$173,'PSI Plan'!$B$6:$B$173,B2180,'PSI Plan'!$C$6:$C$173,I2180))</f>
        <v>0</v>
      </c>
      <c r="O2180" s="11">
        <f t="shared" si="68"/>
        <v>0</v>
      </c>
      <c r="P2180" s="11">
        <f t="shared" si="69"/>
        <v>0</v>
      </c>
      <c r="Q2180" s="6"/>
      <c r="R2180" s="6"/>
      <c r="S2180" s="6"/>
      <c r="T2180" s="6"/>
    </row>
    <row r="2181" spans="1:20">
      <c r="A2181" s="6" t="s">
        <v>2346</v>
      </c>
      <c r="B2181" s="6" t="s">
        <v>66</v>
      </c>
      <c r="C2181" s="6" t="s">
        <v>99</v>
      </c>
      <c r="D2181" s="6" t="s">
        <v>319</v>
      </c>
      <c r="E2181" s="6" t="s">
        <v>120</v>
      </c>
      <c r="F2181" s="7">
        <v>128</v>
      </c>
      <c r="G2181" s="7">
        <v>16000</v>
      </c>
      <c r="H2181" s="16">
        <v>45226</v>
      </c>
      <c r="I2181" s="6">
        <v>43</v>
      </c>
      <c r="J2181" s="6" t="s">
        <v>121</v>
      </c>
      <c r="K2181" s="6" t="s">
        <v>347</v>
      </c>
      <c r="L2181" s="11">
        <f>F2181*Controls!$B$6</f>
        <v>128</v>
      </c>
      <c r="M2181" s="11">
        <f>G2181*Controls!$B$6</f>
        <v>16000</v>
      </c>
      <c r="N2181" s="12">
        <f>IF(L2181=0,0,SUMIFS('PSI Plan'!$N$6:$N$173,'PSI Plan'!$B$6:$B$173,B2181,'PSI Plan'!$C$6:$C$173,I2181))</f>
        <v>0</v>
      </c>
      <c r="O2181" s="11">
        <f t="shared" si="68"/>
        <v>0</v>
      </c>
      <c r="P2181" s="11">
        <f t="shared" si="69"/>
        <v>0</v>
      </c>
      <c r="Q2181" s="6"/>
      <c r="R2181" s="6"/>
      <c r="S2181" s="6"/>
      <c r="T2181" s="6"/>
    </row>
    <row r="2182" spans="1:20">
      <c r="A2182" s="6" t="s">
        <v>2347</v>
      </c>
      <c r="B2182" s="6" t="s">
        <v>77</v>
      </c>
      <c r="C2182" s="6" t="s">
        <v>99</v>
      </c>
      <c r="D2182" s="6" t="s">
        <v>319</v>
      </c>
      <c r="E2182" s="6" t="s">
        <v>120</v>
      </c>
      <c r="F2182" s="7">
        <v>72</v>
      </c>
      <c r="G2182" s="7">
        <v>9000</v>
      </c>
      <c r="H2182" s="16">
        <v>45219</v>
      </c>
      <c r="I2182" s="6">
        <v>42</v>
      </c>
      <c r="J2182" s="6" t="s">
        <v>121</v>
      </c>
      <c r="K2182" s="6" t="s">
        <v>347</v>
      </c>
      <c r="L2182" s="11">
        <f>F2182*Controls!$B$6</f>
        <v>72</v>
      </c>
      <c r="M2182" s="11">
        <f>G2182*Controls!$B$6</f>
        <v>9000</v>
      </c>
      <c r="N2182" s="12">
        <f>IF(L2182=0,0,SUMIFS('PSI Plan'!$N$6:$N$173,'PSI Plan'!$B$6:$B$173,B2182,'PSI Plan'!$C$6:$C$173,I2182))</f>
        <v>0</v>
      </c>
      <c r="O2182" s="11">
        <f t="shared" si="68"/>
        <v>0</v>
      </c>
      <c r="P2182" s="11">
        <f t="shared" si="69"/>
        <v>0</v>
      </c>
      <c r="Q2182" s="6"/>
      <c r="R2182" s="6"/>
      <c r="S2182" s="6"/>
      <c r="T2182" s="6"/>
    </row>
    <row r="2183" spans="1:20">
      <c r="A2183" s="6" t="s">
        <v>2348</v>
      </c>
      <c r="B2183" s="6" t="s">
        <v>69</v>
      </c>
      <c r="C2183" s="6" t="s">
        <v>99</v>
      </c>
      <c r="D2183" s="6" t="s">
        <v>319</v>
      </c>
      <c r="E2183" s="6" t="s">
        <v>120</v>
      </c>
      <c r="F2183" s="7">
        <v>114</v>
      </c>
      <c r="G2183" s="7">
        <v>14250</v>
      </c>
      <c r="H2183" s="16">
        <v>45263</v>
      </c>
      <c r="I2183" s="6">
        <v>49</v>
      </c>
      <c r="J2183" s="6" t="s">
        <v>121</v>
      </c>
      <c r="K2183" s="6" t="s">
        <v>347</v>
      </c>
      <c r="L2183" s="11">
        <f>F2183*Controls!$B$6</f>
        <v>114</v>
      </c>
      <c r="M2183" s="11">
        <f>G2183*Controls!$B$6</f>
        <v>14250</v>
      </c>
      <c r="N2183" s="12">
        <f>IF(L2183=0,0,SUMIFS('PSI Plan'!$N$6:$N$173,'PSI Plan'!$B$6:$B$173,B2183,'PSI Plan'!$C$6:$C$173,I2183))</f>
        <v>0</v>
      </c>
      <c r="O2183" s="11">
        <f t="shared" si="68"/>
        <v>0</v>
      </c>
      <c r="P2183" s="11">
        <f t="shared" si="69"/>
        <v>0</v>
      </c>
      <c r="Q2183" s="6"/>
      <c r="R2183" s="6"/>
      <c r="S2183" s="6"/>
      <c r="T2183" s="6"/>
    </row>
    <row r="2184" spans="1:20">
      <c r="A2184" s="6" t="s">
        <v>2349</v>
      </c>
      <c r="B2184" s="6" t="s">
        <v>66</v>
      </c>
      <c r="C2184" s="6" t="s">
        <v>99</v>
      </c>
      <c r="D2184" s="6" t="s">
        <v>319</v>
      </c>
      <c r="E2184" s="6" t="s">
        <v>120</v>
      </c>
      <c r="F2184" s="7">
        <v>52</v>
      </c>
      <c r="G2184" s="7">
        <v>6500</v>
      </c>
      <c r="H2184" s="16">
        <v>45229</v>
      </c>
      <c r="I2184" s="6">
        <v>44</v>
      </c>
      <c r="J2184" s="6" t="s">
        <v>121</v>
      </c>
      <c r="K2184" s="6" t="s">
        <v>344</v>
      </c>
      <c r="L2184" s="11">
        <f>F2184*Controls!$B$6</f>
        <v>52</v>
      </c>
      <c r="M2184" s="11">
        <f>G2184*Controls!$B$6</f>
        <v>6500</v>
      </c>
      <c r="N2184" s="12">
        <f>IF(L2184=0,0,SUMIFS('PSI Plan'!$N$6:$N$173,'PSI Plan'!$B$6:$B$173,B2184,'PSI Plan'!$C$6:$C$173,I2184))</f>
        <v>0</v>
      </c>
      <c r="O2184" s="11">
        <f t="shared" si="68"/>
        <v>0</v>
      </c>
      <c r="P2184" s="11">
        <f t="shared" si="69"/>
        <v>0</v>
      </c>
      <c r="Q2184" s="6"/>
      <c r="R2184" s="6"/>
      <c r="S2184" s="6"/>
      <c r="T2184" s="6"/>
    </row>
    <row r="2185" spans="1:20">
      <c r="A2185" s="6" t="s">
        <v>2350</v>
      </c>
      <c r="B2185" s="6" t="s">
        <v>77</v>
      </c>
      <c r="C2185" s="6" t="s">
        <v>99</v>
      </c>
      <c r="D2185" s="6" t="s">
        <v>319</v>
      </c>
      <c r="E2185" s="6" t="s">
        <v>120</v>
      </c>
      <c r="F2185" s="7">
        <v>52</v>
      </c>
      <c r="G2185" s="7">
        <v>6500</v>
      </c>
      <c r="H2185" s="16">
        <v>45284</v>
      </c>
      <c r="I2185" s="6">
        <v>52</v>
      </c>
      <c r="J2185" s="6" t="s">
        <v>121</v>
      </c>
      <c r="K2185" s="6" t="s">
        <v>344</v>
      </c>
      <c r="L2185" s="11">
        <f>F2185*Controls!$B$6</f>
        <v>52</v>
      </c>
      <c r="M2185" s="11">
        <f>G2185*Controls!$B$6</f>
        <v>6500</v>
      </c>
      <c r="N2185" s="12">
        <f>IF(L2185=0,0,SUMIFS('PSI Plan'!$N$6:$N$173,'PSI Plan'!$B$6:$B$173,B2185,'PSI Plan'!$C$6:$C$173,I2185))</f>
        <v>0</v>
      </c>
      <c r="O2185" s="11">
        <f t="shared" si="68"/>
        <v>0</v>
      </c>
      <c r="P2185" s="11">
        <f t="shared" si="69"/>
        <v>0</v>
      </c>
      <c r="Q2185" s="6"/>
      <c r="R2185" s="6"/>
      <c r="S2185" s="6"/>
      <c r="T2185" s="6"/>
    </row>
    <row r="2186" spans="1:20">
      <c r="A2186" s="6" t="s">
        <v>2351</v>
      </c>
      <c r="B2186" s="6" t="s">
        <v>67</v>
      </c>
      <c r="C2186" s="6" t="s">
        <v>99</v>
      </c>
      <c r="D2186" s="6" t="s">
        <v>319</v>
      </c>
      <c r="E2186" s="6" t="s">
        <v>120</v>
      </c>
      <c r="F2186" s="7">
        <v>52</v>
      </c>
      <c r="G2186" s="7">
        <v>6500</v>
      </c>
      <c r="H2186" s="16">
        <v>45250</v>
      </c>
      <c r="I2186" s="6">
        <v>47</v>
      </c>
      <c r="J2186" s="6" t="s">
        <v>121</v>
      </c>
      <c r="K2186" s="6" t="s">
        <v>344</v>
      </c>
      <c r="L2186" s="11">
        <f>F2186*Controls!$B$6</f>
        <v>52</v>
      </c>
      <c r="M2186" s="11">
        <f>G2186*Controls!$B$6</f>
        <v>6500</v>
      </c>
      <c r="N2186" s="12">
        <f>IF(L2186=0,0,SUMIFS('PSI Plan'!$N$6:$N$173,'PSI Plan'!$B$6:$B$173,B2186,'PSI Plan'!$C$6:$C$173,I2186))</f>
        <v>0</v>
      </c>
      <c r="O2186" s="11">
        <f t="shared" si="68"/>
        <v>0</v>
      </c>
      <c r="P2186" s="11">
        <f t="shared" si="69"/>
        <v>0</v>
      </c>
      <c r="Q2186" s="6"/>
      <c r="R2186" s="6"/>
      <c r="S2186" s="6"/>
      <c r="T2186" s="6"/>
    </row>
    <row r="2187" spans="1:20">
      <c r="A2187" s="6" t="s">
        <v>2352</v>
      </c>
      <c r="B2187" s="6" t="s">
        <v>69</v>
      </c>
      <c r="C2187" s="6" t="s">
        <v>99</v>
      </c>
      <c r="D2187" s="6" t="s">
        <v>319</v>
      </c>
      <c r="E2187" s="6" t="s">
        <v>120</v>
      </c>
      <c r="F2187" s="7">
        <v>52</v>
      </c>
      <c r="G2187" s="7">
        <v>6500</v>
      </c>
      <c r="H2187" s="16">
        <v>45277</v>
      </c>
      <c r="I2187" s="6">
        <v>51</v>
      </c>
      <c r="J2187" s="6" t="s">
        <v>121</v>
      </c>
      <c r="K2187" s="6" t="s">
        <v>344</v>
      </c>
      <c r="L2187" s="11">
        <f>F2187*Controls!$B$6</f>
        <v>52</v>
      </c>
      <c r="M2187" s="11">
        <f>G2187*Controls!$B$6</f>
        <v>6500</v>
      </c>
      <c r="N2187" s="12">
        <f>IF(L2187=0,0,SUMIFS('PSI Plan'!$N$6:$N$173,'PSI Plan'!$B$6:$B$173,B2187,'PSI Plan'!$C$6:$C$173,I2187))</f>
        <v>0</v>
      </c>
      <c r="O2187" s="11">
        <f t="shared" si="68"/>
        <v>0</v>
      </c>
      <c r="P2187" s="11">
        <f t="shared" si="69"/>
        <v>0</v>
      </c>
      <c r="Q2187" s="6"/>
      <c r="R2187" s="6"/>
      <c r="S2187" s="6"/>
      <c r="T2187" s="6"/>
    </row>
    <row r="2188" spans="1:20">
      <c r="A2188" s="6" t="s">
        <v>2353</v>
      </c>
      <c r="B2188" s="6" t="s">
        <v>77</v>
      </c>
      <c r="C2188" s="6" t="s">
        <v>100</v>
      </c>
      <c r="D2188" s="6" t="s">
        <v>567</v>
      </c>
      <c r="E2188" s="6" t="s">
        <v>120</v>
      </c>
      <c r="F2188" s="7">
        <v>52</v>
      </c>
      <c r="G2188" s="7">
        <v>6500</v>
      </c>
      <c r="H2188" s="16">
        <v>45264</v>
      </c>
      <c r="I2188" s="6">
        <v>49</v>
      </c>
      <c r="J2188" s="6" t="s">
        <v>121</v>
      </c>
      <c r="K2188" s="6" t="s">
        <v>781</v>
      </c>
      <c r="L2188" s="11">
        <f>F2188*Controls!$B$6</f>
        <v>52</v>
      </c>
      <c r="M2188" s="11">
        <f>G2188*Controls!$B$6</f>
        <v>6500</v>
      </c>
      <c r="N2188" s="12">
        <f>IF(L2188=0,0,SUMIFS('PSI Plan'!$N$6:$N$173,'PSI Plan'!$B$6:$B$173,B2188,'PSI Plan'!$C$6:$C$173,I2188))</f>
        <v>0</v>
      </c>
      <c r="O2188" s="11">
        <f t="shared" si="68"/>
        <v>0</v>
      </c>
      <c r="P2188" s="11">
        <f t="shared" si="69"/>
        <v>0</v>
      </c>
      <c r="Q2188" s="6"/>
      <c r="R2188" s="6"/>
      <c r="S2188" s="6"/>
      <c r="T2188" s="6"/>
    </row>
    <row r="2189" spans="1:20">
      <c r="A2189" s="6" t="s">
        <v>2354</v>
      </c>
      <c r="B2189" s="6" t="s">
        <v>76</v>
      </c>
      <c r="C2189" s="6" t="s">
        <v>100</v>
      </c>
      <c r="D2189" s="6" t="s">
        <v>567</v>
      </c>
      <c r="E2189" s="6" t="s">
        <v>120</v>
      </c>
      <c r="F2189" s="7">
        <v>15</v>
      </c>
      <c r="G2189" s="7">
        <v>1875</v>
      </c>
      <c r="H2189" s="16">
        <v>45214</v>
      </c>
      <c r="I2189" s="6">
        <v>42</v>
      </c>
      <c r="J2189" s="6" t="s">
        <v>121</v>
      </c>
      <c r="K2189" s="6" t="s">
        <v>781</v>
      </c>
      <c r="L2189" s="11">
        <f>F2189*Controls!$B$6</f>
        <v>15</v>
      </c>
      <c r="M2189" s="11">
        <f>G2189*Controls!$B$6</f>
        <v>1875</v>
      </c>
      <c r="N2189" s="12">
        <f>IF(L2189=0,0,SUMIFS('PSI Plan'!$N$6:$N$173,'PSI Plan'!$B$6:$B$173,B2189,'PSI Plan'!$C$6:$C$173,I2189))</f>
        <v>0</v>
      </c>
      <c r="O2189" s="11">
        <f t="shared" si="68"/>
        <v>0</v>
      </c>
      <c r="P2189" s="11">
        <f t="shared" si="69"/>
        <v>0</v>
      </c>
      <c r="Q2189" s="6"/>
      <c r="R2189" s="6"/>
      <c r="S2189" s="6"/>
      <c r="T2189" s="6"/>
    </row>
    <row r="2190" spans="1:20">
      <c r="A2190" s="6" t="s">
        <v>2355</v>
      </c>
      <c r="B2190" s="6" t="s">
        <v>67</v>
      </c>
      <c r="C2190" s="6" t="s">
        <v>100</v>
      </c>
      <c r="D2190" s="6" t="s">
        <v>567</v>
      </c>
      <c r="E2190" s="6" t="s">
        <v>120</v>
      </c>
      <c r="F2190" s="7">
        <v>5</v>
      </c>
      <c r="G2190" s="7">
        <v>625</v>
      </c>
      <c r="H2190" s="16">
        <v>45204</v>
      </c>
      <c r="I2190" s="6">
        <v>40</v>
      </c>
      <c r="J2190" s="6" t="s">
        <v>121</v>
      </c>
      <c r="K2190" s="6" t="s">
        <v>781</v>
      </c>
      <c r="L2190" s="11">
        <f>F2190*Controls!$B$6</f>
        <v>5</v>
      </c>
      <c r="M2190" s="11">
        <f>G2190*Controls!$B$6</f>
        <v>625</v>
      </c>
      <c r="N2190" s="12">
        <f>IF(L2190=0,0,SUMIFS('PSI Plan'!$N$6:$N$173,'PSI Plan'!$B$6:$B$173,B2190,'PSI Plan'!$C$6:$C$173,I2190))</f>
        <v>0</v>
      </c>
      <c r="O2190" s="11">
        <f t="shared" si="68"/>
        <v>0</v>
      </c>
      <c r="P2190" s="11">
        <f t="shared" si="69"/>
        <v>0</v>
      </c>
      <c r="Q2190" s="6"/>
      <c r="R2190" s="6"/>
      <c r="S2190" s="6"/>
      <c r="T2190" s="6"/>
    </row>
    <row r="2191" spans="1:20">
      <c r="A2191" s="6" t="s">
        <v>2356</v>
      </c>
      <c r="B2191" s="6" t="s">
        <v>66</v>
      </c>
      <c r="C2191" s="6" t="s">
        <v>90</v>
      </c>
      <c r="D2191" s="6" t="s">
        <v>119</v>
      </c>
      <c r="E2191" s="6" t="s">
        <v>120</v>
      </c>
      <c r="F2191" s="7">
        <v>26</v>
      </c>
      <c r="G2191" s="7">
        <v>3250</v>
      </c>
      <c r="H2191" s="16">
        <v>45206</v>
      </c>
      <c r="I2191" s="6">
        <v>40</v>
      </c>
      <c r="J2191" s="6" t="s">
        <v>1791</v>
      </c>
      <c r="K2191" s="6" t="s">
        <v>1890</v>
      </c>
      <c r="L2191" s="11">
        <f>F2191*Controls!$B$6</f>
        <v>26</v>
      </c>
      <c r="M2191" s="11">
        <f>G2191*Controls!$B$6</f>
        <v>3250</v>
      </c>
      <c r="N2191" s="12">
        <f>IF(L2191=0,0,SUMIFS('PSI Plan'!$N$6:$N$173,'PSI Plan'!$B$6:$B$173,B2191,'PSI Plan'!$C$6:$C$173,I2191))</f>
        <v>0</v>
      </c>
      <c r="O2191" s="11">
        <f t="shared" si="68"/>
        <v>0</v>
      </c>
      <c r="P2191" s="11">
        <f t="shared" si="69"/>
        <v>0</v>
      </c>
      <c r="Q2191" s="6"/>
      <c r="R2191" s="6"/>
      <c r="S2191" s="6"/>
      <c r="T2191" s="6"/>
    </row>
    <row r="2192" spans="1:20">
      <c r="A2192" s="6" t="s">
        <v>2357</v>
      </c>
      <c r="B2192" s="6" t="s">
        <v>66</v>
      </c>
      <c r="C2192" s="6" t="s">
        <v>90</v>
      </c>
      <c r="D2192" s="6" t="s">
        <v>119</v>
      </c>
      <c r="E2192" s="6" t="s">
        <v>120</v>
      </c>
      <c r="F2192" s="7">
        <v>26</v>
      </c>
      <c r="G2192" s="7">
        <v>3250</v>
      </c>
      <c r="H2192" s="16">
        <v>45290</v>
      </c>
      <c r="I2192" s="6">
        <v>52</v>
      </c>
      <c r="J2192" s="6" t="s">
        <v>1791</v>
      </c>
      <c r="K2192" s="6" t="s">
        <v>1890</v>
      </c>
      <c r="L2192" s="11">
        <f>F2192*Controls!$B$6</f>
        <v>26</v>
      </c>
      <c r="M2192" s="11">
        <f>G2192*Controls!$B$6</f>
        <v>3250</v>
      </c>
      <c r="N2192" s="12">
        <f>IF(L2192=0,0,SUMIFS('PSI Plan'!$N$6:$N$173,'PSI Plan'!$B$6:$B$173,B2192,'PSI Plan'!$C$6:$C$173,I2192))</f>
        <v>0</v>
      </c>
      <c r="O2192" s="11">
        <f t="shared" si="68"/>
        <v>0</v>
      </c>
      <c r="P2192" s="11">
        <f t="shared" si="69"/>
        <v>0</v>
      </c>
      <c r="Q2192" s="6"/>
      <c r="R2192" s="6"/>
      <c r="S2192" s="6"/>
      <c r="T2192" s="6"/>
    </row>
    <row r="2193" spans="1:20">
      <c r="A2193" s="6" t="s">
        <v>2358</v>
      </c>
      <c r="B2193" s="6" t="s">
        <v>66</v>
      </c>
      <c r="C2193" s="6" t="s">
        <v>90</v>
      </c>
      <c r="D2193" s="6" t="s">
        <v>119</v>
      </c>
      <c r="E2193" s="6" t="s">
        <v>120</v>
      </c>
      <c r="F2193" s="7">
        <v>39</v>
      </c>
      <c r="G2193" s="7">
        <v>4875</v>
      </c>
      <c r="H2193" s="16">
        <v>45235</v>
      </c>
      <c r="I2193" s="6">
        <v>45</v>
      </c>
      <c r="J2193" s="6" t="s">
        <v>121</v>
      </c>
      <c r="K2193" s="6" t="s">
        <v>122</v>
      </c>
      <c r="L2193" s="11">
        <f>F2193*Controls!$B$6</f>
        <v>39</v>
      </c>
      <c r="M2193" s="11">
        <f>G2193*Controls!$B$6</f>
        <v>4875</v>
      </c>
      <c r="N2193" s="12">
        <f>IF(L2193=0,0,SUMIFS('PSI Plan'!$N$6:$N$173,'PSI Plan'!$B$6:$B$173,B2193,'PSI Plan'!$C$6:$C$173,I2193))</f>
        <v>0</v>
      </c>
      <c r="O2193" s="11">
        <f t="shared" si="68"/>
        <v>0</v>
      </c>
      <c r="P2193" s="11">
        <f t="shared" si="69"/>
        <v>0</v>
      </c>
      <c r="Q2193" s="6"/>
      <c r="R2193" s="6"/>
      <c r="S2193" s="6"/>
      <c r="T2193" s="6"/>
    </row>
    <row r="2194" spans="1:20">
      <c r="A2194" s="6" t="s">
        <v>2359</v>
      </c>
      <c r="B2194" s="6" t="s">
        <v>77</v>
      </c>
      <c r="C2194" s="6" t="s">
        <v>90</v>
      </c>
      <c r="D2194" s="6" t="s">
        <v>119</v>
      </c>
      <c r="E2194" s="6" t="s">
        <v>120</v>
      </c>
      <c r="F2194" s="7">
        <v>39</v>
      </c>
      <c r="G2194" s="7">
        <v>4875</v>
      </c>
      <c r="H2194" s="16">
        <v>45256</v>
      </c>
      <c r="I2194" s="6">
        <v>48</v>
      </c>
      <c r="J2194" s="6" t="s">
        <v>121</v>
      </c>
      <c r="K2194" s="6" t="s">
        <v>122</v>
      </c>
      <c r="L2194" s="11">
        <f>F2194*Controls!$B$6</f>
        <v>39</v>
      </c>
      <c r="M2194" s="11">
        <f>G2194*Controls!$B$6</f>
        <v>4875</v>
      </c>
      <c r="N2194" s="12">
        <f>IF(L2194=0,0,SUMIFS('PSI Plan'!$N$6:$N$173,'PSI Plan'!$B$6:$B$173,B2194,'PSI Plan'!$C$6:$C$173,I2194))</f>
        <v>0</v>
      </c>
      <c r="O2194" s="11">
        <f t="shared" si="68"/>
        <v>0</v>
      </c>
      <c r="P2194" s="11">
        <f t="shared" si="69"/>
        <v>0</v>
      </c>
      <c r="Q2194" s="6"/>
      <c r="R2194" s="6"/>
      <c r="S2194" s="6"/>
      <c r="T2194" s="6"/>
    </row>
    <row r="2195" spans="1:20">
      <c r="A2195" s="6" t="s">
        <v>2360</v>
      </c>
      <c r="B2195" s="6" t="s">
        <v>76</v>
      </c>
      <c r="C2195" s="6" t="s">
        <v>90</v>
      </c>
      <c r="D2195" s="6" t="s">
        <v>119</v>
      </c>
      <c r="E2195" s="6" t="s">
        <v>120</v>
      </c>
      <c r="F2195" s="7">
        <v>26</v>
      </c>
      <c r="G2195" s="7">
        <v>3250</v>
      </c>
      <c r="H2195" s="16">
        <v>45265</v>
      </c>
      <c r="I2195" s="6">
        <v>49</v>
      </c>
      <c r="J2195" s="6" t="s">
        <v>121</v>
      </c>
      <c r="K2195" s="6" t="s">
        <v>122</v>
      </c>
      <c r="L2195" s="11">
        <f>F2195*Controls!$B$6</f>
        <v>26</v>
      </c>
      <c r="M2195" s="11">
        <f>G2195*Controls!$B$6</f>
        <v>3250</v>
      </c>
      <c r="N2195" s="12">
        <f>IF(L2195=0,0,SUMIFS('PSI Plan'!$N$6:$N$173,'PSI Plan'!$B$6:$B$173,B2195,'PSI Plan'!$C$6:$C$173,I2195))</f>
        <v>0</v>
      </c>
      <c r="O2195" s="11">
        <f t="shared" si="68"/>
        <v>0</v>
      </c>
      <c r="P2195" s="11">
        <f t="shared" si="69"/>
        <v>0</v>
      </c>
      <c r="Q2195" s="6"/>
      <c r="R2195" s="6"/>
      <c r="S2195" s="6"/>
      <c r="T2195" s="6"/>
    </row>
    <row r="2196" spans="1:20">
      <c r="A2196" s="6" t="s">
        <v>2361</v>
      </c>
      <c r="B2196" s="6" t="s">
        <v>67</v>
      </c>
      <c r="C2196" s="6" t="s">
        <v>90</v>
      </c>
      <c r="D2196" s="6" t="s">
        <v>119</v>
      </c>
      <c r="E2196" s="6" t="s">
        <v>120</v>
      </c>
      <c r="F2196" s="7">
        <v>39</v>
      </c>
      <c r="G2196" s="7">
        <v>4875</v>
      </c>
      <c r="H2196" s="16">
        <v>45284</v>
      </c>
      <c r="I2196" s="6">
        <v>52</v>
      </c>
      <c r="J2196" s="6" t="s">
        <v>121</v>
      </c>
      <c r="K2196" s="6" t="s">
        <v>122</v>
      </c>
      <c r="L2196" s="11">
        <f>F2196*Controls!$B$6</f>
        <v>39</v>
      </c>
      <c r="M2196" s="11">
        <f>G2196*Controls!$B$6</f>
        <v>4875</v>
      </c>
      <c r="N2196" s="12">
        <f>IF(L2196=0,0,SUMIFS('PSI Plan'!$N$6:$N$173,'PSI Plan'!$B$6:$B$173,B2196,'PSI Plan'!$C$6:$C$173,I2196))</f>
        <v>0</v>
      </c>
      <c r="O2196" s="11">
        <f t="shared" si="68"/>
        <v>0</v>
      </c>
      <c r="P2196" s="11">
        <f t="shared" si="69"/>
        <v>0</v>
      </c>
      <c r="Q2196" s="6"/>
      <c r="R2196" s="6"/>
      <c r="S2196" s="6"/>
      <c r="T2196" s="6"/>
    </row>
    <row r="2197" spans="1:20">
      <c r="A2197" s="6" t="s">
        <v>2362</v>
      </c>
      <c r="B2197" s="6" t="s">
        <v>69</v>
      </c>
      <c r="C2197" s="6" t="s">
        <v>90</v>
      </c>
      <c r="D2197" s="6" t="s">
        <v>119</v>
      </c>
      <c r="E2197" s="6" t="s">
        <v>120</v>
      </c>
      <c r="F2197" s="7">
        <v>39</v>
      </c>
      <c r="G2197" s="7">
        <v>4875</v>
      </c>
      <c r="H2197" s="16">
        <v>45218</v>
      </c>
      <c r="I2197" s="6">
        <v>42</v>
      </c>
      <c r="J2197" s="6" t="s">
        <v>121</v>
      </c>
      <c r="K2197" s="6" t="s">
        <v>122</v>
      </c>
      <c r="L2197" s="11">
        <f>F2197*Controls!$B$6</f>
        <v>39</v>
      </c>
      <c r="M2197" s="11">
        <f>G2197*Controls!$B$6</f>
        <v>4875</v>
      </c>
      <c r="N2197" s="12">
        <f>IF(L2197=0,0,SUMIFS('PSI Plan'!$N$6:$N$173,'PSI Plan'!$B$6:$B$173,B2197,'PSI Plan'!$C$6:$C$173,I2197))</f>
        <v>0</v>
      </c>
      <c r="O2197" s="11">
        <f t="shared" si="68"/>
        <v>0</v>
      </c>
      <c r="P2197" s="11">
        <f t="shared" si="69"/>
        <v>0</v>
      </c>
      <c r="Q2197" s="6"/>
      <c r="R2197" s="6"/>
      <c r="S2197" s="6"/>
      <c r="T2197" s="6"/>
    </row>
    <row r="2198" spans="1:20">
      <c r="A2198" s="6" t="s">
        <v>2363</v>
      </c>
      <c r="B2198" s="6" t="s">
        <v>66</v>
      </c>
      <c r="C2198" s="6" t="s">
        <v>90</v>
      </c>
      <c r="D2198" s="6" t="s">
        <v>119</v>
      </c>
      <c r="E2198" s="6" t="s">
        <v>120</v>
      </c>
      <c r="F2198" s="7">
        <v>7</v>
      </c>
      <c r="G2198" s="7">
        <v>875</v>
      </c>
      <c r="H2198" s="16">
        <v>45285</v>
      </c>
      <c r="I2198" s="6">
        <v>52</v>
      </c>
      <c r="J2198" s="6" t="s">
        <v>121</v>
      </c>
      <c r="K2198" s="6" t="s">
        <v>139</v>
      </c>
      <c r="L2198" s="11">
        <f>F2198*Controls!$B$6</f>
        <v>7</v>
      </c>
      <c r="M2198" s="11">
        <f>G2198*Controls!$B$6</f>
        <v>875</v>
      </c>
      <c r="N2198" s="12">
        <f>IF(L2198=0,0,SUMIFS('PSI Plan'!$N$6:$N$173,'PSI Plan'!$B$6:$B$173,B2198,'PSI Plan'!$C$6:$C$173,I2198))</f>
        <v>0</v>
      </c>
      <c r="O2198" s="11">
        <f t="shared" si="68"/>
        <v>0</v>
      </c>
      <c r="P2198" s="11">
        <f t="shared" si="69"/>
        <v>0</v>
      </c>
      <c r="Q2198" s="6"/>
      <c r="R2198" s="6"/>
      <c r="S2198" s="6"/>
      <c r="T2198" s="6"/>
    </row>
    <row r="2199" spans="1:20">
      <c r="A2199" s="6" t="s">
        <v>2364</v>
      </c>
      <c r="B2199" s="6" t="s">
        <v>77</v>
      </c>
      <c r="C2199" s="6" t="s">
        <v>90</v>
      </c>
      <c r="D2199" s="6" t="s">
        <v>119</v>
      </c>
      <c r="E2199" s="6" t="s">
        <v>120</v>
      </c>
      <c r="F2199" s="7">
        <v>13</v>
      </c>
      <c r="G2199" s="7">
        <v>1625</v>
      </c>
      <c r="H2199" s="16">
        <v>45244</v>
      </c>
      <c r="I2199" s="6">
        <v>46</v>
      </c>
      <c r="J2199" s="6" t="s">
        <v>121</v>
      </c>
      <c r="K2199" s="6" t="s">
        <v>139</v>
      </c>
      <c r="L2199" s="11">
        <f>F2199*Controls!$B$6</f>
        <v>13</v>
      </c>
      <c r="M2199" s="11">
        <f>G2199*Controls!$B$6</f>
        <v>1625</v>
      </c>
      <c r="N2199" s="12">
        <f>IF(L2199=0,0,SUMIFS('PSI Plan'!$N$6:$N$173,'PSI Plan'!$B$6:$B$173,B2199,'PSI Plan'!$C$6:$C$173,I2199))</f>
        <v>0</v>
      </c>
      <c r="O2199" s="11">
        <f t="shared" si="68"/>
        <v>0</v>
      </c>
      <c r="P2199" s="11">
        <f t="shared" si="69"/>
        <v>0</v>
      </c>
      <c r="Q2199" s="6"/>
      <c r="R2199" s="6"/>
      <c r="S2199" s="6"/>
      <c r="T2199" s="6"/>
    </row>
    <row r="2200" spans="1:20">
      <c r="A2200" s="6" t="s">
        <v>2365</v>
      </c>
      <c r="B2200" s="6" t="s">
        <v>76</v>
      </c>
      <c r="C2200" s="6" t="s">
        <v>90</v>
      </c>
      <c r="D2200" s="6" t="s">
        <v>119</v>
      </c>
      <c r="E2200" s="6" t="s">
        <v>120</v>
      </c>
      <c r="F2200" s="7">
        <v>6</v>
      </c>
      <c r="G2200" s="7">
        <v>750</v>
      </c>
      <c r="H2200" s="16">
        <v>45237</v>
      </c>
      <c r="I2200" s="6">
        <v>45</v>
      </c>
      <c r="J2200" s="6" t="s">
        <v>121</v>
      </c>
      <c r="K2200" s="6" t="s">
        <v>139</v>
      </c>
      <c r="L2200" s="11">
        <f>F2200*Controls!$B$6</f>
        <v>6</v>
      </c>
      <c r="M2200" s="11">
        <f>G2200*Controls!$B$6</f>
        <v>750</v>
      </c>
      <c r="N2200" s="12">
        <f>IF(L2200=0,0,SUMIFS('PSI Plan'!$N$6:$N$173,'PSI Plan'!$B$6:$B$173,B2200,'PSI Plan'!$C$6:$C$173,I2200))</f>
        <v>0</v>
      </c>
      <c r="O2200" s="11">
        <f t="shared" si="68"/>
        <v>0</v>
      </c>
      <c r="P2200" s="11">
        <f t="shared" si="69"/>
        <v>0</v>
      </c>
      <c r="Q2200" s="6"/>
      <c r="R2200" s="6"/>
      <c r="S2200" s="6"/>
      <c r="T2200" s="6"/>
    </row>
    <row r="2201" spans="1:20">
      <c r="A2201" s="6" t="s">
        <v>2366</v>
      </c>
      <c r="B2201" s="6" t="s">
        <v>69</v>
      </c>
      <c r="C2201" s="6" t="s">
        <v>90</v>
      </c>
      <c r="D2201" s="6" t="s">
        <v>119</v>
      </c>
      <c r="E2201" s="6" t="s">
        <v>120</v>
      </c>
      <c r="F2201" s="7">
        <v>13</v>
      </c>
      <c r="G2201" s="7">
        <v>1625</v>
      </c>
      <c r="H2201" s="16">
        <v>45254</v>
      </c>
      <c r="I2201" s="6">
        <v>47</v>
      </c>
      <c r="J2201" s="6" t="s">
        <v>121</v>
      </c>
      <c r="K2201" s="6" t="s">
        <v>139</v>
      </c>
      <c r="L2201" s="11">
        <f>F2201*Controls!$B$6</f>
        <v>13</v>
      </c>
      <c r="M2201" s="11">
        <f>G2201*Controls!$B$6</f>
        <v>1625</v>
      </c>
      <c r="N2201" s="12">
        <f>IF(L2201=0,0,SUMIFS('PSI Plan'!$N$6:$N$173,'PSI Plan'!$B$6:$B$173,B2201,'PSI Plan'!$C$6:$C$173,I2201))</f>
        <v>0</v>
      </c>
      <c r="O2201" s="11">
        <f t="shared" si="68"/>
        <v>0</v>
      </c>
      <c r="P2201" s="11">
        <f t="shared" si="69"/>
        <v>0</v>
      </c>
      <c r="Q2201" s="6"/>
      <c r="R2201" s="6"/>
      <c r="S2201" s="6"/>
      <c r="T2201" s="6"/>
    </row>
    <row r="2202" spans="1:20">
      <c r="A2202" s="6" t="s">
        <v>2367</v>
      </c>
      <c r="B2202" s="6" t="s">
        <v>66</v>
      </c>
      <c r="C2202" s="6" t="s">
        <v>99</v>
      </c>
      <c r="D2202" s="6" t="s">
        <v>319</v>
      </c>
      <c r="E2202" s="6" t="s">
        <v>120</v>
      </c>
      <c r="F2202" s="7">
        <v>2</v>
      </c>
      <c r="G2202" s="7">
        <v>250</v>
      </c>
      <c r="H2202" s="16">
        <v>45289</v>
      </c>
      <c r="I2202" s="6">
        <v>52</v>
      </c>
      <c r="J2202" s="6" t="s">
        <v>121</v>
      </c>
      <c r="K2202" s="6" t="s">
        <v>347</v>
      </c>
      <c r="L2202" s="11">
        <f>F2202*Controls!$B$6</f>
        <v>2</v>
      </c>
      <c r="M2202" s="11">
        <f>G2202*Controls!$B$6</f>
        <v>250</v>
      </c>
      <c r="N2202" s="12">
        <f>IF(L2202=0,0,SUMIFS('PSI Plan'!$N$6:$N$173,'PSI Plan'!$B$6:$B$173,B2202,'PSI Plan'!$C$6:$C$173,I2202))</f>
        <v>0</v>
      </c>
      <c r="O2202" s="11">
        <f t="shared" si="68"/>
        <v>0</v>
      </c>
      <c r="P2202" s="11">
        <f t="shared" si="69"/>
        <v>0</v>
      </c>
      <c r="Q2202" s="6"/>
      <c r="R2202" s="6"/>
      <c r="S2202" s="6"/>
      <c r="T2202" s="6"/>
    </row>
    <row r="2203" spans="1:20">
      <c r="A2203" s="6" t="s">
        <v>2368</v>
      </c>
      <c r="B2203" s="6" t="s">
        <v>77</v>
      </c>
      <c r="C2203" s="6" t="s">
        <v>99</v>
      </c>
      <c r="D2203" s="6" t="s">
        <v>319</v>
      </c>
      <c r="E2203" s="6" t="s">
        <v>120</v>
      </c>
      <c r="F2203" s="7">
        <v>72</v>
      </c>
      <c r="G2203" s="7">
        <v>9000</v>
      </c>
      <c r="H2203" s="16">
        <v>45221</v>
      </c>
      <c r="I2203" s="6">
        <v>43</v>
      </c>
      <c r="J2203" s="6" t="s">
        <v>121</v>
      </c>
      <c r="K2203" s="6" t="s">
        <v>347</v>
      </c>
      <c r="L2203" s="11">
        <f>F2203*Controls!$B$6</f>
        <v>72</v>
      </c>
      <c r="M2203" s="11">
        <f>G2203*Controls!$B$6</f>
        <v>9000</v>
      </c>
      <c r="N2203" s="12">
        <f>IF(L2203=0,0,SUMIFS('PSI Plan'!$N$6:$N$173,'PSI Plan'!$B$6:$B$173,B2203,'PSI Plan'!$C$6:$C$173,I2203))</f>
        <v>0</v>
      </c>
      <c r="O2203" s="11">
        <f t="shared" si="68"/>
        <v>0</v>
      </c>
      <c r="P2203" s="11">
        <f t="shared" si="69"/>
        <v>0</v>
      </c>
      <c r="Q2203" s="6"/>
      <c r="R2203" s="6"/>
      <c r="S2203" s="6"/>
      <c r="T2203" s="6"/>
    </row>
    <row r="2204" spans="1:20">
      <c r="A2204" s="6" t="s">
        <v>2369</v>
      </c>
      <c r="B2204" s="6" t="s">
        <v>69</v>
      </c>
      <c r="C2204" s="6" t="s">
        <v>99</v>
      </c>
      <c r="D2204" s="6" t="s">
        <v>319</v>
      </c>
      <c r="E2204" s="6" t="s">
        <v>120</v>
      </c>
      <c r="F2204" s="7">
        <v>58</v>
      </c>
      <c r="G2204" s="7">
        <v>7250</v>
      </c>
      <c r="H2204" s="16">
        <v>45228</v>
      </c>
      <c r="I2204" s="6">
        <v>44</v>
      </c>
      <c r="J2204" s="6" t="s">
        <v>121</v>
      </c>
      <c r="K2204" s="6" t="s">
        <v>347</v>
      </c>
      <c r="L2204" s="11">
        <f>F2204*Controls!$B$6</f>
        <v>58</v>
      </c>
      <c r="M2204" s="11">
        <f>G2204*Controls!$B$6</f>
        <v>7250</v>
      </c>
      <c r="N2204" s="12">
        <f>IF(L2204=0,0,SUMIFS('PSI Plan'!$N$6:$N$173,'PSI Plan'!$B$6:$B$173,B2204,'PSI Plan'!$C$6:$C$173,I2204))</f>
        <v>0</v>
      </c>
      <c r="O2204" s="11">
        <f t="shared" si="68"/>
        <v>0</v>
      </c>
      <c r="P2204" s="11">
        <f t="shared" si="69"/>
        <v>0</v>
      </c>
      <c r="Q2204" s="6"/>
      <c r="R2204" s="6"/>
      <c r="S2204" s="6"/>
      <c r="T2204" s="6"/>
    </row>
    <row r="2205" spans="1:20">
      <c r="A2205" s="6" t="s">
        <v>2370</v>
      </c>
      <c r="B2205" s="6" t="s">
        <v>66</v>
      </c>
      <c r="C2205" s="6" t="s">
        <v>99</v>
      </c>
      <c r="D2205" s="6" t="s">
        <v>319</v>
      </c>
      <c r="E2205" s="6" t="s">
        <v>120</v>
      </c>
      <c r="F2205" s="7">
        <v>38</v>
      </c>
      <c r="G2205" s="7">
        <v>4750</v>
      </c>
      <c r="H2205" s="16">
        <v>45254</v>
      </c>
      <c r="I2205" s="6">
        <v>47</v>
      </c>
      <c r="J2205" s="6" t="s">
        <v>121</v>
      </c>
      <c r="K2205" s="6" t="s">
        <v>347</v>
      </c>
      <c r="L2205" s="11">
        <f>F2205*Controls!$B$6</f>
        <v>38</v>
      </c>
      <c r="M2205" s="11">
        <f>G2205*Controls!$B$6</f>
        <v>4750</v>
      </c>
      <c r="N2205" s="12">
        <f>IF(L2205=0,0,SUMIFS('PSI Plan'!$N$6:$N$173,'PSI Plan'!$B$6:$B$173,B2205,'PSI Plan'!$C$6:$C$173,I2205))</f>
        <v>0</v>
      </c>
      <c r="O2205" s="11">
        <f t="shared" si="68"/>
        <v>0</v>
      </c>
      <c r="P2205" s="11">
        <f t="shared" si="69"/>
        <v>0</v>
      </c>
      <c r="Q2205" s="6"/>
      <c r="R2205" s="6"/>
      <c r="S2205" s="6"/>
      <c r="T2205" s="6"/>
    </row>
    <row r="2206" spans="1:20">
      <c r="A2206" s="6" t="s">
        <v>2371</v>
      </c>
      <c r="B2206" s="6" t="s">
        <v>66</v>
      </c>
      <c r="C2206" s="6" t="s">
        <v>99</v>
      </c>
      <c r="D2206" s="6" t="s">
        <v>319</v>
      </c>
      <c r="E2206" s="6" t="s">
        <v>120</v>
      </c>
      <c r="F2206" s="7">
        <v>12</v>
      </c>
      <c r="G2206" s="7">
        <v>1500</v>
      </c>
      <c r="H2206" s="16">
        <v>45269</v>
      </c>
      <c r="I2206" s="6">
        <v>49</v>
      </c>
      <c r="J2206" s="6" t="s">
        <v>121</v>
      </c>
      <c r="K2206" s="6" t="s">
        <v>374</v>
      </c>
      <c r="L2206" s="11">
        <f>F2206*Controls!$B$6</f>
        <v>12</v>
      </c>
      <c r="M2206" s="11">
        <f>G2206*Controls!$B$6</f>
        <v>1500</v>
      </c>
      <c r="N2206" s="12">
        <f>IF(L2206=0,0,SUMIFS('PSI Plan'!$N$6:$N$173,'PSI Plan'!$B$6:$B$173,B2206,'PSI Plan'!$C$6:$C$173,I2206))</f>
        <v>0</v>
      </c>
      <c r="O2206" s="11">
        <f t="shared" si="68"/>
        <v>0</v>
      </c>
      <c r="P2206" s="11">
        <f t="shared" si="69"/>
        <v>0</v>
      </c>
      <c r="Q2206" s="6"/>
      <c r="R2206" s="6"/>
      <c r="S2206" s="6"/>
      <c r="T2206" s="6"/>
    </row>
    <row r="2207" spans="1:20">
      <c r="A2207" s="6" t="s">
        <v>2372</v>
      </c>
      <c r="B2207" s="6" t="s">
        <v>77</v>
      </c>
      <c r="C2207" s="6" t="s">
        <v>99</v>
      </c>
      <c r="D2207" s="6" t="s">
        <v>319</v>
      </c>
      <c r="E2207" s="6" t="s">
        <v>120</v>
      </c>
      <c r="F2207" s="7">
        <v>22</v>
      </c>
      <c r="G2207" s="7">
        <v>2750</v>
      </c>
      <c r="H2207" s="16">
        <v>45209</v>
      </c>
      <c r="I2207" s="6">
        <v>41</v>
      </c>
      <c r="J2207" s="6" t="s">
        <v>121</v>
      </c>
      <c r="K2207" s="6" t="s">
        <v>374</v>
      </c>
      <c r="L2207" s="11">
        <f>F2207*Controls!$B$6</f>
        <v>22</v>
      </c>
      <c r="M2207" s="11">
        <f>G2207*Controls!$B$6</f>
        <v>2750</v>
      </c>
      <c r="N2207" s="12">
        <f>IF(L2207=0,0,SUMIFS('PSI Plan'!$N$6:$N$173,'PSI Plan'!$B$6:$B$173,B2207,'PSI Plan'!$C$6:$C$173,I2207))</f>
        <v>0</v>
      </c>
      <c r="O2207" s="11">
        <f t="shared" si="68"/>
        <v>0</v>
      </c>
      <c r="P2207" s="11">
        <f t="shared" si="69"/>
        <v>0</v>
      </c>
      <c r="Q2207" s="6"/>
      <c r="R2207" s="6"/>
      <c r="S2207" s="6"/>
      <c r="T2207" s="6"/>
    </row>
    <row r="2208" spans="1:20">
      <c r="A2208" s="6" t="s">
        <v>2373</v>
      </c>
      <c r="B2208" s="6" t="s">
        <v>76</v>
      </c>
      <c r="C2208" s="6" t="s">
        <v>99</v>
      </c>
      <c r="D2208" s="6" t="s">
        <v>319</v>
      </c>
      <c r="E2208" s="6" t="s">
        <v>120</v>
      </c>
      <c r="F2208" s="7">
        <v>16</v>
      </c>
      <c r="G2208" s="7">
        <v>2000</v>
      </c>
      <c r="H2208" s="16">
        <v>45216</v>
      </c>
      <c r="I2208" s="6">
        <v>42</v>
      </c>
      <c r="J2208" s="6" t="s">
        <v>121</v>
      </c>
      <c r="K2208" s="6" t="s">
        <v>374</v>
      </c>
      <c r="L2208" s="11">
        <f>F2208*Controls!$B$6</f>
        <v>16</v>
      </c>
      <c r="M2208" s="11">
        <f>G2208*Controls!$B$6</f>
        <v>2000</v>
      </c>
      <c r="N2208" s="12">
        <f>IF(L2208=0,0,SUMIFS('PSI Plan'!$N$6:$N$173,'PSI Plan'!$B$6:$B$173,B2208,'PSI Plan'!$C$6:$C$173,I2208))</f>
        <v>0</v>
      </c>
      <c r="O2208" s="11">
        <f t="shared" si="68"/>
        <v>0</v>
      </c>
      <c r="P2208" s="11">
        <f t="shared" si="69"/>
        <v>0</v>
      </c>
      <c r="Q2208" s="6"/>
      <c r="R2208" s="6"/>
      <c r="S2208" s="6"/>
      <c r="T2208" s="6"/>
    </row>
    <row r="2209" spans="1:20">
      <c r="A2209" s="6" t="s">
        <v>2374</v>
      </c>
      <c r="B2209" s="6" t="s">
        <v>69</v>
      </c>
      <c r="C2209" s="6" t="s">
        <v>99</v>
      </c>
      <c r="D2209" s="6" t="s">
        <v>319</v>
      </c>
      <c r="E2209" s="6" t="s">
        <v>120</v>
      </c>
      <c r="F2209" s="7">
        <v>26</v>
      </c>
      <c r="G2209" s="7">
        <v>3250</v>
      </c>
      <c r="H2209" s="16">
        <v>45252</v>
      </c>
      <c r="I2209" s="6">
        <v>47</v>
      </c>
      <c r="J2209" s="6" t="s">
        <v>121</v>
      </c>
      <c r="K2209" s="6" t="s">
        <v>374</v>
      </c>
      <c r="L2209" s="11">
        <f>F2209*Controls!$B$6</f>
        <v>26</v>
      </c>
      <c r="M2209" s="11">
        <f>G2209*Controls!$B$6</f>
        <v>3250</v>
      </c>
      <c r="N2209" s="12">
        <f>IF(L2209=0,0,SUMIFS('PSI Plan'!$N$6:$N$173,'PSI Plan'!$B$6:$B$173,B2209,'PSI Plan'!$C$6:$C$173,I2209))</f>
        <v>0</v>
      </c>
      <c r="O2209" s="11">
        <f t="shared" si="68"/>
        <v>0</v>
      </c>
      <c r="P2209" s="11">
        <f t="shared" si="69"/>
        <v>0</v>
      </c>
      <c r="Q2209" s="6"/>
      <c r="R2209" s="6"/>
      <c r="S2209" s="6"/>
      <c r="T2209" s="6"/>
    </row>
    <row r="2210" spans="1:20">
      <c r="A2210" s="6" t="s">
        <v>2375</v>
      </c>
      <c r="B2210" s="6" t="s">
        <v>66</v>
      </c>
      <c r="C2210" s="6" t="s">
        <v>99</v>
      </c>
      <c r="D2210" s="6" t="s">
        <v>319</v>
      </c>
      <c r="E2210" s="6" t="s">
        <v>120</v>
      </c>
      <c r="F2210" s="7">
        <v>24</v>
      </c>
      <c r="G2210" s="7">
        <v>3000</v>
      </c>
      <c r="H2210" s="16">
        <v>45265</v>
      </c>
      <c r="I2210" s="6">
        <v>49</v>
      </c>
      <c r="J2210" s="6" t="s">
        <v>121</v>
      </c>
      <c r="K2210" s="6" t="s">
        <v>347</v>
      </c>
      <c r="L2210" s="11">
        <f>F2210*Controls!$B$6</f>
        <v>24</v>
      </c>
      <c r="M2210" s="11">
        <f>G2210*Controls!$B$6</f>
        <v>3000</v>
      </c>
      <c r="N2210" s="12">
        <f>IF(L2210=0,0,SUMIFS('PSI Plan'!$N$6:$N$173,'PSI Plan'!$B$6:$B$173,B2210,'PSI Plan'!$C$6:$C$173,I2210))</f>
        <v>0</v>
      </c>
      <c r="O2210" s="11">
        <f t="shared" si="68"/>
        <v>0</v>
      </c>
      <c r="P2210" s="11">
        <f t="shared" si="69"/>
        <v>0</v>
      </c>
      <c r="Q2210" s="6"/>
      <c r="R2210" s="6"/>
      <c r="S2210" s="6"/>
      <c r="T2210" s="6"/>
    </row>
    <row r="2211" spans="1:20">
      <c r="A2211" s="6" t="s">
        <v>2376</v>
      </c>
      <c r="B2211" s="6" t="s">
        <v>77</v>
      </c>
      <c r="C2211" s="6" t="s">
        <v>99</v>
      </c>
      <c r="D2211" s="6" t="s">
        <v>319</v>
      </c>
      <c r="E2211" s="6" t="s">
        <v>120</v>
      </c>
      <c r="F2211" s="7">
        <v>24</v>
      </c>
      <c r="G2211" s="7">
        <v>3000</v>
      </c>
      <c r="H2211" s="16">
        <v>45260</v>
      </c>
      <c r="I2211" s="6">
        <v>48</v>
      </c>
      <c r="J2211" s="6" t="s">
        <v>121</v>
      </c>
      <c r="K2211" s="6" t="s">
        <v>347</v>
      </c>
      <c r="L2211" s="11">
        <f>F2211*Controls!$B$6</f>
        <v>24</v>
      </c>
      <c r="M2211" s="11">
        <f>G2211*Controls!$B$6</f>
        <v>3000</v>
      </c>
      <c r="N2211" s="12">
        <f>IF(L2211=0,0,SUMIFS('PSI Plan'!$N$6:$N$173,'PSI Plan'!$B$6:$B$173,B2211,'PSI Plan'!$C$6:$C$173,I2211))</f>
        <v>0</v>
      </c>
      <c r="O2211" s="11">
        <f t="shared" si="68"/>
        <v>0</v>
      </c>
      <c r="P2211" s="11">
        <f t="shared" si="69"/>
        <v>0</v>
      </c>
      <c r="Q2211" s="6"/>
      <c r="R2211" s="6"/>
      <c r="S2211" s="6"/>
      <c r="T2211" s="6"/>
    </row>
    <row r="2212" spans="1:20">
      <c r="A2212" s="6" t="s">
        <v>2377</v>
      </c>
      <c r="B2212" s="6" t="s">
        <v>67</v>
      </c>
      <c r="C2212" s="6" t="s">
        <v>99</v>
      </c>
      <c r="D2212" s="6" t="s">
        <v>319</v>
      </c>
      <c r="E2212" s="6" t="s">
        <v>120</v>
      </c>
      <c r="F2212" s="7">
        <v>46</v>
      </c>
      <c r="G2212" s="7">
        <v>5750</v>
      </c>
      <c r="H2212" s="16">
        <v>45258</v>
      </c>
      <c r="I2212" s="6">
        <v>48</v>
      </c>
      <c r="J2212" s="6" t="s">
        <v>121</v>
      </c>
      <c r="K2212" s="6" t="s">
        <v>347</v>
      </c>
      <c r="L2212" s="11">
        <f>F2212*Controls!$B$6</f>
        <v>46</v>
      </c>
      <c r="M2212" s="11">
        <f>G2212*Controls!$B$6</f>
        <v>5750</v>
      </c>
      <c r="N2212" s="12">
        <f>IF(L2212=0,0,SUMIFS('PSI Plan'!$N$6:$N$173,'PSI Plan'!$B$6:$B$173,B2212,'PSI Plan'!$C$6:$C$173,I2212))</f>
        <v>0</v>
      </c>
      <c r="O2212" s="11">
        <f t="shared" si="68"/>
        <v>0</v>
      </c>
      <c r="P2212" s="11">
        <f t="shared" si="69"/>
        <v>0</v>
      </c>
      <c r="Q2212" s="6"/>
      <c r="R2212" s="6"/>
      <c r="S2212" s="6"/>
      <c r="T2212" s="6"/>
    </row>
    <row r="2213" spans="1:20">
      <c r="A2213" s="6" t="s">
        <v>2378</v>
      </c>
      <c r="B2213" s="6" t="s">
        <v>69</v>
      </c>
      <c r="C2213" s="6" t="s">
        <v>99</v>
      </c>
      <c r="D2213" s="6" t="s">
        <v>319</v>
      </c>
      <c r="E2213" s="6" t="s">
        <v>120</v>
      </c>
      <c r="F2213" s="7">
        <v>122</v>
      </c>
      <c r="G2213" s="7">
        <v>15250</v>
      </c>
      <c r="H2213" s="16">
        <v>45254</v>
      </c>
      <c r="I2213" s="6">
        <v>47</v>
      </c>
      <c r="J2213" s="6" t="s">
        <v>121</v>
      </c>
      <c r="K2213" s="6" t="s">
        <v>347</v>
      </c>
      <c r="L2213" s="11">
        <f>F2213*Controls!$B$6</f>
        <v>122</v>
      </c>
      <c r="M2213" s="11">
        <f>G2213*Controls!$B$6</f>
        <v>15250</v>
      </c>
      <c r="N2213" s="12">
        <f>IF(L2213=0,0,SUMIFS('PSI Plan'!$N$6:$N$173,'PSI Plan'!$B$6:$B$173,B2213,'PSI Plan'!$C$6:$C$173,I2213))</f>
        <v>0</v>
      </c>
      <c r="O2213" s="11">
        <f t="shared" si="68"/>
        <v>0</v>
      </c>
      <c r="P2213" s="11">
        <f t="shared" si="69"/>
        <v>0</v>
      </c>
      <c r="Q2213" s="6"/>
      <c r="R2213" s="6"/>
      <c r="S2213" s="6"/>
      <c r="T2213" s="6"/>
    </row>
    <row r="2214" spans="1:20">
      <c r="A2214" s="6" t="s">
        <v>2379</v>
      </c>
      <c r="B2214" s="6" t="s">
        <v>66</v>
      </c>
      <c r="C2214" s="6" t="s">
        <v>99</v>
      </c>
      <c r="D2214" s="6" t="s">
        <v>319</v>
      </c>
      <c r="E2214" s="6" t="s">
        <v>120</v>
      </c>
      <c r="F2214" s="7">
        <v>32</v>
      </c>
      <c r="G2214" s="7">
        <v>4000</v>
      </c>
      <c r="H2214" s="16">
        <v>45260</v>
      </c>
      <c r="I2214" s="6">
        <v>48</v>
      </c>
      <c r="J2214" s="6" t="s">
        <v>121</v>
      </c>
      <c r="K2214" s="6" t="s">
        <v>459</v>
      </c>
      <c r="L2214" s="11">
        <f>F2214*Controls!$B$6</f>
        <v>32</v>
      </c>
      <c r="M2214" s="11">
        <f>G2214*Controls!$B$6</f>
        <v>4000</v>
      </c>
      <c r="N2214" s="12">
        <f>IF(L2214=0,0,SUMIFS('PSI Plan'!$N$6:$N$173,'PSI Plan'!$B$6:$B$173,B2214,'PSI Plan'!$C$6:$C$173,I2214))</f>
        <v>0</v>
      </c>
      <c r="O2214" s="11">
        <f t="shared" si="68"/>
        <v>0</v>
      </c>
      <c r="P2214" s="11">
        <f t="shared" si="69"/>
        <v>0</v>
      </c>
      <c r="Q2214" s="6"/>
      <c r="R2214" s="6"/>
      <c r="S2214" s="6"/>
      <c r="T2214" s="6"/>
    </row>
    <row r="2215" spans="1:20">
      <c r="A2215" s="6" t="s">
        <v>2380</v>
      </c>
      <c r="B2215" s="6" t="s">
        <v>77</v>
      </c>
      <c r="C2215" s="6" t="s">
        <v>99</v>
      </c>
      <c r="D2215" s="6" t="s">
        <v>319</v>
      </c>
      <c r="E2215" s="6" t="s">
        <v>120</v>
      </c>
      <c r="F2215" s="7">
        <v>117</v>
      </c>
      <c r="G2215" s="7">
        <v>14625</v>
      </c>
      <c r="H2215" s="16">
        <v>45243</v>
      </c>
      <c r="I2215" s="6">
        <v>46</v>
      </c>
      <c r="J2215" s="6" t="s">
        <v>121</v>
      </c>
      <c r="K2215" s="6" t="s">
        <v>459</v>
      </c>
      <c r="L2215" s="11">
        <f>F2215*Controls!$B$6</f>
        <v>117</v>
      </c>
      <c r="M2215" s="11">
        <f>G2215*Controls!$B$6</f>
        <v>14625</v>
      </c>
      <c r="N2215" s="12">
        <f>IF(L2215=0,0,SUMIFS('PSI Plan'!$N$6:$N$173,'PSI Plan'!$B$6:$B$173,B2215,'PSI Plan'!$C$6:$C$173,I2215))</f>
        <v>0</v>
      </c>
      <c r="O2215" s="11">
        <f t="shared" si="68"/>
        <v>0</v>
      </c>
      <c r="P2215" s="11">
        <f t="shared" si="69"/>
        <v>0</v>
      </c>
      <c r="Q2215" s="6"/>
      <c r="R2215" s="6"/>
      <c r="S2215" s="6"/>
      <c r="T2215" s="6"/>
    </row>
    <row r="2216" spans="1:20">
      <c r="A2216" s="6" t="s">
        <v>2381</v>
      </c>
      <c r="B2216" s="6" t="s">
        <v>67</v>
      </c>
      <c r="C2216" s="6" t="s">
        <v>99</v>
      </c>
      <c r="D2216" s="6" t="s">
        <v>319</v>
      </c>
      <c r="E2216" s="6" t="s">
        <v>120</v>
      </c>
      <c r="F2216" s="7">
        <v>82</v>
      </c>
      <c r="G2216" s="7">
        <v>10250</v>
      </c>
      <c r="H2216" s="16">
        <v>45257</v>
      </c>
      <c r="I2216" s="6">
        <v>48</v>
      </c>
      <c r="J2216" s="6" t="s">
        <v>121</v>
      </c>
      <c r="K2216" s="6" t="s">
        <v>459</v>
      </c>
      <c r="L2216" s="11">
        <f>F2216*Controls!$B$6</f>
        <v>82</v>
      </c>
      <c r="M2216" s="11">
        <f>G2216*Controls!$B$6</f>
        <v>10250</v>
      </c>
      <c r="N2216" s="12">
        <f>IF(L2216=0,0,SUMIFS('PSI Plan'!$N$6:$N$173,'PSI Plan'!$B$6:$B$173,B2216,'PSI Plan'!$C$6:$C$173,I2216))</f>
        <v>0</v>
      </c>
      <c r="O2216" s="11">
        <f t="shared" si="68"/>
        <v>0</v>
      </c>
      <c r="P2216" s="11">
        <f t="shared" si="69"/>
        <v>0</v>
      </c>
      <c r="Q2216" s="6"/>
      <c r="R2216" s="6"/>
      <c r="S2216" s="6"/>
      <c r="T2216" s="6"/>
    </row>
    <row r="2217" spans="1:20">
      <c r="A2217" s="6" t="s">
        <v>2382</v>
      </c>
      <c r="B2217" s="6" t="s">
        <v>69</v>
      </c>
      <c r="C2217" s="6" t="s">
        <v>99</v>
      </c>
      <c r="D2217" s="6" t="s">
        <v>319</v>
      </c>
      <c r="E2217" s="6" t="s">
        <v>120</v>
      </c>
      <c r="F2217" s="7">
        <v>110</v>
      </c>
      <c r="G2217" s="7">
        <v>13750</v>
      </c>
      <c r="H2217" s="16">
        <v>45260</v>
      </c>
      <c r="I2217" s="6">
        <v>48</v>
      </c>
      <c r="J2217" s="6" t="s">
        <v>121</v>
      </c>
      <c r="K2217" s="6" t="s">
        <v>459</v>
      </c>
      <c r="L2217" s="11">
        <f>F2217*Controls!$B$6</f>
        <v>110</v>
      </c>
      <c r="M2217" s="11">
        <f>G2217*Controls!$B$6</f>
        <v>13750</v>
      </c>
      <c r="N2217" s="12">
        <f>IF(L2217=0,0,SUMIFS('PSI Plan'!$N$6:$N$173,'PSI Plan'!$B$6:$B$173,B2217,'PSI Plan'!$C$6:$C$173,I2217))</f>
        <v>0</v>
      </c>
      <c r="O2217" s="11">
        <f t="shared" si="68"/>
        <v>0</v>
      </c>
      <c r="P2217" s="11">
        <f t="shared" si="69"/>
        <v>0</v>
      </c>
      <c r="Q2217" s="6"/>
      <c r="R2217" s="6"/>
      <c r="S2217" s="6"/>
      <c r="T2217" s="6"/>
    </row>
    <row r="2218" spans="1:20">
      <c r="A2218" s="6" t="s">
        <v>2383</v>
      </c>
      <c r="B2218" s="6" t="s">
        <v>66</v>
      </c>
      <c r="C2218" s="6" t="s">
        <v>100</v>
      </c>
      <c r="D2218" s="6" t="s">
        <v>1895</v>
      </c>
      <c r="E2218" s="6" t="s">
        <v>120</v>
      </c>
      <c r="F2218" s="7">
        <v>20</v>
      </c>
      <c r="G2218" s="7">
        <v>2500</v>
      </c>
      <c r="H2218" s="16">
        <v>45246</v>
      </c>
      <c r="I2218" s="6">
        <v>46</v>
      </c>
      <c r="J2218" s="6" t="s">
        <v>1791</v>
      </c>
      <c r="K2218" s="6" t="s">
        <v>1896</v>
      </c>
      <c r="L2218" s="11">
        <f>F2218*Controls!$B$6</f>
        <v>20</v>
      </c>
      <c r="M2218" s="11">
        <f>G2218*Controls!$B$6</f>
        <v>2500</v>
      </c>
      <c r="N2218" s="12">
        <f>IF(L2218=0,0,SUMIFS('PSI Plan'!$N$6:$N$173,'PSI Plan'!$B$6:$B$173,B2218,'PSI Plan'!$C$6:$C$173,I2218))</f>
        <v>0</v>
      </c>
      <c r="O2218" s="11">
        <f t="shared" si="68"/>
        <v>0</v>
      </c>
      <c r="P2218" s="11">
        <f t="shared" si="69"/>
        <v>0</v>
      </c>
      <c r="Q2218" s="6"/>
      <c r="R2218" s="6"/>
      <c r="S2218" s="6"/>
      <c r="T2218" s="6"/>
    </row>
    <row r="2219" spans="1:20">
      <c r="A2219" s="6" t="s">
        <v>2384</v>
      </c>
      <c r="B2219" s="6" t="s">
        <v>66</v>
      </c>
      <c r="C2219" s="6" t="s">
        <v>100</v>
      </c>
      <c r="D2219" s="6" t="s">
        <v>1895</v>
      </c>
      <c r="E2219" s="6" t="s">
        <v>120</v>
      </c>
      <c r="F2219" s="7">
        <v>20</v>
      </c>
      <c r="G2219" s="7">
        <v>2500</v>
      </c>
      <c r="H2219" s="16">
        <v>45215</v>
      </c>
      <c r="I2219" s="6">
        <v>42</v>
      </c>
      <c r="J2219" s="6" t="s">
        <v>1791</v>
      </c>
      <c r="K2219" s="6" t="s">
        <v>1896</v>
      </c>
      <c r="L2219" s="11">
        <f>F2219*Controls!$B$6</f>
        <v>20</v>
      </c>
      <c r="M2219" s="11">
        <f>G2219*Controls!$B$6</f>
        <v>2500</v>
      </c>
      <c r="N2219" s="12">
        <f>IF(L2219=0,0,SUMIFS('PSI Plan'!$N$6:$N$173,'PSI Plan'!$B$6:$B$173,B2219,'PSI Plan'!$C$6:$C$173,I2219))</f>
        <v>0.59807073954983925</v>
      </c>
      <c r="O2219" s="11">
        <f t="shared" si="68"/>
        <v>11.961414790996784</v>
      </c>
      <c r="P2219" s="11">
        <f t="shared" si="69"/>
        <v>1495.1768488745981</v>
      </c>
      <c r="Q2219" s="6"/>
      <c r="R2219" s="6"/>
      <c r="S2219" s="6"/>
      <c r="T2219" s="6"/>
    </row>
    <row r="2220" spans="1:20">
      <c r="A2220" s="6" t="s">
        <v>2385</v>
      </c>
      <c r="B2220" s="6" t="s">
        <v>76</v>
      </c>
      <c r="C2220" s="6" t="s">
        <v>100</v>
      </c>
      <c r="D2220" s="6" t="s">
        <v>1895</v>
      </c>
      <c r="E2220" s="6" t="s">
        <v>120</v>
      </c>
      <c r="F2220" s="7">
        <v>20</v>
      </c>
      <c r="G2220" s="7">
        <v>2500</v>
      </c>
      <c r="H2220" s="16">
        <v>45213</v>
      </c>
      <c r="I2220" s="6">
        <v>41</v>
      </c>
      <c r="J2220" s="6" t="s">
        <v>1791</v>
      </c>
      <c r="K2220" s="6" t="s">
        <v>1896</v>
      </c>
      <c r="L2220" s="11">
        <f>F2220*Controls!$B$6</f>
        <v>20</v>
      </c>
      <c r="M2220" s="11">
        <f>G2220*Controls!$B$6</f>
        <v>2500</v>
      </c>
      <c r="N2220" s="12">
        <f>IF(L2220=0,0,SUMIFS('PSI Plan'!$N$6:$N$173,'PSI Plan'!$B$6:$B$173,B2220,'PSI Plan'!$C$6:$C$173,I2220))</f>
        <v>0</v>
      </c>
      <c r="O2220" s="11">
        <f t="shared" si="68"/>
        <v>0</v>
      </c>
      <c r="P2220" s="11">
        <f t="shared" si="69"/>
        <v>0</v>
      </c>
      <c r="Q2220" s="6"/>
      <c r="R2220" s="6"/>
      <c r="S2220" s="6"/>
      <c r="T2220" s="6"/>
    </row>
    <row r="2221" spans="1:20">
      <c r="A2221" s="6" t="s">
        <v>2386</v>
      </c>
      <c r="B2221" s="6" t="s">
        <v>66</v>
      </c>
      <c r="C2221" s="6" t="s">
        <v>99</v>
      </c>
      <c r="D2221" s="6" t="s">
        <v>319</v>
      </c>
      <c r="E2221" s="6" t="s">
        <v>120</v>
      </c>
      <c r="F2221" s="7">
        <v>116</v>
      </c>
      <c r="G2221" s="7">
        <v>14500</v>
      </c>
      <c r="H2221" s="16">
        <v>45204</v>
      </c>
      <c r="I2221" s="6">
        <v>40</v>
      </c>
      <c r="J2221" s="6" t="s">
        <v>121</v>
      </c>
      <c r="K2221" s="6" t="s">
        <v>324</v>
      </c>
      <c r="L2221" s="11">
        <f>F2221*Controls!$B$6</f>
        <v>116</v>
      </c>
      <c r="M2221" s="11">
        <f>G2221*Controls!$B$6</f>
        <v>14500</v>
      </c>
      <c r="N2221" s="12">
        <f>IF(L2221=0,0,SUMIFS('PSI Plan'!$N$6:$N$173,'PSI Plan'!$B$6:$B$173,B2221,'PSI Plan'!$C$6:$C$173,I2221))</f>
        <v>0</v>
      </c>
      <c r="O2221" s="11">
        <f t="shared" si="68"/>
        <v>0</v>
      </c>
      <c r="P2221" s="11">
        <f t="shared" si="69"/>
        <v>0</v>
      </c>
      <c r="Q2221" s="6"/>
      <c r="R2221" s="6"/>
      <c r="S2221" s="6"/>
      <c r="T2221" s="6"/>
    </row>
    <row r="2222" spans="1:20">
      <c r="A2222" s="6" t="s">
        <v>2387</v>
      </c>
      <c r="B2222" s="6" t="s">
        <v>77</v>
      </c>
      <c r="C2222" s="6" t="s">
        <v>99</v>
      </c>
      <c r="D2222" s="6" t="s">
        <v>319</v>
      </c>
      <c r="E2222" s="6" t="s">
        <v>120</v>
      </c>
      <c r="F2222" s="7">
        <v>42</v>
      </c>
      <c r="G2222" s="7">
        <v>5250</v>
      </c>
      <c r="H2222" s="16">
        <v>45212</v>
      </c>
      <c r="I2222" s="6">
        <v>41</v>
      </c>
      <c r="J2222" s="6" t="s">
        <v>121</v>
      </c>
      <c r="K2222" s="6" t="s">
        <v>324</v>
      </c>
      <c r="L2222" s="11">
        <f>F2222*Controls!$B$6</f>
        <v>42</v>
      </c>
      <c r="M2222" s="11">
        <f>G2222*Controls!$B$6</f>
        <v>5250</v>
      </c>
      <c r="N2222" s="12">
        <f>IF(L2222=0,0,SUMIFS('PSI Plan'!$N$6:$N$173,'PSI Plan'!$B$6:$B$173,B2222,'PSI Plan'!$C$6:$C$173,I2222))</f>
        <v>0</v>
      </c>
      <c r="O2222" s="11">
        <f t="shared" si="68"/>
        <v>0</v>
      </c>
      <c r="P2222" s="11">
        <f t="shared" si="69"/>
        <v>0</v>
      </c>
      <c r="Q2222" s="6"/>
      <c r="R2222" s="6"/>
      <c r="S2222" s="6"/>
      <c r="T2222" s="6"/>
    </row>
    <row r="2223" spans="1:20">
      <c r="A2223" s="6" t="s">
        <v>2388</v>
      </c>
      <c r="B2223" s="6" t="s">
        <v>67</v>
      </c>
      <c r="C2223" s="6" t="s">
        <v>99</v>
      </c>
      <c r="D2223" s="6" t="s">
        <v>319</v>
      </c>
      <c r="E2223" s="6" t="s">
        <v>120</v>
      </c>
      <c r="F2223" s="7">
        <v>16</v>
      </c>
      <c r="G2223" s="7">
        <v>2000</v>
      </c>
      <c r="H2223" s="16">
        <v>45225</v>
      </c>
      <c r="I2223" s="6">
        <v>43</v>
      </c>
      <c r="J2223" s="6" t="s">
        <v>121</v>
      </c>
      <c r="K2223" s="6" t="s">
        <v>324</v>
      </c>
      <c r="L2223" s="11">
        <f>F2223*Controls!$B$6</f>
        <v>16</v>
      </c>
      <c r="M2223" s="11">
        <f>G2223*Controls!$B$6</f>
        <v>2000</v>
      </c>
      <c r="N2223" s="12">
        <f>IF(L2223=0,0,SUMIFS('PSI Plan'!$N$6:$N$173,'PSI Plan'!$B$6:$B$173,B2223,'PSI Plan'!$C$6:$C$173,I2223))</f>
        <v>0</v>
      </c>
      <c r="O2223" s="11">
        <f t="shared" si="68"/>
        <v>0</v>
      </c>
      <c r="P2223" s="11">
        <f t="shared" si="69"/>
        <v>0</v>
      </c>
      <c r="Q2223" s="6"/>
      <c r="R2223" s="6"/>
      <c r="S2223" s="6"/>
      <c r="T2223" s="6"/>
    </row>
    <row r="2224" spans="1:20">
      <c r="A2224" s="6" t="s">
        <v>2389</v>
      </c>
      <c r="B2224" s="6" t="s">
        <v>66</v>
      </c>
      <c r="C2224" s="6" t="s">
        <v>99</v>
      </c>
      <c r="D2224" s="6" t="s">
        <v>319</v>
      </c>
      <c r="E2224" s="6" t="s">
        <v>120</v>
      </c>
      <c r="F2224" s="7">
        <v>52</v>
      </c>
      <c r="G2224" s="7">
        <v>6500</v>
      </c>
      <c r="H2224" s="16">
        <v>45208</v>
      </c>
      <c r="I2224" s="6">
        <v>41</v>
      </c>
      <c r="J2224" s="6" t="s">
        <v>121</v>
      </c>
      <c r="K2224" s="6" t="s">
        <v>361</v>
      </c>
      <c r="L2224" s="11">
        <f>F2224*Controls!$B$6</f>
        <v>52</v>
      </c>
      <c r="M2224" s="11">
        <f>G2224*Controls!$B$6</f>
        <v>6500</v>
      </c>
      <c r="N2224" s="12">
        <f>IF(L2224=0,0,SUMIFS('PSI Plan'!$N$6:$N$173,'PSI Plan'!$B$6:$B$173,B2224,'PSI Plan'!$C$6:$C$173,I2224))</f>
        <v>0.22897465437788017</v>
      </c>
      <c r="O2224" s="11">
        <f t="shared" si="68"/>
        <v>11.906682027649769</v>
      </c>
      <c r="P2224" s="11">
        <f t="shared" si="69"/>
        <v>1488.3352534562212</v>
      </c>
      <c r="Q2224" s="6"/>
      <c r="R2224" s="6"/>
      <c r="S2224" s="6"/>
      <c r="T2224" s="6"/>
    </row>
    <row r="2225" spans="1:20">
      <c r="A2225" s="6" t="s">
        <v>2390</v>
      </c>
      <c r="B2225" s="6" t="s">
        <v>77</v>
      </c>
      <c r="C2225" s="6" t="s">
        <v>99</v>
      </c>
      <c r="D2225" s="6" t="s">
        <v>319</v>
      </c>
      <c r="E2225" s="6" t="s">
        <v>120</v>
      </c>
      <c r="F2225" s="7">
        <v>52</v>
      </c>
      <c r="G2225" s="7">
        <v>6500</v>
      </c>
      <c r="H2225" s="16">
        <v>45262</v>
      </c>
      <c r="I2225" s="6">
        <v>48</v>
      </c>
      <c r="J2225" s="6" t="s">
        <v>121</v>
      </c>
      <c r="K2225" s="6" t="s">
        <v>361</v>
      </c>
      <c r="L2225" s="11">
        <f>F2225*Controls!$B$6</f>
        <v>52</v>
      </c>
      <c r="M2225" s="11">
        <f>G2225*Controls!$B$6</f>
        <v>6500</v>
      </c>
      <c r="N2225" s="12">
        <f>IF(L2225=0,0,SUMIFS('PSI Plan'!$N$6:$N$173,'PSI Plan'!$B$6:$B$173,B2225,'PSI Plan'!$C$6:$C$173,I2225))</f>
        <v>0</v>
      </c>
      <c r="O2225" s="11">
        <f t="shared" si="68"/>
        <v>0</v>
      </c>
      <c r="P2225" s="11">
        <f t="shared" si="69"/>
        <v>0</v>
      </c>
      <c r="Q2225" s="6"/>
      <c r="R2225" s="6"/>
      <c r="S2225" s="6"/>
      <c r="T2225" s="6"/>
    </row>
    <row r="2226" spans="1:20">
      <c r="A2226" s="6" t="s">
        <v>2391</v>
      </c>
      <c r="B2226" s="6" t="s">
        <v>67</v>
      </c>
      <c r="C2226" s="6" t="s">
        <v>99</v>
      </c>
      <c r="D2226" s="6" t="s">
        <v>319</v>
      </c>
      <c r="E2226" s="6" t="s">
        <v>120</v>
      </c>
      <c r="F2226" s="7">
        <v>52</v>
      </c>
      <c r="G2226" s="7">
        <v>6500</v>
      </c>
      <c r="H2226" s="16">
        <v>45286</v>
      </c>
      <c r="I2226" s="6">
        <v>52</v>
      </c>
      <c r="J2226" s="6" t="s">
        <v>121</v>
      </c>
      <c r="K2226" s="6" t="s">
        <v>361</v>
      </c>
      <c r="L2226" s="11">
        <f>F2226*Controls!$B$6</f>
        <v>52</v>
      </c>
      <c r="M2226" s="11">
        <f>G2226*Controls!$B$6</f>
        <v>6500</v>
      </c>
      <c r="N2226" s="12">
        <f>IF(L2226=0,0,SUMIFS('PSI Plan'!$N$6:$N$173,'PSI Plan'!$B$6:$B$173,B2226,'PSI Plan'!$C$6:$C$173,I2226))</f>
        <v>0</v>
      </c>
      <c r="O2226" s="11">
        <f t="shared" si="68"/>
        <v>0</v>
      </c>
      <c r="P2226" s="11">
        <f t="shared" si="69"/>
        <v>0</v>
      </c>
      <c r="Q2226" s="6"/>
      <c r="R2226" s="6"/>
      <c r="S2226" s="6"/>
      <c r="T2226" s="6"/>
    </row>
    <row r="2227" spans="1:20">
      <c r="A2227" s="6" t="s">
        <v>2392</v>
      </c>
      <c r="B2227" s="6" t="s">
        <v>69</v>
      </c>
      <c r="C2227" s="6" t="s">
        <v>99</v>
      </c>
      <c r="D2227" s="6" t="s">
        <v>319</v>
      </c>
      <c r="E2227" s="6" t="s">
        <v>120</v>
      </c>
      <c r="F2227" s="7">
        <v>52</v>
      </c>
      <c r="G2227" s="7">
        <v>6500</v>
      </c>
      <c r="H2227" s="16">
        <v>45270</v>
      </c>
      <c r="I2227" s="6">
        <v>50</v>
      </c>
      <c r="J2227" s="6" t="s">
        <v>121</v>
      </c>
      <c r="K2227" s="6" t="s">
        <v>361</v>
      </c>
      <c r="L2227" s="11">
        <f>F2227*Controls!$B$6</f>
        <v>52</v>
      </c>
      <c r="M2227" s="11">
        <f>G2227*Controls!$B$6</f>
        <v>6500</v>
      </c>
      <c r="N2227" s="12">
        <f>IF(L2227=0,0,SUMIFS('PSI Plan'!$N$6:$N$173,'PSI Plan'!$B$6:$B$173,B2227,'PSI Plan'!$C$6:$C$173,I2227))</f>
        <v>0</v>
      </c>
      <c r="O2227" s="11">
        <f t="shared" si="68"/>
        <v>0</v>
      </c>
      <c r="P2227" s="11">
        <f t="shared" si="69"/>
        <v>0</v>
      </c>
      <c r="Q2227" s="6"/>
      <c r="R2227" s="6"/>
      <c r="S2227" s="6"/>
      <c r="T2227" s="6"/>
    </row>
    <row r="2228" spans="1:20">
      <c r="A2228" s="6" t="s">
        <v>2393</v>
      </c>
      <c r="B2228" s="6" t="s">
        <v>66</v>
      </c>
      <c r="C2228" s="6" t="s">
        <v>91</v>
      </c>
      <c r="D2228" s="6" t="s">
        <v>567</v>
      </c>
      <c r="E2228" s="6" t="s">
        <v>120</v>
      </c>
      <c r="F2228" s="7">
        <v>26</v>
      </c>
      <c r="G2228" s="7">
        <v>3250</v>
      </c>
      <c r="H2228" s="16">
        <v>45279</v>
      </c>
      <c r="I2228" s="6">
        <v>51</v>
      </c>
      <c r="J2228" s="6" t="s">
        <v>121</v>
      </c>
      <c r="K2228" s="6" t="s">
        <v>781</v>
      </c>
      <c r="L2228" s="11">
        <f>F2228*Controls!$B$6</f>
        <v>26</v>
      </c>
      <c r="M2228" s="11">
        <f>G2228*Controls!$B$6</f>
        <v>3250</v>
      </c>
      <c r="N2228" s="12">
        <f>IF(L2228=0,0,SUMIFS('PSI Plan'!$N$6:$N$173,'PSI Plan'!$B$6:$B$173,B2228,'PSI Plan'!$C$6:$C$173,I2228))</f>
        <v>0</v>
      </c>
      <c r="O2228" s="11">
        <f t="shared" si="68"/>
        <v>0</v>
      </c>
      <c r="P2228" s="11">
        <f t="shared" si="69"/>
        <v>0</v>
      </c>
      <c r="Q2228" s="6"/>
      <c r="R2228" s="6"/>
      <c r="S2228" s="6"/>
      <c r="T2228" s="6"/>
    </row>
    <row r="2229" spans="1:20">
      <c r="A2229" s="6" t="s">
        <v>2394</v>
      </c>
      <c r="B2229" s="6" t="s">
        <v>77</v>
      </c>
      <c r="C2229" s="6" t="s">
        <v>91</v>
      </c>
      <c r="D2229" s="6" t="s">
        <v>567</v>
      </c>
      <c r="E2229" s="6" t="s">
        <v>120</v>
      </c>
      <c r="F2229" s="7">
        <v>15</v>
      </c>
      <c r="G2229" s="7">
        <v>1875</v>
      </c>
      <c r="H2229" s="16">
        <v>45284</v>
      </c>
      <c r="I2229" s="6">
        <v>52</v>
      </c>
      <c r="J2229" s="6" t="s">
        <v>121</v>
      </c>
      <c r="K2229" s="6" t="s">
        <v>781</v>
      </c>
      <c r="L2229" s="11">
        <f>F2229*Controls!$B$6</f>
        <v>15</v>
      </c>
      <c r="M2229" s="11">
        <f>G2229*Controls!$B$6</f>
        <v>1875</v>
      </c>
      <c r="N2229" s="12">
        <f>IF(L2229=0,0,SUMIFS('PSI Plan'!$N$6:$N$173,'PSI Plan'!$B$6:$B$173,B2229,'PSI Plan'!$C$6:$C$173,I2229))</f>
        <v>0</v>
      </c>
      <c r="O2229" s="11">
        <f t="shared" si="68"/>
        <v>0</v>
      </c>
      <c r="P2229" s="11">
        <f t="shared" si="69"/>
        <v>0</v>
      </c>
      <c r="Q2229" s="6"/>
      <c r="R2229" s="6"/>
      <c r="S2229" s="6"/>
      <c r="T2229" s="6"/>
    </row>
    <row r="2230" spans="1:20">
      <c r="A2230" s="6" t="s">
        <v>2395</v>
      </c>
      <c r="B2230" s="6" t="s">
        <v>76</v>
      </c>
      <c r="C2230" s="6" t="s">
        <v>91</v>
      </c>
      <c r="D2230" s="6" t="s">
        <v>567</v>
      </c>
      <c r="E2230" s="6" t="s">
        <v>120</v>
      </c>
      <c r="F2230" s="7">
        <v>26</v>
      </c>
      <c r="G2230" s="7">
        <v>3250</v>
      </c>
      <c r="H2230" s="16">
        <v>45233</v>
      </c>
      <c r="I2230" s="6">
        <v>44</v>
      </c>
      <c r="J2230" s="6" t="s">
        <v>121</v>
      </c>
      <c r="K2230" s="6" t="s">
        <v>781</v>
      </c>
      <c r="L2230" s="11">
        <f>F2230*Controls!$B$6</f>
        <v>26</v>
      </c>
      <c r="M2230" s="11">
        <f>G2230*Controls!$B$6</f>
        <v>3250</v>
      </c>
      <c r="N2230" s="12">
        <f>IF(L2230=0,0,SUMIFS('PSI Plan'!$N$6:$N$173,'PSI Plan'!$B$6:$B$173,B2230,'PSI Plan'!$C$6:$C$173,I2230))</f>
        <v>0</v>
      </c>
      <c r="O2230" s="11">
        <f t="shared" si="68"/>
        <v>0</v>
      </c>
      <c r="P2230" s="11">
        <f t="shared" si="69"/>
        <v>0</v>
      </c>
      <c r="Q2230" s="6"/>
      <c r="R2230" s="6"/>
      <c r="S2230" s="6"/>
      <c r="T2230" s="6"/>
    </row>
    <row r="2231" spans="1:20">
      <c r="A2231" s="6" t="s">
        <v>2396</v>
      </c>
      <c r="B2231" s="6" t="s">
        <v>67</v>
      </c>
      <c r="C2231" s="6" t="s">
        <v>91</v>
      </c>
      <c r="D2231" s="6" t="s">
        <v>567</v>
      </c>
      <c r="E2231" s="6" t="s">
        <v>120</v>
      </c>
      <c r="F2231" s="7">
        <v>11</v>
      </c>
      <c r="G2231" s="7">
        <v>1375</v>
      </c>
      <c r="H2231" s="16">
        <v>45285</v>
      </c>
      <c r="I2231" s="6">
        <v>52</v>
      </c>
      <c r="J2231" s="6" t="s">
        <v>121</v>
      </c>
      <c r="K2231" s="6" t="s">
        <v>781</v>
      </c>
      <c r="L2231" s="11">
        <f>F2231*Controls!$B$6</f>
        <v>11</v>
      </c>
      <c r="M2231" s="11">
        <f>G2231*Controls!$B$6</f>
        <v>1375</v>
      </c>
      <c r="N2231" s="12">
        <f>IF(L2231=0,0,SUMIFS('PSI Plan'!$N$6:$N$173,'PSI Plan'!$B$6:$B$173,B2231,'PSI Plan'!$C$6:$C$173,I2231))</f>
        <v>0</v>
      </c>
      <c r="O2231" s="11">
        <f t="shared" si="68"/>
        <v>0</v>
      </c>
      <c r="P2231" s="11">
        <f t="shared" si="69"/>
        <v>0</v>
      </c>
      <c r="Q2231" s="6"/>
      <c r="R2231" s="6"/>
      <c r="S2231" s="6"/>
      <c r="T2231" s="6"/>
    </row>
    <row r="2232" spans="1:20">
      <c r="A2232" s="6" t="s">
        <v>2397</v>
      </c>
      <c r="B2232" s="6" t="s">
        <v>77</v>
      </c>
      <c r="C2232" s="6" t="s">
        <v>90</v>
      </c>
      <c r="D2232" s="6" t="s">
        <v>119</v>
      </c>
      <c r="E2232" s="6" t="s">
        <v>120</v>
      </c>
      <c r="F2232" s="7">
        <v>13</v>
      </c>
      <c r="G2232" s="7">
        <v>1625</v>
      </c>
      <c r="H2232" s="16">
        <v>45262</v>
      </c>
      <c r="I2232" s="6">
        <v>48</v>
      </c>
      <c r="J2232" s="6" t="s">
        <v>121</v>
      </c>
      <c r="K2232" s="6" t="s">
        <v>298</v>
      </c>
      <c r="L2232" s="11">
        <f>F2232*Controls!$B$6</f>
        <v>13</v>
      </c>
      <c r="M2232" s="11">
        <f>G2232*Controls!$B$6</f>
        <v>1625</v>
      </c>
      <c r="N2232" s="12">
        <f>IF(L2232=0,0,SUMIFS('PSI Plan'!$N$6:$N$173,'PSI Plan'!$B$6:$B$173,B2232,'PSI Plan'!$C$6:$C$173,I2232))</f>
        <v>0</v>
      </c>
      <c r="O2232" s="11">
        <f t="shared" si="68"/>
        <v>0</v>
      </c>
      <c r="P2232" s="11">
        <f t="shared" si="69"/>
        <v>0</v>
      </c>
      <c r="Q2232" s="6"/>
      <c r="R2232" s="6"/>
      <c r="S2232" s="6"/>
      <c r="T2232" s="6"/>
    </row>
    <row r="2233" spans="1:20">
      <c r="A2233" s="6" t="s">
        <v>2398</v>
      </c>
      <c r="B2233" s="6" t="s">
        <v>66</v>
      </c>
      <c r="C2233" s="6" t="s">
        <v>90</v>
      </c>
      <c r="D2233" s="6" t="s">
        <v>119</v>
      </c>
      <c r="E2233" s="6" t="s">
        <v>120</v>
      </c>
      <c r="F2233" s="7">
        <v>13</v>
      </c>
      <c r="G2233" s="7">
        <v>1625</v>
      </c>
      <c r="H2233" s="16">
        <v>45288</v>
      </c>
      <c r="I2233" s="6">
        <v>52</v>
      </c>
      <c r="J2233" s="6" t="s">
        <v>1791</v>
      </c>
      <c r="K2233" s="6" t="s">
        <v>1890</v>
      </c>
      <c r="L2233" s="11">
        <f>F2233*Controls!$B$6</f>
        <v>13</v>
      </c>
      <c r="M2233" s="11">
        <f>G2233*Controls!$B$6</f>
        <v>1625</v>
      </c>
      <c r="N2233" s="12">
        <f>IF(L2233=0,0,SUMIFS('PSI Plan'!$N$6:$N$173,'PSI Plan'!$B$6:$B$173,B2233,'PSI Plan'!$C$6:$C$173,I2233))</f>
        <v>0</v>
      </c>
      <c r="O2233" s="11">
        <f t="shared" si="68"/>
        <v>0</v>
      </c>
      <c r="P2233" s="11">
        <f t="shared" si="69"/>
        <v>0</v>
      </c>
      <c r="Q2233" s="6"/>
      <c r="R2233" s="6"/>
      <c r="S2233" s="6"/>
      <c r="T2233" s="6"/>
    </row>
    <row r="2234" spans="1:20">
      <c r="A2234" s="6" t="s">
        <v>2399</v>
      </c>
      <c r="B2234" s="6" t="s">
        <v>66</v>
      </c>
      <c r="C2234" s="6" t="s">
        <v>90</v>
      </c>
      <c r="D2234" s="6" t="s">
        <v>119</v>
      </c>
      <c r="E2234" s="6" t="s">
        <v>120</v>
      </c>
      <c r="F2234" s="7">
        <v>26</v>
      </c>
      <c r="G2234" s="7">
        <v>3250</v>
      </c>
      <c r="H2234" s="16">
        <v>45212</v>
      </c>
      <c r="I2234" s="6">
        <v>41</v>
      </c>
      <c r="J2234" s="6" t="s">
        <v>1791</v>
      </c>
      <c r="K2234" s="6" t="s">
        <v>1890</v>
      </c>
      <c r="L2234" s="11">
        <f>F2234*Controls!$B$6</f>
        <v>26</v>
      </c>
      <c r="M2234" s="11">
        <f>G2234*Controls!$B$6</f>
        <v>3250</v>
      </c>
      <c r="N2234" s="12">
        <f>IF(L2234=0,0,SUMIFS('PSI Plan'!$N$6:$N$173,'PSI Plan'!$B$6:$B$173,B2234,'PSI Plan'!$C$6:$C$173,I2234))</f>
        <v>0.22897465437788017</v>
      </c>
      <c r="O2234" s="11">
        <f t="shared" si="68"/>
        <v>5.9533410138248843</v>
      </c>
      <c r="P2234" s="11">
        <f t="shared" si="69"/>
        <v>744.16762672811058</v>
      </c>
      <c r="Q2234" s="6"/>
      <c r="R2234" s="6"/>
      <c r="S2234" s="6"/>
      <c r="T2234" s="6"/>
    </row>
    <row r="2235" spans="1:20">
      <c r="A2235" s="6" t="s">
        <v>2400</v>
      </c>
      <c r="B2235" s="6" t="s">
        <v>76</v>
      </c>
      <c r="C2235" s="6" t="s">
        <v>90</v>
      </c>
      <c r="D2235" s="6" t="s">
        <v>119</v>
      </c>
      <c r="E2235" s="6" t="s">
        <v>120</v>
      </c>
      <c r="F2235" s="7">
        <v>26</v>
      </c>
      <c r="G2235" s="7">
        <v>3250</v>
      </c>
      <c r="H2235" s="16">
        <v>45253</v>
      </c>
      <c r="I2235" s="6">
        <v>47</v>
      </c>
      <c r="J2235" s="6" t="s">
        <v>1791</v>
      </c>
      <c r="K2235" s="6" t="s">
        <v>1890</v>
      </c>
      <c r="L2235" s="11">
        <f>F2235*Controls!$B$6</f>
        <v>26</v>
      </c>
      <c r="M2235" s="11">
        <f>G2235*Controls!$B$6</f>
        <v>3250</v>
      </c>
      <c r="N2235" s="12">
        <f>IF(L2235=0,0,SUMIFS('PSI Plan'!$N$6:$N$173,'PSI Plan'!$B$6:$B$173,B2235,'PSI Plan'!$C$6:$C$173,I2235))</f>
        <v>0</v>
      </c>
      <c r="O2235" s="11">
        <f t="shared" si="68"/>
        <v>0</v>
      </c>
      <c r="P2235" s="11">
        <f t="shared" si="69"/>
        <v>0</v>
      </c>
      <c r="Q2235" s="6"/>
      <c r="R2235" s="6"/>
      <c r="S2235" s="6"/>
      <c r="T2235" s="6"/>
    </row>
    <row r="2236" spans="1:20">
      <c r="A2236" s="6" t="s">
        <v>2401</v>
      </c>
      <c r="B2236" s="6" t="s">
        <v>77</v>
      </c>
      <c r="C2236" s="6" t="s">
        <v>90</v>
      </c>
      <c r="D2236" s="6" t="s">
        <v>119</v>
      </c>
      <c r="E2236" s="6" t="s">
        <v>120</v>
      </c>
      <c r="F2236" s="7">
        <v>26</v>
      </c>
      <c r="G2236" s="7">
        <v>3250</v>
      </c>
      <c r="H2236" s="16">
        <v>45256</v>
      </c>
      <c r="I2236" s="6">
        <v>48</v>
      </c>
      <c r="J2236" s="6" t="s">
        <v>121</v>
      </c>
      <c r="K2236" s="6" t="s">
        <v>725</v>
      </c>
      <c r="L2236" s="11">
        <f>F2236*Controls!$B$6</f>
        <v>26</v>
      </c>
      <c r="M2236" s="11">
        <f>G2236*Controls!$B$6</f>
        <v>3250</v>
      </c>
      <c r="N2236" s="12">
        <f>IF(L2236=0,0,SUMIFS('PSI Plan'!$N$6:$N$173,'PSI Plan'!$B$6:$B$173,B2236,'PSI Plan'!$C$6:$C$173,I2236))</f>
        <v>0</v>
      </c>
      <c r="O2236" s="11">
        <f t="shared" si="68"/>
        <v>0</v>
      </c>
      <c r="P2236" s="11">
        <f t="shared" si="69"/>
        <v>0</v>
      </c>
      <c r="Q2236" s="6"/>
      <c r="R2236" s="6"/>
      <c r="S2236" s="6"/>
      <c r="T2236" s="6"/>
    </row>
    <row r="2237" spans="1:20">
      <c r="A2237" s="6" t="s">
        <v>2402</v>
      </c>
      <c r="B2237" s="6" t="s">
        <v>77</v>
      </c>
      <c r="C2237" s="6" t="s">
        <v>90</v>
      </c>
      <c r="D2237" s="6" t="s">
        <v>119</v>
      </c>
      <c r="E2237" s="6" t="s">
        <v>120</v>
      </c>
      <c r="F2237" s="7">
        <v>52</v>
      </c>
      <c r="G2237" s="7">
        <v>6500</v>
      </c>
      <c r="H2237" s="16">
        <v>45284</v>
      </c>
      <c r="I2237" s="6">
        <v>52</v>
      </c>
      <c r="J2237" s="6" t="s">
        <v>121</v>
      </c>
      <c r="K2237" s="6" t="s">
        <v>122</v>
      </c>
      <c r="L2237" s="11">
        <f>F2237*Controls!$B$6</f>
        <v>52</v>
      </c>
      <c r="M2237" s="11">
        <f>G2237*Controls!$B$6</f>
        <v>6500</v>
      </c>
      <c r="N2237" s="12">
        <f>IF(L2237=0,0,SUMIFS('PSI Plan'!$N$6:$N$173,'PSI Plan'!$B$6:$B$173,B2237,'PSI Plan'!$C$6:$C$173,I2237))</f>
        <v>0</v>
      </c>
      <c r="O2237" s="11">
        <f t="shared" si="68"/>
        <v>0</v>
      </c>
      <c r="P2237" s="11">
        <f t="shared" si="69"/>
        <v>0</v>
      </c>
      <c r="Q2237" s="6"/>
      <c r="R2237" s="6"/>
      <c r="S2237" s="6"/>
      <c r="T2237" s="6"/>
    </row>
    <row r="2238" spans="1:20">
      <c r="A2238" s="6" t="s">
        <v>2403</v>
      </c>
      <c r="B2238" s="6" t="s">
        <v>67</v>
      </c>
      <c r="C2238" s="6" t="s">
        <v>90</v>
      </c>
      <c r="D2238" s="6" t="s">
        <v>119</v>
      </c>
      <c r="E2238" s="6" t="s">
        <v>120</v>
      </c>
      <c r="F2238" s="7">
        <v>26</v>
      </c>
      <c r="G2238" s="7">
        <v>3250</v>
      </c>
      <c r="H2238" s="16">
        <v>45223</v>
      </c>
      <c r="I2238" s="6">
        <v>43</v>
      </c>
      <c r="J2238" s="6" t="s">
        <v>121</v>
      </c>
      <c r="K2238" s="6" t="s">
        <v>122</v>
      </c>
      <c r="L2238" s="11">
        <f>F2238*Controls!$B$6</f>
        <v>26</v>
      </c>
      <c r="M2238" s="11">
        <f>G2238*Controls!$B$6</f>
        <v>3250</v>
      </c>
      <c r="N2238" s="12">
        <f>IF(L2238=0,0,SUMIFS('PSI Plan'!$N$6:$N$173,'PSI Plan'!$B$6:$B$173,B2238,'PSI Plan'!$C$6:$C$173,I2238))</f>
        <v>0</v>
      </c>
      <c r="O2238" s="11">
        <f t="shared" si="68"/>
        <v>0</v>
      </c>
      <c r="P2238" s="11">
        <f t="shared" si="69"/>
        <v>0</v>
      </c>
      <c r="Q2238" s="6"/>
      <c r="R2238" s="6"/>
      <c r="S2238" s="6"/>
      <c r="T2238" s="6"/>
    </row>
    <row r="2239" spans="1:20">
      <c r="A2239" s="6" t="s">
        <v>2404</v>
      </c>
      <c r="B2239" s="6" t="s">
        <v>69</v>
      </c>
      <c r="C2239" s="6" t="s">
        <v>90</v>
      </c>
      <c r="D2239" s="6" t="s">
        <v>119</v>
      </c>
      <c r="E2239" s="6" t="s">
        <v>120</v>
      </c>
      <c r="F2239" s="7">
        <v>26</v>
      </c>
      <c r="G2239" s="7">
        <v>3250</v>
      </c>
      <c r="H2239" s="16">
        <v>45201</v>
      </c>
      <c r="I2239" s="6">
        <v>40</v>
      </c>
      <c r="J2239" s="6" t="s">
        <v>121</v>
      </c>
      <c r="K2239" s="6" t="s">
        <v>122</v>
      </c>
      <c r="L2239" s="11">
        <f>F2239*Controls!$B$6</f>
        <v>26</v>
      </c>
      <c r="M2239" s="11">
        <f>G2239*Controls!$B$6</f>
        <v>3250</v>
      </c>
      <c r="N2239" s="12">
        <f>IF(L2239=0,0,SUMIFS('PSI Plan'!$N$6:$N$173,'PSI Plan'!$B$6:$B$173,B2239,'PSI Plan'!$C$6:$C$173,I2239))</f>
        <v>0</v>
      </c>
      <c r="O2239" s="11">
        <f t="shared" si="68"/>
        <v>0</v>
      </c>
      <c r="P2239" s="11">
        <f t="shared" si="69"/>
        <v>0</v>
      </c>
      <c r="Q2239" s="6"/>
      <c r="R2239" s="6"/>
      <c r="S2239" s="6"/>
      <c r="T2239" s="6"/>
    </row>
    <row r="2240" spans="1:20">
      <c r="A2240" s="6" t="s">
        <v>2405</v>
      </c>
      <c r="B2240" s="6" t="s">
        <v>66</v>
      </c>
      <c r="C2240" s="6" t="s">
        <v>90</v>
      </c>
      <c r="D2240" s="6" t="s">
        <v>119</v>
      </c>
      <c r="E2240" s="6" t="s">
        <v>120</v>
      </c>
      <c r="F2240" s="7">
        <v>13</v>
      </c>
      <c r="G2240" s="7">
        <v>1625</v>
      </c>
      <c r="H2240" s="16">
        <v>45246</v>
      </c>
      <c r="I2240" s="6">
        <v>46</v>
      </c>
      <c r="J2240" s="6" t="s">
        <v>121</v>
      </c>
      <c r="K2240" s="6" t="s">
        <v>139</v>
      </c>
      <c r="L2240" s="11">
        <f>F2240*Controls!$B$6</f>
        <v>13</v>
      </c>
      <c r="M2240" s="11">
        <f>G2240*Controls!$B$6</f>
        <v>1625</v>
      </c>
      <c r="N2240" s="12">
        <f>IF(L2240=0,0,SUMIFS('PSI Plan'!$N$6:$N$173,'PSI Plan'!$B$6:$B$173,B2240,'PSI Plan'!$C$6:$C$173,I2240))</f>
        <v>0</v>
      </c>
      <c r="O2240" s="11">
        <f t="shared" si="68"/>
        <v>0</v>
      </c>
      <c r="P2240" s="11">
        <f t="shared" si="69"/>
        <v>0</v>
      </c>
      <c r="Q2240" s="6"/>
      <c r="R2240" s="6"/>
      <c r="S2240" s="6"/>
      <c r="T2240" s="6"/>
    </row>
    <row r="2241" spans="1:20">
      <c r="A2241" s="6" t="s">
        <v>2406</v>
      </c>
      <c r="B2241" s="6" t="s">
        <v>77</v>
      </c>
      <c r="C2241" s="6" t="s">
        <v>90</v>
      </c>
      <c r="D2241" s="6" t="s">
        <v>119</v>
      </c>
      <c r="E2241" s="6" t="s">
        <v>120</v>
      </c>
      <c r="F2241" s="7">
        <v>13</v>
      </c>
      <c r="G2241" s="7">
        <v>1625</v>
      </c>
      <c r="H2241" s="16">
        <v>45231</v>
      </c>
      <c r="I2241" s="6">
        <v>44</v>
      </c>
      <c r="J2241" s="6" t="s">
        <v>121</v>
      </c>
      <c r="K2241" s="6" t="s">
        <v>139</v>
      </c>
      <c r="L2241" s="11">
        <f>F2241*Controls!$B$6</f>
        <v>13</v>
      </c>
      <c r="M2241" s="11">
        <f>G2241*Controls!$B$6</f>
        <v>1625</v>
      </c>
      <c r="N2241" s="12">
        <f>IF(L2241=0,0,SUMIFS('PSI Plan'!$N$6:$N$173,'PSI Plan'!$B$6:$B$173,B2241,'PSI Plan'!$C$6:$C$173,I2241))</f>
        <v>0</v>
      </c>
      <c r="O2241" s="11">
        <f t="shared" si="68"/>
        <v>0</v>
      </c>
      <c r="P2241" s="11">
        <f t="shared" si="69"/>
        <v>0</v>
      </c>
      <c r="Q2241" s="6"/>
      <c r="R2241" s="6"/>
      <c r="S2241" s="6"/>
      <c r="T2241" s="6"/>
    </row>
    <row r="2242" spans="1:20">
      <c r="A2242" s="6" t="s">
        <v>2407</v>
      </c>
      <c r="B2242" s="6" t="s">
        <v>69</v>
      </c>
      <c r="C2242" s="6" t="s">
        <v>90</v>
      </c>
      <c r="D2242" s="6" t="s">
        <v>119</v>
      </c>
      <c r="E2242" s="6" t="s">
        <v>120</v>
      </c>
      <c r="F2242" s="7">
        <v>6</v>
      </c>
      <c r="G2242" s="7">
        <v>750</v>
      </c>
      <c r="H2242" s="16">
        <v>45263</v>
      </c>
      <c r="I2242" s="6">
        <v>49</v>
      </c>
      <c r="J2242" s="6" t="s">
        <v>121</v>
      </c>
      <c r="K2242" s="6" t="s">
        <v>139</v>
      </c>
      <c r="L2242" s="11">
        <f>F2242*Controls!$B$6</f>
        <v>6</v>
      </c>
      <c r="M2242" s="11">
        <f>G2242*Controls!$B$6</f>
        <v>750</v>
      </c>
      <c r="N2242" s="12">
        <f>IF(L2242=0,0,SUMIFS('PSI Plan'!$N$6:$N$173,'PSI Plan'!$B$6:$B$173,B2242,'PSI Plan'!$C$6:$C$173,I2242))</f>
        <v>0</v>
      </c>
      <c r="O2242" s="11">
        <f t="shared" ref="O2242:O2305" si="70">L2242*N2242</f>
        <v>0</v>
      </c>
      <c r="P2242" s="11">
        <f t="shared" ref="P2242:P2305" si="71">M2242*N2242</f>
        <v>0</v>
      </c>
      <c r="Q2242" s="6"/>
      <c r="R2242" s="6"/>
      <c r="S2242" s="6"/>
      <c r="T2242" s="6"/>
    </row>
    <row r="2243" spans="1:20">
      <c r="A2243" s="6" t="s">
        <v>2408</v>
      </c>
      <c r="B2243" s="6" t="s">
        <v>66</v>
      </c>
      <c r="C2243" s="6" t="s">
        <v>90</v>
      </c>
      <c r="D2243" s="6" t="s">
        <v>119</v>
      </c>
      <c r="E2243" s="6" t="s">
        <v>120</v>
      </c>
      <c r="F2243" s="7">
        <v>26</v>
      </c>
      <c r="G2243" s="7">
        <v>3250</v>
      </c>
      <c r="H2243" s="16">
        <v>45251</v>
      </c>
      <c r="I2243" s="6">
        <v>47</v>
      </c>
      <c r="J2243" s="6" t="s">
        <v>121</v>
      </c>
      <c r="K2243" s="6" t="s">
        <v>169</v>
      </c>
      <c r="L2243" s="11">
        <f>F2243*Controls!$B$6</f>
        <v>26</v>
      </c>
      <c r="M2243" s="11">
        <f>G2243*Controls!$B$6</f>
        <v>3250</v>
      </c>
      <c r="N2243" s="12">
        <f>IF(L2243=0,0,SUMIFS('PSI Plan'!$N$6:$N$173,'PSI Plan'!$B$6:$B$173,B2243,'PSI Plan'!$C$6:$C$173,I2243))</f>
        <v>0</v>
      </c>
      <c r="O2243" s="11">
        <f t="shared" si="70"/>
        <v>0</v>
      </c>
      <c r="P2243" s="11">
        <f t="shared" si="71"/>
        <v>0</v>
      </c>
      <c r="Q2243" s="6"/>
      <c r="R2243" s="6"/>
      <c r="S2243" s="6"/>
      <c r="T2243" s="6"/>
    </row>
    <row r="2244" spans="1:20">
      <c r="A2244" s="6" t="s">
        <v>2409</v>
      </c>
      <c r="B2244" s="6" t="s">
        <v>77</v>
      </c>
      <c r="C2244" s="6" t="s">
        <v>90</v>
      </c>
      <c r="D2244" s="6" t="s">
        <v>119</v>
      </c>
      <c r="E2244" s="6" t="s">
        <v>120</v>
      </c>
      <c r="F2244" s="7">
        <v>26</v>
      </c>
      <c r="G2244" s="7">
        <v>3250</v>
      </c>
      <c r="H2244" s="16">
        <v>45238</v>
      </c>
      <c r="I2244" s="6">
        <v>45</v>
      </c>
      <c r="J2244" s="6" t="s">
        <v>121</v>
      </c>
      <c r="K2244" s="6" t="s">
        <v>169</v>
      </c>
      <c r="L2244" s="11">
        <f>F2244*Controls!$B$6</f>
        <v>26</v>
      </c>
      <c r="M2244" s="11">
        <f>G2244*Controls!$B$6</f>
        <v>3250</v>
      </c>
      <c r="N2244" s="12">
        <f>IF(L2244=0,0,SUMIFS('PSI Plan'!$N$6:$N$173,'PSI Plan'!$B$6:$B$173,B2244,'PSI Plan'!$C$6:$C$173,I2244))</f>
        <v>0</v>
      </c>
      <c r="O2244" s="11">
        <f t="shared" si="70"/>
        <v>0</v>
      </c>
      <c r="P2244" s="11">
        <f t="shared" si="71"/>
        <v>0</v>
      </c>
      <c r="Q2244" s="6"/>
      <c r="R2244" s="6"/>
      <c r="S2244" s="6"/>
      <c r="T2244" s="6"/>
    </row>
    <row r="2245" spans="1:20">
      <c r="A2245" s="6" t="s">
        <v>2410</v>
      </c>
      <c r="B2245" s="6" t="s">
        <v>66</v>
      </c>
      <c r="C2245" s="6" t="s">
        <v>99</v>
      </c>
      <c r="D2245" s="6" t="s">
        <v>319</v>
      </c>
      <c r="E2245" s="6" t="s">
        <v>120</v>
      </c>
      <c r="F2245" s="7">
        <v>6</v>
      </c>
      <c r="G2245" s="7">
        <v>750</v>
      </c>
      <c r="H2245" s="16">
        <v>45248</v>
      </c>
      <c r="I2245" s="6">
        <v>46</v>
      </c>
      <c r="J2245" s="6" t="s">
        <v>121</v>
      </c>
      <c r="K2245" s="6" t="s">
        <v>1576</v>
      </c>
      <c r="L2245" s="11">
        <f>F2245*Controls!$B$6</f>
        <v>6</v>
      </c>
      <c r="M2245" s="11">
        <f>G2245*Controls!$B$6</f>
        <v>750</v>
      </c>
      <c r="N2245" s="12">
        <f>IF(L2245=0,0,SUMIFS('PSI Plan'!$N$6:$N$173,'PSI Plan'!$B$6:$B$173,B2245,'PSI Plan'!$C$6:$C$173,I2245))</f>
        <v>0</v>
      </c>
      <c r="O2245" s="11">
        <f t="shared" si="70"/>
        <v>0</v>
      </c>
      <c r="P2245" s="11">
        <f t="shared" si="71"/>
        <v>0</v>
      </c>
      <c r="Q2245" s="6"/>
      <c r="R2245" s="6"/>
      <c r="S2245" s="6"/>
      <c r="T2245" s="6"/>
    </row>
    <row r="2246" spans="1:20">
      <c r="A2246" s="6" t="s">
        <v>2411</v>
      </c>
      <c r="B2246" s="6" t="s">
        <v>77</v>
      </c>
      <c r="C2246" s="6" t="s">
        <v>99</v>
      </c>
      <c r="D2246" s="6" t="s">
        <v>319</v>
      </c>
      <c r="E2246" s="6" t="s">
        <v>120</v>
      </c>
      <c r="F2246" s="7">
        <v>48</v>
      </c>
      <c r="G2246" s="7">
        <v>6000</v>
      </c>
      <c r="H2246" s="16">
        <v>45201</v>
      </c>
      <c r="I2246" s="6">
        <v>40</v>
      </c>
      <c r="J2246" s="6" t="s">
        <v>121</v>
      </c>
      <c r="K2246" s="6" t="s">
        <v>1576</v>
      </c>
      <c r="L2246" s="11">
        <f>F2246*Controls!$B$6</f>
        <v>48</v>
      </c>
      <c r="M2246" s="11">
        <f>G2246*Controls!$B$6</f>
        <v>6000</v>
      </c>
      <c r="N2246" s="12">
        <f>IF(L2246=0,0,SUMIFS('PSI Plan'!$N$6:$N$173,'PSI Plan'!$B$6:$B$173,B2246,'PSI Plan'!$C$6:$C$173,I2246))</f>
        <v>0</v>
      </c>
      <c r="O2246" s="11">
        <f t="shared" si="70"/>
        <v>0</v>
      </c>
      <c r="P2246" s="11">
        <f t="shared" si="71"/>
        <v>0</v>
      </c>
      <c r="Q2246" s="6"/>
      <c r="R2246" s="6"/>
      <c r="S2246" s="6"/>
      <c r="T2246" s="6"/>
    </row>
    <row r="2247" spans="1:20">
      <c r="A2247" s="6" t="s">
        <v>2412</v>
      </c>
      <c r="B2247" s="6" t="s">
        <v>69</v>
      </c>
      <c r="C2247" s="6" t="s">
        <v>99</v>
      </c>
      <c r="D2247" s="6" t="s">
        <v>319</v>
      </c>
      <c r="E2247" s="6" t="s">
        <v>120</v>
      </c>
      <c r="F2247" s="7">
        <v>2</v>
      </c>
      <c r="G2247" s="7">
        <v>250</v>
      </c>
      <c r="H2247" s="16">
        <v>45209</v>
      </c>
      <c r="I2247" s="6">
        <v>41</v>
      </c>
      <c r="J2247" s="6" t="s">
        <v>121</v>
      </c>
      <c r="K2247" s="6" t="s">
        <v>1576</v>
      </c>
      <c r="L2247" s="11">
        <f>F2247*Controls!$B$6</f>
        <v>2</v>
      </c>
      <c r="M2247" s="11">
        <f>G2247*Controls!$B$6</f>
        <v>250</v>
      </c>
      <c r="N2247" s="12">
        <f>IF(L2247=0,0,SUMIFS('PSI Plan'!$N$6:$N$173,'PSI Plan'!$B$6:$B$173,B2247,'PSI Plan'!$C$6:$C$173,I2247))</f>
        <v>0</v>
      </c>
      <c r="O2247" s="11">
        <f t="shared" si="70"/>
        <v>0</v>
      </c>
      <c r="P2247" s="11">
        <f t="shared" si="71"/>
        <v>0</v>
      </c>
      <c r="Q2247" s="6"/>
      <c r="R2247" s="6"/>
      <c r="S2247" s="6"/>
      <c r="T2247" s="6"/>
    </row>
    <row r="2248" spans="1:20">
      <c r="A2248" s="6" t="s">
        <v>2413</v>
      </c>
      <c r="B2248" s="6" t="s">
        <v>66</v>
      </c>
      <c r="C2248" s="6" t="s">
        <v>99</v>
      </c>
      <c r="D2248" s="6" t="s">
        <v>319</v>
      </c>
      <c r="E2248" s="6" t="s">
        <v>120</v>
      </c>
      <c r="F2248" s="7">
        <v>8</v>
      </c>
      <c r="G2248" s="7">
        <v>1000</v>
      </c>
      <c r="H2248" s="16">
        <v>45258</v>
      </c>
      <c r="I2248" s="6">
        <v>48</v>
      </c>
      <c r="J2248" s="6" t="s">
        <v>1791</v>
      </c>
      <c r="K2248" s="6" t="s">
        <v>1810</v>
      </c>
      <c r="L2248" s="11">
        <f>F2248*Controls!$B$6</f>
        <v>8</v>
      </c>
      <c r="M2248" s="11">
        <f>G2248*Controls!$B$6</f>
        <v>1000</v>
      </c>
      <c r="N2248" s="12">
        <f>IF(L2248=0,0,SUMIFS('PSI Plan'!$N$6:$N$173,'PSI Plan'!$B$6:$B$173,B2248,'PSI Plan'!$C$6:$C$173,I2248))</f>
        <v>0</v>
      </c>
      <c r="O2248" s="11">
        <f t="shared" si="70"/>
        <v>0</v>
      </c>
      <c r="P2248" s="11">
        <f t="shared" si="71"/>
        <v>0</v>
      </c>
      <c r="Q2248" s="6"/>
      <c r="R2248" s="6"/>
      <c r="S2248" s="6"/>
      <c r="T2248" s="6"/>
    </row>
    <row r="2249" spans="1:20">
      <c r="A2249" s="6" t="s">
        <v>2414</v>
      </c>
      <c r="B2249" s="6" t="s">
        <v>76</v>
      </c>
      <c r="C2249" s="6" t="s">
        <v>99</v>
      </c>
      <c r="D2249" s="6" t="s">
        <v>319</v>
      </c>
      <c r="E2249" s="6" t="s">
        <v>120</v>
      </c>
      <c r="F2249" s="7">
        <v>12</v>
      </c>
      <c r="G2249" s="7">
        <v>1500</v>
      </c>
      <c r="H2249" s="16">
        <v>45258</v>
      </c>
      <c r="I2249" s="6">
        <v>48</v>
      </c>
      <c r="J2249" s="6" t="s">
        <v>1791</v>
      </c>
      <c r="K2249" s="6" t="s">
        <v>1810</v>
      </c>
      <c r="L2249" s="11">
        <f>F2249*Controls!$B$6</f>
        <v>12</v>
      </c>
      <c r="M2249" s="11">
        <f>G2249*Controls!$B$6</f>
        <v>1500</v>
      </c>
      <c r="N2249" s="12">
        <f>IF(L2249=0,0,SUMIFS('PSI Plan'!$N$6:$N$173,'PSI Plan'!$B$6:$B$173,B2249,'PSI Plan'!$C$6:$C$173,I2249))</f>
        <v>0</v>
      </c>
      <c r="O2249" s="11">
        <f t="shared" si="70"/>
        <v>0</v>
      </c>
      <c r="P2249" s="11">
        <f t="shared" si="71"/>
        <v>0</v>
      </c>
      <c r="Q2249" s="6"/>
      <c r="R2249" s="6"/>
      <c r="S2249" s="6"/>
      <c r="T2249" s="6"/>
    </row>
    <row r="2250" spans="1:20">
      <c r="A2250" s="6" t="s">
        <v>2415</v>
      </c>
      <c r="B2250" s="6" t="s">
        <v>69</v>
      </c>
      <c r="C2250" s="6" t="s">
        <v>99</v>
      </c>
      <c r="D2250" s="6" t="s">
        <v>319</v>
      </c>
      <c r="E2250" s="6" t="s">
        <v>120</v>
      </c>
      <c r="F2250" s="7">
        <v>12</v>
      </c>
      <c r="G2250" s="7">
        <v>1500</v>
      </c>
      <c r="H2250" s="16">
        <v>45207</v>
      </c>
      <c r="I2250" s="6">
        <v>41</v>
      </c>
      <c r="J2250" s="6" t="s">
        <v>1791</v>
      </c>
      <c r="K2250" s="6" t="s">
        <v>1810</v>
      </c>
      <c r="L2250" s="11">
        <f>F2250*Controls!$B$6</f>
        <v>12</v>
      </c>
      <c r="M2250" s="11">
        <f>G2250*Controls!$B$6</f>
        <v>1500</v>
      </c>
      <c r="N2250" s="12">
        <f>IF(L2250=0,0,SUMIFS('PSI Plan'!$N$6:$N$173,'PSI Plan'!$B$6:$B$173,B2250,'PSI Plan'!$C$6:$C$173,I2250))</f>
        <v>0</v>
      </c>
      <c r="O2250" s="11">
        <f t="shared" si="70"/>
        <v>0</v>
      </c>
      <c r="P2250" s="11">
        <f t="shared" si="71"/>
        <v>0</v>
      </c>
      <c r="Q2250" s="6"/>
      <c r="R2250" s="6"/>
      <c r="S2250" s="6"/>
      <c r="T2250" s="6"/>
    </row>
    <row r="2251" spans="1:20">
      <c r="A2251" s="6" t="s">
        <v>2416</v>
      </c>
      <c r="B2251" s="6" t="s">
        <v>66</v>
      </c>
      <c r="C2251" s="6" t="s">
        <v>99</v>
      </c>
      <c r="D2251" s="6" t="s">
        <v>319</v>
      </c>
      <c r="E2251" s="6" t="s">
        <v>120</v>
      </c>
      <c r="F2251" s="7">
        <v>80</v>
      </c>
      <c r="G2251" s="7">
        <v>10000</v>
      </c>
      <c r="H2251" s="16">
        <v>45263</v>
      </c>
      <c r="I2251" s="6">
        <v>49</v>
      </c>
      <c r="J2251" s="6" t="s">
        <v>121</v>
      </c>
      <c r="K2251" s="6" t="s">
        <v>459</v>
      </c>
      <c r="L2251" s="11">
        <f>F2251*Controls!$B$6</f>
        <v>80</v>
      </c>
      <c r="M2251" s="11">
        <f>G2251*Controls!$B$6</f>
        <v>10000</v>
      </c>
      <c r="N2251" s="12">
        <f>IF(L2251=0,0,SUMIFS('PSI Plan'!$N$6:$N$173,'PSI Plan'!$B$6:$B$173,B2251,'PSI Plan'!$C$6:$C$173,I2251))</f>
        <v>0</v>
      </c>
      <c r="O2251" s="11">
        <f t="shared" si="70"/>
        <v>0</v>
      </c>
      <c r="P2251" s="11">
        <f t="shared" si="71"/>
        <v>0</v>
      </c>
      <c r="Q2251" s="6"/>
      <c r="R2251" s="6"/>
      <c r="S2251" s="6"/>
      <c r="T2251" s="6"/>
    </row>
    <row r="2252" spans="1:20">
      <c r="A2252" s="6" t="s">
        <v>2417</v>
      </c>
      <c r="B2252" s="6" t="s">
        <v>77</v>
      </c>
      <c r="C2252" s="6" t="s">
        <v>99</v>
      </c>
      <c r="D2252" s="6" t="s">
        <v>319</v>
      </c>
      <c r="E2252" s="6" t="s">
        <v>120</v>
      </c>
      <c r="F2252" s="7">
        <v>69</v>
      </c>
      <c r="G2252" s="7">
        <v>8625</v>
      </c>
      <c r="H2252" s="16">
        <v>45285</v>
      </c>
      <c r="I2252" s="6">
        <v>52</v>
      </c>
      <c r="J2252" s="6" t="s">
        <v>121</v>
      </c>
      <c r="K2252" s="6" t="s">
        <v>459</v>
      </c>
      <c r="L2252" s="11">
        <f>F2252*Controls!$B$6</f>
        <v>69</v>
      </c>
      <c r="M2252" s="11">
        <f>G2252*Controls!$B$6</f>
        <v>8625</v>
      </c>
      <c r="N2252" s="12">
        <f>IF(L2252=0,0,SUMIFS('PSI Plan'!$N$6:$N$173,'PSI Plan'!$B$6:$B$173,B2252,'PSI Plan'!$C$6:$C$173,I2252))</f>
        <v>0</v>
      </c>
      <c r="O2252" s="11">
        <f t="shared" si="70"/>
        <v>0</v>
      </c>
      <c r="P2252" s="11">
        <f t="shared" si="71"/>
        <v>0</v>
      </c>
      <c r="Q2252" s="6"/>
      <c r="R2252" s="6"/>
      <c r="S2252" s="6"/>
      <c r="T2252" s="6"/>
    </row>
    <row r="2253" spans="1:20">
      <c r="A2253" s="6" t="s">
        <v>2418</v>
      </c>
      <c r="B2253" s="6" t="s">
        <v>67</v>
      </c>
      <c r="C2253" s="6" t="s">
        <v>99</v>
      </c>
      <c r="D2253" s="6" t="s">
        <v>319</v>
      </c>
      <c r="E2253" s="6" t="s">
        <v>120</v>
      </c>
      <c r="F2253" s="7">
        <v>68</v>
      </c>
      <c r="G2253" s="7">
        <v>8500</v>
      </c>
      <c r="H2253" s="16">
        <v>45268</v>
      </c>
      <c r="I2253" s="6">
        <v>49</v>
      </c>
      <c r="J2253" s="6" t="s">
        <v>121</v>
      </c>
      <c r="K2253" s="6" t="s">
        <v>459</v>
      </c>
      <c r="L2253" s="11">
        <f>F2253*Controls!$B$6</f>
        <v>68</v>
      </c>
      <c r="M2253" s="11">
        <f>G2253*Controls!$B$6</f>
        <v>8500</v>
      </c>
      <c r="N2253" s="12">
        <f>IF(L2253=0,0,SUMIFS('PSI Plan'!$N$6:$N$173,'PSI Plan'!$B$6:$B$173,B2253,'PSI Plan'!$C$6:$C$173,I2253))</f>
        <v>0</v>
      </c>
      <c r="O2253" s="11">
        <f t="shared" si="70"/>
        <v>0</v>
      </c>
      <c r="P2253" s="11">
        <f t="shared" si="71"/>
        <v>0</v>
      </c>
      <c r="Q2253" s="6"/>
      <c r="R2253" s="6"/>
      <c r="S2253" s="6"/>
      <c r="T2253" s="6"/>
    </row>
    <row r="2254" spans="1:20">
      <c r="A2254" s="6" t="s">
        <v>2419</v>
      </c>
      <c r="B2254" s="6" t="s">
        <v>69</v>
      </c>
      <c r="C2254" s="6" t="s">
        <v>99</v>
      </c>
      <c r="D2254" s="6" t="s">
        <v>319</v>
      </c>
      <c r="E2254" s="6" t="s">
        <v>120</v>
      </c>
      <c r="F2254" s="7">
        <v>69</v>
      </c>
      <c r="G2254" s="7">
        <v>8625</v>
      </c>
      <c r="H2254" s="16">
        <v>45229</v>
      </c>
      <c r="I2254" s="6">
        <v>44</v>
      </c>
      <c r="J2254" s="6" t="s">
        <v>121</v>
      </c>
      <c r="K2254" s="6" t="s">
        <v>459</v>
      </c>
      <c r="L2254" s="11">
        <f>F2254*Controls!$B$6</f>
        <v>69</v>
      </c>
      <c r="M2254" s="11">
        <f>G2254*Controls!$B$6</f>
        <v>8625</v>
      </c>
      <c r="N2254" s="12">
        <f>IF(L2254=0,0,SUMIFS('PSI Plan'!$N$6:$N$173,'PSI Plan'!$B$6:$B$173,B2254,'PSI Plan'!$C$6:$C$173,I2254))</f>
        <v>0</v>
      </c>
      <c r="O2254" s="11">
        <f t="shared" si="70"/>
        <v>0</v>
      </c>
      <c r="P2254" s="11">
        <f t="shared" si="71"/>
        <v>0</v>
      </c>
      <c r="Q2254" s="6"/>
      <c r="R2254" s="6"/>
      <c r="S2254" s="6"/>
      <c r="T2254" s="6"/>
    </row>
    <row r="2255" spans="1:20">
      <c r="A2255" s="6" t="s">
        <v>2420</v>
      </c>
      <c r="B2255" s="6" t="s">
        <v>66</v>
      </c>
      <c r="C2255" s="6" t="s">
        <v>99</v>
      </c>
      <c r="D2255" s="6" t="s">
        <v>319</v>
      </c>
      <c r="E2255" s="6" t="s">
        <v>120</v>
      </c>
      <c r="F2255" s="7">
        <v>50</v>
      </c>
      <c r="G2255" s="7">
        <v>6250</v>
      </c>
      <c r="H2255" s="16">
        <v>45216</v>
      </c>
      <c r="I2255" s="6">
        <v>42</v>
      </c>
      <c r="J2255" s="6" t="s">
        <v>121</v>
      </c>
      <c r="K2255" s="6" t="s">
        <v>347</v>
      </c>
      <c r="L2255" s="11">
        <f>F2255*Controls!$B$6</f>
        <v>50</v>
      </c>
      <c r="M2255" s="11">
        <f>G2255*Controls!$B$6</f>
        <v>6250</v>
      </c>
      <c r="N2255" s="12">
        <f>IF(L2255=0,0,SUMIFS('PSI Plan'!$N$6:$N$173,'PSI Plan'!$B$6:$B$173,B2255,'PSI Plan'!$C$6:$C$173,I2255))</f>
        <v>0.59807073954983925</v>
      </c>
      <c r="O2255" s="11">
        <f t="shared" si="70"/>
        <v>29.903536977491964</v>
      </c>
      <c r="P2255" s="11">
        <f t="shared" si="71"/>
        <v>3737.9421221864955</v>
      </c>
      <c r="Q2255" s="6"/>
      <c r="R2255" s="6"/>
      <c r="S2255" s="6"/>
      <c r="T2255" s="6"/>
    </row>
    <row r="2256" spans="1:20">
      <c r="A2256" s="6" t="s">
        <v>2421</v>
      </c>
      <c r="B2256" s="6" t="s">
        <v>77</v>
      </c>
      <c r="C2256" s="6" t="s">
        <v>99</v>
      </c>
      <c r="D2256" s="6" t="s">
        <v>319</v>
      </c>
      <c r="E2256" s="6" t="s">
        <v>120</v>
      </c>
      <c r="F2256" s="7">
        <v>94</v>
      </c>
      <c r="G2256" s="7">
        <v>11750</v>
      </c>
      <c r="H2256" s="16">
        <v>45204</v>
      </c>
      <c r="I2256" s="6">
        <v>40</v>
      </c>
      <c r="J2256" s="6" t="s">
        <v>121</v>
      </c>
      <c r="K2256" s="6" t="s">
        <v>347</v>
      </c>
      <c r="L2256" s="11">
        <f>F2256*Controls!$B$6</f>
        <v>94</v>
      </c>
      <c r="M2256" s="11">
        <f>G2256*Controls!$B$6</f>
        <v>11750</v>
      </c>
      <c r="N2256" s="12">
        <f>IF(L2256=0,0,SUMIFS('PSI Plan'!$N$6:$N$173,'PSI Plan'!$B$6:$B$173,B2256,'PSI Plan'!$C$6:$C$173,I2256))</f>
        <v>0</v>
      </c>
      <c r="O2256" s="11">
        <f t="shared" si="70"/>
        <v>0</v>
      </c>
      <c r="P2256" s="11">
        <f t="shared" si="71"/>
        <v>0</v>
      </c>
      <c r="Q2256" s="6"/>
      <c r="R2256" s="6"/>
      <c r="S2256" s="6"/>
      <c r="T2256" s="6"/>
    </row>
    <row r="2257" spans="1:20">
      <c r="A2257" s="6" t="s">
        <v>2422</v>
      </c>
      <c r="B2257" s="6" t="s">
        <v>76</v>
      </c>
      <c r="C2257" s="6" t="s">
        <v>99</v>
      </c>
      <c r="D2257" s="6" t="s">
        <v>319</v>
      </c>
      <c r="E2257" s="6" t="s">
        <v>120</v>
      </c>
      <c r="F2257" s="7">
        <v>12</v>
      </c>
      <c r="G2257" s="7">
        <v>1500</v>
      </c>
      <c r="H2257" s="16">
        <v>45242</v>
      </c>
      <c r="I2257" s="6">
        <v>46</v>
      </c>
      <c r="J2257" s="6" t="s">
        <v>121</v>
      </c>
      <c r="K2257" s="6" t="s">
        <v>347</v>
      </c>
      <c r="L2257" s="11">
        <f>F2257*Controls!$B$6</f>
        <v>12</v>
      </c>
      <c r="M2257" s="11">
        <f>G2257*Controls!$B$6</f>
        <v>1500</v>
      </c>
      <c r="N2257" s="12">
        <f>IF(L2257=0,0,SUMIFS('PSI Plan'!$N$6:$N$173,'PSI Plan'!$B$6:$B$173,B2257,'PSI Plan'!$C$6:$C$173,I2257))</f>
        <v>0</v>
      </c>
      <c r="O2257" s="11">
        <f t="shared" si="70"/>
        <v>0</v>
      </c>
      <c r="P2257" s="11">
        <f t="shared" si="71"/>
        <v>0</v>
      </c>
      <c r="Q2257" s="6"/>
      <c r="R2257" s="6"/>
      <c r="S2257" s="6"/>
      <c r="T2257" s="6"/>
    </row>
    <row r="2258" spans="1:20">
      <c r="A2258" s="6" t="s">
        <v>2423</v>
      </c>
      <c r="B2258" s="6" t="s">
        <v>67</v>
      </c>
      <c r="C2258" s="6" t="s">
        <v>99</v>
      </c>
      <c r="D2258" s="6" t="s">
        <v>319</v>
      </c>
      <c r="E2258" s="6" t="s">
        <v>120</v>
      </c>
      <c r="F2258" s="7">
        <v>162</v>
      </c>
      <c r="G2258" s="7">
        <v>20250</v>
      </c>
      <c r="H2258" s="16">
        <v>45262</v>
      </c>
      <c r="I2258" s="6">
        <v>48</v>
      </c>
      <c r="J2258" s="6" t="s">
        <v>121</v>
      </c>
      <c r="K2258" s="6" t="s">
        <v>347</v>
      </c>
      <c r="L2258" s="11">
        <f>F2258*Controls!$B$6</f>
        <v>162</v>
      </c>
      <c r="M2258" s="11">
        <f>G2258*Controls!$B$6</f>
        <v>20250</v>
      </c>
      <c r="N2258" s="12">
        <f>IF(L2258=0,0,SUMIFS('PSI Plan'!$N$6:$N$173,'PSI Plan'!$B$6:$B$173,B2258,'PSI Plan'!$C$6:$C$173,I2258))</f>
        <v>0</v>
      </c>
      <c r="O2258" s="11">
        <f t="shared" si="70"/>
        <v>0</v>
      </c>
      <c r="P2258" s="11">
        <f t="shared" si="71"/>
        <v>0</v>
      </c>
      <c r="Q2258" s="6"/>
      <c r="R2258" s="6"/>
      <c r="S2258" s="6"/>
      <c r="T2258" s="6"/>
    </row>
    <row r="2259" spans="1:20">
      <c r="A2259" s="6" t="s">
        <v>2424</v>
      </c>
      <c r="B2259" s="6" t="s">
        <v>69</v>
      </c>
      <c r="C2259" s="6" t="s">
        <v>99</v>
      </c>
      <c r="D2259" s="6" t="s">
        <v>319</v>
      </c>
      <c r="E2259" s="6" t="s">
        <v>120</v>
      </c>
      <c r="F2259" s="7">
        <v>212</v>
      </c>
      <c r="G2259" s="7">
        <v>26500</v>
      </c>
      <c r="H2259" s="16">
        <v>45243</v>
      </c>
      <c r="I2259" s="6">
        <v>46</v>
      </c>
      <c r="J2259" s="6" t="s">
        <v>121</v>
      </c>
      <c r="K2259" s="6" t="s">
        <v>347</v>
      </c>
      <c r="L2259" s="11">
        <f>F2259*Controls!$B$6</f>
        <v>212</v>
      </c>
      <c r="M2259" s="11">
        <f>G2259*Controls!$B$6</f>
        <v>26500</v>
      </c>
      <c r="N2259" s="12">
        <f>IF(L2259=0,0,SUMIFS('PSI Plan'!$N$6:$N$173,'PSI Plan'!$B$6:$B$173,B2259,'PSI Plan'!$C$6:$C$173,I2259))</f>
        <v>0</v>
      </c>
      <c r="O2259" s="11">
        <f t="shared" si="70"/>
        <v>0</v>
      </c>
      <c r="P2259" s="11">
        <f t="shared" si="71"/>
        <v>0</v>
      </c>
      <c r="Q2259" s="6"/>
      <c r="R2259" s="6"/>
      <c r="S2259" s="6"/>
      <c r="T2259" s="6"/>
    </row>
    <row r="2260" spans="1:20">
      <c r="A2260" s="6" t="s">
        <v>2425</v>
      </c>
      <c r="B2260" s="6" t="s">
        <v>66</v>
      </c>
      <c r="C2260" s="6" t="s">
        <v>99</v>
      </c>
      <c r="D2260" s="6" t="s">
        <v>319</v>
      </c>
      <c r="E2260" s="6" t="s">
        <v>120</v>
      </c>
      <c r="F2260" s="7">
        <v>111</v>
      </c>
      <c r="G2260" s="7">
        <v>13875</v>
      </c>
      <c r="H2260" s="16">
        <v>45268</v>
      </c>
      <c r="I2260" s="6">
        <v>49</v>
      </c>
      <c r="J2260" s="6" t="s">
        <v>121</v>
      </c>
      <c r="K2260" s="6" t="s">
        <v>324</v>
      </c>
      <c r="L2260" s="11">
        <f>F2260*Controls!$B$6</f>
        <v>111</v>
      </c>
      <c r="M2260" s="11">
        <f>G2260*Controls!$B$6</f>
        <v>13875</v>
      </c>
      <c r="N2260" s="12">
        <f>IF(L2260=0,0,SUMIFS('PSI Plan'!$N$6:$N$173,'PSI Plan'!$B$6:$B$173,B2260,'PSI Plan'!$C$6:$C$173,I2260))</f>
        <v>0</v>
      </c>
      <c r="O2260" s="11">
        <f t="shared" si="70"/>
        <v>0</v>
      </c>
      <c r="P2260" s="11">
        <f t="shared" si="71"/>
        <v>0</v>
      </c>
      <c r="Q2260" s="6"/>
      <c r="R2260" s="6"/>
      <c r="S2260" s="6"/>
      <c r="T2260" s="6"/>
    </row>
    <row r="2261" spans="1:20">
      <c r="A2261" s="6" t="s">
        <v>2426</v>
      </c>
      <c r="B2261" s="6" t="s">
        <v>77</v>
      </c>
      <c r="C2261" s="6" t="s">
        <v>99</v>
      </c>
      <c r="D2261" s="6" t="s">
        <v>319</v>
      </c>
      <c r="E2261" s="6" t="s">
        <v>120</v>
      </c>
      <c r="F2261" s="7">
        <v>111</v>
      </c>
      <c r="G2261" s="7">
        <v>13875</v>
      </c>
      <c r="H2261" s="16">
        <v>45245</v>
      </c>
      <c r="I2261" s="6">
        <v>46</v>
      </c>
      <c r="J2261" s="6" t="s">
        <v>121</v>
      </c>
      <c r="K2261" s="6" t="s">
        <v>324</v>
      </c>
      <c r="L2261" s="11">
        <f>F2261*Controls!$B$6</f>
        <v>111</v>
      </c>
      <c r="M2261" s="11">
        <f>G2261*Controls!$B$6</f>
        <v>13875</v>
      </c>
      <c r="N2261" s="12">
        <f>IF(L2261=0,0,SUMIFS('PSI Plan'!$N$6:$N$173,'PSI Plan'!$B$6:$B$173,B2261,'PSI Plan'!$C$6:$C$173,I2261))</f>
        <v>0</v>
      </c>
      <c r="O2261" s="11">
        <f t="shared" si="70"/>
        <v>0</v>
      </c>
      <c r="P2261" s="11">
        <f t="shared" si="71"/>
        <v>0</v>
      </c>
      <c r="Q2261" s="6"/>
      <c r="R2261" s="6"/>
      <c r="S2261" s="6"/>
      <c r="T2261" s="6"/>
    </row>
    <row r="2262" spans="1:20">
      <c r="A2262" s="6" t="s">
        <v>2427</v>
      </c>
      <c r="B2262" s="6" t="s">
        <v>67</v>
      </c>
      <c r="C2262" s="6" t="s">
        <v>99</v>
      </c>
      <c r="D2262" s="6" t="s">
        <v>319</v>
      </c>
      <c r="E2262" s="6" t="s">
        <v>120</v>
      </c>
      <c r="F2262" s="7">
        <v>112</v>
      </c>
      <c r="G2262" s="7">
        <v>14000</v>
      </c>
      <c r="H2262" s="16">
        <v>45280</v>
      </c>
      <c r="I2262" s="6">
        <v>51</v>
      </c>
      <c r="J2262" s="6" t="s">
        <v>121</v>
      </c>
      <c r="K2262" s="6" t="s">
        <v>324</v>
      </c>
      <c r="L2262" s="11">
        <f>F2262*Controls!$B$6</f>
        <v>112</v>
      </c>
      <c r="M2262" s="11">
        <f>G2262*Controls!$B$6</f>
        <v>14000</v>
      </c>
      <c r="N2262" s="12">
        <f>IF(L2262=0,0,SUMIFS('PSI Plan'!$N$6:$N$173,'PSI Plan'!$B$6:$B$173,B2262,'PSI Plan'!$C$6:$C$173,I2262))</f>
        <v>0</v>
      </c>
      <c r="O2262" s="11">
        <f t="shared" si="70"/>
        <v>0</v>
      </c>
      <c r="P2262" s="11">
        <f t="shared" si="71"/>
        <v>0</v>
      </c>
      <c r="Q2262" s="6"/>
      <c r="R2262" s="6"/>
      <c r="S2262" s="6"/>
      <c r="T2262" s="6"/>
    </row>
    <row r="2263" spans="1:20">
      <c r="A2263" s="6" t="s">
        <v>2428</v>
      </c>
      <c r="B2263" s="6" t="s">
        <v>69</v>
      </c>
      <c r="C2263" s="6" t="s">
        <v>99</v>
      </c>
      <c r="D2263" s="6" t="s">
        <v>319</v>
      </c>
      <c r="E2263" s="6" t="s">
        <v>120</v>
      </c>
      <c r="F2263" s="7">
        <v>111</v>
      </c>
      <c r="G2263" s="7">
        <v>13875</v>
      </c>
      <c r="H2263" s="16">
        <v>45277</v>
      </c>
      <c r="I2263" s="6">
        <v>51</v>
      </c>
      <c r="J2263" s="6" t="s">
        <v>121</v>
      </c>
      <c r="K2263" s="6" t="s">
        <v>324</v>
      </c>
      <c r="L2263" s="11">
        <f>F2263*Controls!$B$6</f>
        <v>111</v>
      </c>
      <c r="M2263" s="11">
        <f>G2263*Controls!$B$6</f>
        <v>13875</v>
      </c>
      <c r="N2263" s="12">
        <f>IF(L2263=0,0,SUMIFS('PSI Plan'!$N$6:$N$173,'PSI Plan'!$B$6:$B$173,B2263,'PSI Plan'!$C$6:$C$173,I2263))</f>
        <v>0</v>
      </c>
      <c r="O2263" s="11">
        <f t="shared" si="70"/>
        <v>0</v>
      </c>
      <c r="P2263" s="11">
        <f t="shared" si="71"/>
        <v>0</v>
      </c>
      <c r="Q2263" s="6"/>
      <c r="R2263" s="6"/>
      <c r="S2263" s="6"/>
      <c r="T2263" s="6"/>
    </row>
    <row r="2264" spans="1:20">
      <c r="A2264" s="6" t="s">
        <v>2429</v>
      </c>
      <c r="B2264" s="6" t="s">
        <v>66</v>
      </c>
      <c r="C2264" s="6" t="s">
        <v>99</v>
      </c>
      <c r="D2264" s="6" t="s">
        <v>319</v>
      </c>
      <c r="E2264" s="6" t="s">
        <v>120</v>
      </c>
      <c r="F2264" s="7">
        <v>21</v>
      </c>
      <c r="G2264" s="7">
        <v>2625</v>
      </c>
      <c r="H2264" s="16">
        <v>45211</v>
      </c>
      <c r="I2264" s="6">
        <v>41</v>
      </c>
      <c r="J2264" s="6" t="s">
        <v>121</v>
      </c>
      <c r="K2264" s="6" t="s">
        <v>344</v>
      </c>
      <c r="L2264" s="11">
        <f>F2264*Controls!$B$6</f>
        <v>21</v>
      </c>
      <c r="M2264" s="11">
        <f>G2264*Controls!$B$6</f>
        <v>2625</v>
      </c>
      <c r="N2264" s="12">
        <f>IF(L2264=0,0,SUMIFS('PSI Plan'!$N$6:$N$173,'PSI Plan'!$B$6:$B$173,B2264,'PSI Plan'!$C$6:$C$173,I2264))</f>
        <v>0.22897465437788017</v>
      </c>
      <c r="O2264" s="11">
        <f t="shared" si="70"/>
        <v>4.808467741935484</v>
      </c>
      <c r="P2264" s="11">
        <f t="shared" si="71"/>
        <v>601.05846774193549</v>
      </c>
      <c r="Q2264" s="6"/>
      <c r="R2264" s="6"/>
      <c r="S2264" s="6"/>
      <c r="T2264" s="6"/>
    </row>
    <row r="2265" spans="1:20">
      <c r="A2265" s="6" t="s">
        <v>2430</v>
      </c>
      <c r="B2265" s="6" t="s">
        <v>77</v>
      </c>
      <c r="C2265" s="6" t="s">
        <v>99</v>
      </c>
      <c r="D2265" s="6" t="s">
        <v>319</v>
      </c>
      <c r="E2265" s="6" t="s">
        <v>120</v>
      </c>
      <c r="F2265" s="7">
        <v>22</v>
      </c>
      <c r="G2265" s="7">
        <v>2750</v>
      </c>
      <c r="H2265" s="16">
        <v>45274</v>
      </c>
      <c r="I2265" s="6">
        <v>50</v>
      </c>
      <c r="J2265" s="6" t="s">
        <v>121</v>
      </c>
      <c r="K2265" s="6" t="s">
        <v>344</v>
      </c>
      <c r="L2265" s="11">
        <f>F2265*Controls!$B$6</f>
        <v>22</v>
      </c>
      <c r="M2265" s="11">
        <f>G2265*Controls!$B$6</f>
        <v>2750</v>
      </c>
      <c r="N2265" s="12">
        <f>IF(L2265=0,0,SUMIFS('PSI Plan'!$N$6:$N$173,'PSI Plan'!$B$6:$B$173,B2265,'PSI Plan'!$C$6:$C$173,I2265))</f>
        <v>0</v>
      </c>
      <c r="O2265" s="11">
        <f t="shared" si="70"/>
        <v>0</v>
      </c>
      <c r="P2265" s="11">
        <f t="shared" si="71"/>
        <v>0</v>
      </c>
      <c r="Q2265" s="6"/>
      <c r="R2265" s="6"/>
      <c r="S2265" s="6"/>
      <c r="T2265" s="6"/>
    </row>
    <row r="2266" spans="1:20">
      <c r="A2266" s="6" t="s">
        <v>2431</v>
      </c>
      <c r="B2266" s="6" t="s">
        <v>67</v>
      </c>
      <c r="C2266" s="6" t="s">
        <v>99</v>
      </c>
      <c r="D2266" s="6" t="s">
        <v>319</v>
      </c>
      <c r="E2266" s="6" t="s">
        <v>120</v>
      </c>
      <c r="F2266" s="7">
        <v>22</v>
      </c>
      <c r="G2266" s="7">
        <v>2750</v>
      </c>
      <c r="H2266" s="16">
        <v>45282</v>
      </c>
      <c r="I2266" s="6">
        <v>51</v>
      </c>
      <c r="J2266" s="6" t="s">
        <v>121</v>
      </c>
      <c r="K2266" s="6" t="s">
        <v>344</v>
      </c>
      <c r="L2266" s="11">
        <f>F2266*Controls!$B$6</f>
        <v>22</v>
      </c>
      <c r="M2266" s="11">
        <f>G2266*Controls!$B$6</f>
        <v>2750</v>
      </c>
      <c r="N2266" s="12">
        <f>IF(L2266=0,0,SUMIFS('PSI Plan'!$N$6:$N$173,'PSI Plan'!$B$6:$B$173,B2266,'PSI Plan'!$C$6:$C$173,I2266))</f>
        <v>0</v>
      </c>
      <c r="O2266" s="11">
        <f t="shared" si="70"/>
        <v>0</v>
      </c>
      <c r="P2266" s="11">
        <f t="shared" si="71"/>
        <v>0</v>
      </c>
      <c r="Q2266" s="6"/>
      <c r="R2266" s="6"/>
      <c r="S2266" s="6"/>
      <c r="T2266" s="6"/>
    </row>
    <row r="2267" spans="1:20">
      <c r="A2267" s="6" t="s">
        <v>2432</v>
      </c>
      <c r="B2267" s="6" t="s">
        <v>69</v>
      </c>
      <c r="C2267" s="6" t="s">
        <v>99</v>
      </c>
      <c r="D2267" s="6" t="s">
        <v>319</v>
      </c>
      <c r="E2267" s="6" t="s">
        <v>120</v>
      </c>
      <c r="F2267" s="7">
        <v>22</v>
      </c>
      <c r="G2267" s="7">
        <v>2750</v>
      </c>
      <c r="H2267" s="16">
        <v>45273</v>
      </c>
      <c r="I2267" s="6">
        <v>50</v>
      </c>
      <c r="J2267" s="6" t="s">
        <v>121</v>
      </c>
      <c r="K2267" s="6" t="s">
        <v>344</v>
      </c>
      <c r="L2267" s="11">
        <f>F2267*Controls!$B$6</f>
        <v>22</v>
      </c>
      <c r="M2267" s="11">
        <f>G2267*Controls!$B$6</f>
        <v>2750</v>
      </c>
      <c r="N2267" s="12">
        <f>IF(L2267=0,0,SUMIFS('PSI Plan'!$N$6:$N$173,'PSI Plan'!$B$6:$B$173,B2267,'PSI Plan'!$C$6:$C$173,I2267))</f>
        <v>0</v>
      </c>
      <c r="O2267" s="11">
        <f t="shared" si="70"/>
        <v>0</v>
      </c>
      <c r="P2267" s="11">
        <f t="shared" si="71"/>
        <v>0</v>
      </c>
      <c r="Q2267" s="6"/>
      <c r="R2267" s="6"/>
      <c r="S2267" s="6"/>
      <c r="T2267" s="6"/>
    </row>
    <row r="2268" spans="1:20">
      <c r="A2268" s="6" t="s">
        <v>2433</v>
      </c>
      <c r="B2268" s="6" t="s">
        <v>66</v>
      </c>
      <c r="C2268" s="6" t="s">
        <v>91</v>
      </c>
      <c r="D2268" s="6" t="s">
        <v>567</v>
      </c>
      <c r="E2268" s="6" t="s">
        <v>120</v>
      </c>
      <c r="F2268" s="7">
        <v>303</v>
      </c>
      <c r="G2268" s="7">
        <v>37875</v>
      </c>
      <c r="H2268" s="16">
        <v>45246</v>
      </c>
      <c r="I2268" s="6">
        <v>46</v>
      </c>
      <c r="J2268" s="6" t="s">
        <v>2151</v>
      </c>
      <c r="K2268" s="6" t="s">
        <v>2434</v>
      </c>
      <c r="L2268" s="11">
        <f>F2268*Controls!$B$6</f>
        <v>303</v>
      </c>
      <c r="M2268" s="11">
        <f>G2268*Controls!$B$6</f>
        <v>37875</v>
      </c>
      <c r="N2268" s="12">
        <f>IF(L2268=0,0,SUMIFS('PSI Plan'!$N$6:$N$173,'PSI Plan'!$B$6:$B$173,B2268,'PSI Plan'!$C$6:$C$173,I2268))</f>
        <v>0</v>
      </c>
      <c r="O2268" s="11">
        <f t="shared" si="70"/>
        <v>0</v>
      </c>
      <c r="P2268" s="11">
        <f t="shared" si="71"/>
        <v>0</v>
      </c>
      <c r="Q2268" s="6"/>
      <c r="R2268" s="6"/>
      <c r="S2268" s="6"/>
      <c r="T2268" s="6"/>
    </row>
    <row r="2269" spans="1:20">
      <c r="A2269" s="6" t="s">
        <v>2435</v>
      </c>
      <c r="B2269" s="6" t="s">
        <v>76</v>
      </c>
      <c r="C2269" s="6" t="s">
        <v>91</v>
      </c>
      <c r="D2269" s="6" t="s">
        <v>567</v>
      </c>
      <c r="E2269" s="6" t="s">
        <v>120</v>
      </c>
      <c r="F2269" s="7">
        <v>303</v>
      </c>
      <c r="G2269" s="7">
        <v>37875</v>
      </c>
      <c r="H2269" s="16">
        <v>45257</v>
      </c>
      <c r="I2269" s="6">
        <v>48</v>
      </c>
      <c r="J2269" s="6" t="s">
        <v>2151</v>
      </c>
      <c r="K2269" s="6" t="s">
        <v>2434</v>
      </c>
      <c r="L2269" s="11">
        <f>F2269*Controls!$B$6</f>
        <v>303</v>
      </c>
      <c r="M2269" s="11">
        <f>G2269*Controls!$B$6</f>
        <v>37875</v>
      </c>
      <c r="N2269" s="12">
        <f>IF(L2269=0,0,SUMIFS('PSI Plan'!$N$6:$N$173,'PSI Plan'!$B$6:$B$173,B2269,'PSI Plan'!$C$6:$C$173,I2269))</f>
        <v>0</v>
      </c>
      <c r="O2269" s="11">
        <f t="shared" si="70"/>
        <v>0</v>
      </c>
      <c r="P2269" s="11">
        <f t="shared" si="71"/>
        <v>0</v>
      </c>
      <c r="Q2269" s="6"/>
      <c r="R2269" s="6"/>
      <c r="S2269" s="6"/>
      <c r="T2269" s="6"/>
    </row>
    <row r="2270" spans="1:20">
      <c r="A2270" s="6" t="s">
        <v>2436</v>
      </c>
      <c r="B2270" s="6" t="s">
        <v>77</v>
      </c>
      <c r="C2270" s="6" t="s">
        <v>91</v>
      </c>
      <c r="D2270" s="6" t="s">
        <v>567</v>
      </c>
      <c r="E2270" s="6" t="s">
        <v>120</v>
      </c>
      <c r="F2270" s="7">
        <v>26</v>
      </c>
      <c r="G2270" s="7">
        <v>3250</v>
      </c>
      <c r="H2270" s="16">
        <v>45241</v>
      </c>
      <c r="I2270" s="6">
        <v>45</v>
      </c>
      <c r="J2270" s="6" t="s">
        <v>121</v>
      </c>
      <c r="K2270" s="6" t="s">
        <v>781</v>
      </c>
      <c r="L2270" s="11">
        <f>F2270*Controls!$B$6</f>
        <v>26</v>
      </c>
      <c r="M2270" s="11">
        <f>G2270*Controls!$B$6</f>
        <v>3250</v>
      </c>
      <c r="N2270" s="12">
        <f>IF(L2270=0,0,SUMIFS('PSI Plan'!$N$6:$N$173,'PSI Plan'!$B$6:$B$173,B2270,'PSI Plan'!$C$6:$C$173,I2270))</f>
        <v>0</v>
      </c>
      <c r="O2270" s="11">
        <f t="shared" si="70"/>
        <v>0</v>
      </c>
      <c r="P2270" s="11">
        <f t="shared" si="71"/>
        <v>0</v>
      </c>
      <c r="Q2270" s="6"/>
      <c r="R2270" s="6"/>
      <c r="S2270" s="6"/>
      <c r="T2270" s="6"/>
    </row>
    <row r="2271" spans="1:20">
      <c r="A2271" s="6" t="s">
        <v>2437</v>
      </c>
      <c r="B2271" s="6" t="s">
        <v>76</v>
      </c>
      <c r="C2271" s="6" t="s">
        <v>91</v>
      </c>
      <c r="D2271" s="6" t="s">
        <v>567</v>
      </c>
      <c r="E2271" s="6" t="s">
        <v>120</v>
      </c>
      <c r="F2271" s="7">
        <v>26</v>
      </c>
      <c r="G2271" s="7">
        <v>3250</v>
      </c>
      <c r="H2271" s="16">
        <v>45218</v>
      </c>
      <c r="I2271" s="6">
        <v>42</v>
      </c>
      <c r="J2271" s="6" t="s">
        <v>121</v>
      </c>
      <c r="K2271" s="6" t="s">
        <v>781</v>
      </c>
      <c r="L2271" s="11">
        <f>F2271*Controls!$B$6</f>
        <v>26</v>
      </c>
      <c r="M2271" s="11">
        <f>G2271*Controls!$B$6</f>
        <v>3250</v>
      </c>
      <c r="N2271" s="12">
        <f>IF(L2271=0,0,SUMIFS('PSI Plan'!$N$6:$N$173,'PSI Plan'!$B$6:$B$173,B2271,'PSI Plan'!$C$6:$C$173,I2271))</f>
        <v>0</v>
      </c>
      <c r="O2271" s="11">
        <f t="shared" si="70"/>
        <v>0</v>
      </c>
      <c r="P2271" s="11">
        <f t="shared" si="71"/>
        <v>0</v>
      </c>
      <c r="Q2271" s="6"/>
      <c r="R2271" s="6"/>
      <c r="S2271" s="6"/>
      <c r="T2271" s="6"/>
    </row>
    <row r="2272" spans="1:20">
      <c r="A2272" s="6" t="s">
        <v>2438</v>
      </c>
      <c r="B2272" s="6" t="s">
        <v>69</v>
      </c>
      <c r="C2272" s="6" t="s">
        <v>91</v>
      </c>
      <c r="D2272" s="6" t="s">
        <v>567</v>
      </c>
      <c r="E2272" s="6" t="s">
        <v>120</v>
      </c>
      <c r="F2272" s="7">
        <v>13</v>
      </c>
      <c r="G2272" s="7">
        <v>1625</v>
      </c>
      <c r="H2272" s="16">
        <v>45261</v>
      </c>
      <c r="I2272" s="6">
        <v>48</v>
      </c>
      <c r="J2272" s="6" t="s">
        <v>121</v>
      </c>
      <c r="K2272" s="6" t="s">
        <v>781</v>
      </c>
      <c r="L2272" s="11">
        <f>F2272*Controls!$B$6</f>
        <v>13</v>
      </c>
      <c r="M2272" s="11">
        <f>G2272*Controls!$B$6</f>
        <v>1625</v>
      </c>
      <c r="N2272" s="12">
        <f>IF(L2272=0,0,SUMIFS('PSI Plan'!$N$6:$N$173,'PSI Plan'!$B$6:$B$173,B2272,'PSI Plan'!$C$6:$C$173,I2272))</f>
        <v>0</v>
      </c>
      <c r="O2272" s="11">
        <f t="shared" si="70"/>
        <v>0</v>
      </c>
      <c r="P2272" s="11">
        <f t="shared" si="71"/>
        <v>0</v>
      </c>
      <c r="Q2272" s="6"/>
      <c r="R2272" s="6"/>
      <c r="S2272" s="6"/>
      <c r="T2272" s="6"/>
    </row>
    <row r="2273" spans="1:20">
      <c r="A2273" s="6" t="s">
        <v>2439</v>
      </c>
      <c r="B2273" s="6" t="s">
        <v>66</v>
      </c>
      <c r="C2273" s="6" t="s">
        <v>90</v>
      </c>
      <c r="D2273" s="6" t="s">
        <v>119</v>
      </c>
      <c r="E2273" s="6" t="s">
        <v>120</v>
      </c>
      <c r="F2273" s="7">
        <v>13</v>
      </c>
      <c r="G2273" s="7">
        <v>1625</v>
      </c>
      <c r="H2273" s="16">
        <v>45261</v>
      </c>
      <c r="I2273" s="6">
        <v>48</v>
      </c>
      <c r="J2273" s="6" t="s">
        <v>121</v>
      </c>
      <c r="K2273" s="6" t="s">
        <v>125</v>
      </c>
      <c r="L2273" s="11">
        <f>F2273*Controls!$B$6</f>
        <v>13</v>
      </c>
      <c r="M2273" s="11">
        <f>G2273*Controls!$B$6</f>
        <v>1625</v>
      </c>
      <c r="N2273" s="12">
        <f>IF(L2273=0,0,SUMIFS('PSI Plan'!$N$6:$N$173,'PSI Plan'!$B$6:$B$173,B2273,'PSI Plan'!$C$6:$C$173,I2273))</f>
        <v>0</v>
      </c>
      <c r="O2273" s="11">
        <f t="shared" si="70"/>
        <v>0</v>
      </c>
      <c r="P2273" s="11">
        <f t="shared" si="71"/>
        <v>0</v>
      </c>
      <c r="Q2273" s="6"/>
      <c r="R2273" s="6"/>
      <c r="S2273" s="6"/>
      <c r="T2273" s="6"/>
    </row>
    <row r="2274" spans="1:20">
      <c r="A2274" s="6" t="s">
        <v>2440</v>
      </c>
      <c r="B2274" s="6" t="s">
        <v>77</v>
      </c>
      <c r="C2274" s="6" t="s">
        <v>90</v>
      </c>
      <c r="D2274" s="6" t="s">
        <v>119</v>
      </c>
      <c r="E2274" s="6" t="s">
        <v>120</v>
      </c>
      <c r="F2274" s="7">
        <v>13</v>
      </c>
      <c r="G2274" s="7">
        <v>1625</v>
      </c>
      <c r="H2274" s="16">
        <v>45259</v>
      </c>
      <c r="I2274" s="6">
        <v>48</v>
      </c>
      <c r="J2274" s="6" t="s">
        <v>121</v>
      </c>
      <c r="K2274" s="6" t="s">
        <v>125</v>
      </c>
      <c r="L2274" s="11">
        <f>F2274*Controls!$B$6</f>
        <v>13</v>
      </c>
      <c r="M2274" s="11">
        <f>G2274*Controls!$B$6</f>
        <v>1625</v>
      </c>
      <c r="N2274" s="12">
        <f>IF(L2274=0,0,SUMIFS('PSI Plan'!$N$6:$N$173,'PSI Plan'!$B$6:$B$173,B2274,'PSI Plan'!$C$6:$C$173,I2274))</f>
        <v>0</v>
      </c>
      <c r="O2274" s="11">
        <f t="shared" si="70"/>
        <v>0</v>
      </c>
      <c r="P2274" s="11">
        <f t="shared" si="71"/>
        <v>0</v>
      </c>
      <c r="Q2274" s="6"/>
      <c r="R2274" s="6"/>
      <c r="S2274" s="6"/>
      <c r="T2274" s="6"/>
    </row>
    <row r="2275" spans="1:20">
      <c r="A2275" s="6" t="s">
        <v>2441</v>
      </c>
      <c r="B2275" s="6" t="s">
        <v>69</v>
      </c>
      <c r="C2275" s="6" t="s">
        <v>90</v>
      </c>
      <c r="D2275" s="6" t="s">
        <v>119</v>
      </c>
      <c r="E2275" s="6" t="s">
        <v>120</v>
      </c>
      <c r="F2275" s="7">
        <v>13</v>
      </c>
      <c r="G2275" s="7">
        <v>1625</v>
      </c>
      <c r="H2275" s="16">
        <v>45251</v>
      </c>
      <c r="I2275" s="6">
        <v>47</v>
      </c>
      <c r="J2275" s="6" t="s">
        <v>121</v>
      </c>
      <c r="K2275" s="6" t="s">
        <v>125</v>
      </c>
      <c r="L2275" s="11">
        <f>F2275*Controls!$B$6</f>
        <v>13</v>
      </c>
      <c r="M2275" s="11">
        <f>G2275*Controls!$B$6</f>
        <v>1625</v>
      </c>
      <c r="N2275" s="12">
        <f>IF(L2275=0,0,SUMIFS('PSI Plan'!$N$6:$N$173,'PSI Plan'!$B$6:$B$173,B2275,'PSI Plan'!$C$6:$C$173,I2275))</f>
        <v>0</v>
      </c>
      <c r="O2275" s="11">
        <f t="shared" si="70"/>
        <v>0</v>
      </c>
      <c r="P2275" s="11">
        <f t="shared" si="71"/>
        <v>0</v>
      </c>
      <c r="Q2275" s="6"/>
      <c r="R2275" s="6"/>
      <c r="S2275" s="6"/>
      <c r="T2275" s="6"/>
    </row>
    <row r="2276" spans="1:20">
      <c r="A2276" s="6" t="s">
        <v>2442</v>
      </c>
      <c r="B2276" s="6" t="s">
        <v>66</v>
      </c>
      <c r="C2276" s="6" t="s">
        <v>90</v>
      </c>
      <c r="D2276" s="6" t="s">
        <v>119</v>
      </c>
      <c r="E2276" s="6" t="s">
        <v>120</v>
      </c>
      <c r="F2276" s="7">
        <v>143</v>
      </c>
      <c r="G2276" s="7">
        <v>17875</v>
      </c>
      <c r="H2276" s="16">
        <v>45272</v>
      </c>
      <c r="I2276" s="6">
        <v>50</v>
      </c>
      <c r="J2276" s="6" t="s">
        <v>1791</v>
      </c>
      <c r="K2276" s="6" t="s">
        <v>1890</v>
      </c>
      <c r="L2276" s="11">
        <f>F2276*Controls!$B$6</f>
        <v>143</v>
      </c>
      <c r="M2276" s="11">
        <f>G2276*Controls!$B$6</f>
        <v>17875</v>
      </c>
      <c r="N2276" s="12">
        <f>IF(L2276=0,0,SUMIFS('PSI Plan'!$N$6:$N$173,'PSI Plan'!$B$6:$B$173,B2276,'PSI Plan'!$C$6:$C$173,I2276))</f>
        <v>0</v>
      </c>
      <c r="O2276" s="11">
        <f t="shared" si="70"/>
        <v>0</v>
      </c>
      <c r="P2276" s="11">
        <f t="shared" si="71"/>
        <v>0</v>
      </c>
      <c r="Q2276" s="6"/>
      <c r="R2276" s="6"/>
      <c r="S2276" s="6"/>
      <c r="T2276" s="6"/>
    </row>
    <row r="2277" spans="1:20">
      <c r="A2277" s="6" t="s">
        <v>2443</v>
      </c>
      <c r="B2277" s="6" t="s">
        <v>76</v>
      </c>
      <c r="C2277" s="6" t="s">
        <v>90</v>
      </c>
      <c r="D2277" s="6" t="s">
        <v>119</v>
      </c>
      <c r="E2277" s="6" t="s">
        <v>120</v>
      </c>
      <c r="F2277" s="7">
        <v>39</v>
      </c>
      <c r="G2277" s="7">
        <v>4875</v>
      </c>
      <c r="H2277" s="16">
        <v>45200</v>
      </c>
      <c r="I2277" s="6">
        <v>40</v>
      </c>
      <c r="J2277" s="6" t="s">
        <v>1791</v>
      </c>
      <c r="K2277" s="6" t="s">
        <v>1890</v>
      </c>
      <c r="L2277" s="11">
        <f>F2277*Controls!$B$6</f>
        <v>39</v>
      </c>
      <c r="M2277" s="11">
        <f>G2277*Controls!$B$6</f>
        <v>4875</v>
      </c>
      <c r="N2277" s="12">
        <f>IF(L2277=0,0,SUMIFS('PSI Plan'!$N$6:$N$173,'PSI Plan'!$B$6:$B$173,B2277,'PSI Plan'!$C$6:$C$173,I2277))</f>
        <v>0</v>
      </c>
      <c r="O2277" s="11">
        <f t="shared" si="70"/>
        <v>0</v>
      </c>
      <c r="P2277" s="11">
        <f t="shared" si="71"/>
        <v>0</v>
      </c>
      <c r="Q2277" s="6"/>
      <c r="R2277" s="6"/>
      <c r="S2277" s="6"/>
      <c r="T2277" s="6"/>
    </row>
    <row r="2278" spans="1:20">
      <c r="A2278" s="6" t="s">
        <v>2444</v>
      </c>
      <c r="B2278" s="6" t="s">
        <v>67</v>
      </c>
      <c r="C2278" s="6" t="s">
        <v>90</v>
      </c>
      <c r="D2278" s="6" t="s">
        <v>119</v>
      </c>
      <c r="E2278" s="6" t="s">
        <v>120</v>
      </c>
      <c r="F2278" s="7">
        <v>52</v>
      </c>
      <c r="G2278" s="7">
        <v>6500</v>
      </c>
      <c r="H2278" s="16">
        <v>45216</v>
      </c>
      <c r="I2278" s="6">
        <v>42</v>
      </c>
      <c r="J2278" s="6" t="s">
        <v>1791</v>
      </c>
      <c r="K2278" s="6" t="s">
        <v>1890</v>
      </c>
      <c r="L2278" s="11">
        <f>F2278*Controls!$B$6</f>
        <v>52</v>
      </c>
      <c r="M2278" s="11">
        <f>G2278*Controls!$B$6</f>
        <v>6500</v>
      </c>
      <c r="N2278" s="12">
        <f>IF(L2278=0,0,SUMIFS('PSI Plan'!$N$6:$N$173,'PSI Plan'!$B$6:$B$173,B2278,'PSI Plan'!$C$6:$C$173,I2278))</f>
        <v>0</v>
      </c>
      <c r="O2278" s="11">
        <f t="shared" si="70"/>
        <v>0</v>
      </c>
      <c r="P2278" s="11">
        <f t="shared" si="71"/>
        <v>0</v>
      </c>
      <c r="Q2278" s="6"/>
      <c r="R2278" s="6"/>
      <c r="S2278" s="6"/>
      <c r="T2278" s="6"/>
    </row>
    <row r="2279" spans="1:20">
      <c r="A2279" s="6" t="s">
        <v>2445</v>
      </c>
      <c r="B2279" s="6" t="s">
        <v>66</v>
      </c>
      <c r="C2279" s="6" t="s">
        <v>90</v>
      </c>
      <c r="D2279" s="6" t="s">
        <v>119</v>
      </c>
      <c r="E2279" s="6" t="s">
        <v>120</v>
      </c>
      <c r="F2279" s="7">
        <v>4</v>
      </c>
      <c r="G2279" s="7">
        <v>500</v>
      </c>
      <c r="H2279" s="16">
        <v>45257</v>
      </c>
      <c r="I2279" s="6">
        <v>48</v>
      </c>
      <c r="J2279" s="6" t="s">
        <v>121</v>
      </c>
      <c r="K2279" s="6" t="s">
        <v>1639</v>
      </c>
      <c r="L2279" s="11">
        <f>F2279*Controls!$B$6</f>
        <v>4</v>
      </c>
      <c r="M2279" s="11">
        <f>G2279*Controls!$B$6</f>
        <v>500</v>
      </c>
      <c r="N2279" s="12">
        <f>IF(L2279=0,0,SUMIFS('PSI Plan'!$N$6:$N$173,'PSI Plan'!$B$6:$B$173,B2279,'PSI Plan'!$C$6:$C$173,I2279))</f>
        <v>0</v>
      </c>
      <c r="O2279" s="11">
        <f t="shared" si="70"/>
        <v>0</v>
      </c>
      <c r="P2279" s="11">
        <f t="shared" si="71"/>
        <v>0</v>
      </c>
      <c r="Q2279" s="6"/>
      <c r="R2279" s="6"/>
      <c r="S2279" s="6"/>
      <c r="T2279" s="6"/>
    </row>
    <row r="2280" spans="1:20">
      <c r="A2280" s="6" t="s">
        <v>2446</v>
      </c>
      <c r="B2280" s="6" t="s">
        <v>77</v>
      </c>
      <c r="C2280" s="6" t="s">
        <v>90</v>
      </c>
      <c r="D2280" s="6" t="s">
        <v>119</v>
      </c>
      <c r="E2280" s="6" t="s">
        <v>120</v>
      </c>
      <c r="F2280" s="7">
        <v>3</v>
      </c>
      <c r="G2280" s="7">
        <v>375</v>
      </c>
      <c r="H2280" s="16">
        <v>45271</v>
      </c>
      <c r="I2280" s="6">
        <v>50</v>
      </c>
      <c r="J2280" s="6" t="s">
        <v>121</v>
      </c>
      <c r="K2280" s="6" t="s">
        <v>1639</v>
      </c>
      <c r="L2280" s="11">
        <f>F2280*Controls!$B$6</f>
        <v>3</v>
      </c>
      <c r="M2280" s="11">
        <f>G2280*Controls!$B$6</f>
        <v>375</v>
      </c>
      <c r="N2280" s="12">
        <f>IF(L2280=0,0,SUMIFS('PSI Plan'!$N$6:$N$173,'PSI Plan'!$B$6:$B$173,B2280,'PSI Plan'!$C$6:$C$173,I2280))</f>
        <v>0</v>
      </c>
      <c r="O2280" s="11">
        <f t="shared" si="70"/>
        <v>0</v>
      </c>
      <c r="P2280" s="11">
        <f t="shared" si="71"/>
        <v>0</v>
      </c>
      <c r="Q2280" s="6"/>
      <c r="R2280" s="6"/>
      <c r="S2280" s="6"/>
      <c r="T2280" s="6"/>
    </row>
    <row r="2281" spans="1:20">
      <c r="A2281" s="6" t="s">
        <v>2447</v>
      </c>
      <c r="B2281" s="6" t="s">
        <v>76</v>
      </c>
      <c r="C2281" s="6" t="s">
        <v>90</v>
      </c>
      <c r="D2281" s="6" t="s">
        <v>119</v>
      </c>
      <c r="E2281" s="6" t="s">
        <v>120</v>
      </c>
      <c r="F2281" s="7">
        <v>3</v>
      </c>
      <c r="G2281" s="7">
        <v>375</v>
      </c>
      <c r="H2281" s="16">
        <v>45274</v>
      </c>
      <c r="I2281" s="6">
        <v>50</v>
      </c>
      <c r="J2281" s="6" t="s">
        <v>121</v>
      </c>
      <c r="K2281" s="6" t="s">
        <v>1639</v>
      </c>
      <c r="L2281" s="11">
        <f>F2281*Controls!$B$6</f>
        <v>3</v>
      </c>
      <c r="M2281" s="11">
        <f>G2281*Controls!$B$6</f>
        <v>375</v>
      </c>
      <c r="N2281" s="12">
        <f>IF(L2281=0,0,SUMIFS('PSI Plan'!$N$6:$N$173,'PSI Plan'!$B$6:$B$173,B2281,'PSI Plan'!$C$6:$C$173,I2281))</f>
        <v>0</v>
      </c>
      <c r="O2281" s="11">
        <f t="shared" si="70"/>
        <v>0</v>
      </c>
      <c r="P2281" s="11">
        <f t="shared" si="71"/>
        <v>0</v>
      </c>
      <c r="Q2281" s="6"/>
      <c r="R2281" s="6"/>
      <c r="S2281" s="6"/>
      <c r="T2281" s="6"/>
    </row>
    <row r="2282" spans="1:20">
      <c r="A2282" s="6" t="s">
        <v>2448</v>
      </c>
      <c r="B2282" s="6" t="s">
        <v>69</v>
      </c>
      <c r="C2282" s="6" t="s">
        <v>90</v>
      </c>
      <c r="D2282" s="6" t="s">
        <v>119</v>
      </c>
      <c r="E2282" s="6" t="s">
        <v>120</v>
      </c>
      <c r="F2282" s="7">
        <v>18</v>
      </c>
      <c r="G2282" s="7">
        <v>2250</v>
      </c>
      <c r="H2282" s="16">
        <v>45226</v>
      </c>
      <c r="I2282" s="6">
        <v>43</v>
      </c>
      <c r="J2282" s="6" t="s">
        <v>121</v>
      </c>
      <c r="K2282" s="6" t="s">
        <v>1639</v>
      </c>
      <c r="L2282" s="11">
        <f>F2282*Controls!$B$6</f>
        <v>18</v>
      </c>
      <c r="M2282" s="11">
        <f>G2282*Controls!$B$6</f>
        <v>2250</v>
      </c>
      <c r="N2282" s="12">
        <f>IF(L2282=0,0,SUMIFS('PSI Plan'!$N$6:$N$173,'PSI Plan'!$B$6:$B$173,B2282,'PSI Plan'!$C$6:$C$173,I2282))</f>
        <v>0</v>
      </c>
      <c r="O2282" s="11">
        <f t="shared" si="70"/>
        <v>0</v>
      </c>
      <c r="P2282" s="11">
        <f t="shared" si="71"/>
        <v>0</v>
      </c>
      <c r="Q2282" s="6"/>
      <c r="R2282" s="6"/>
      <c r="S2282" s="6"/>
      <c r="T2282" s="6"/>
    </row>
    <row r="2283" spans="1:20">
      <c r="A2283" s="6" t="s">
        <v>2449</v>
      </c>
      <c r="B2283" s="6" t="s">
        <v>66</v>
      </c>
      <c r="C2283" s="6" t="s">
        <v>90</v>
      </c>
      <c r="D2283" s="6" t="s">
        <v>119</v>
      </c>
      <c r="E2283" s="6" t="s">
        <v>120</v>
      </c>
      <c r="F2283" s="7">
        <v>26</v>
      </c>
      <c r="G2283" s="7">
        <v>3250</v>
      </c>
      <c r="H2283" s="16">
        <v>45234</v>
      </c>
      <c r="I2283" s="6">
        <v>44</v>
      </c>
      <c r="J2283" s="6" t="s">
        <v>121</v>
      </c>
      <c r="K2283" s="6" t="s">
        <v>169</v>
      </c>
      <c r="L2283" s="11">
        <f>F2283*Controls!$B$6</f>
        <v>26</v>
      </c>
      <c r="M2283" s="11">
        <f>G2283*Controls!$B$6</f>
        <v>3250</v>
      </c>
      <c r="N2283" s="12">
        <f>IF(L2283=0,0,SUMIFS('PSI Plan'!$N$6:$N$173,'PSI Plan'!$B$6:$B$173,B2283,'PSI Plan'!$C$6:$C$173,I2283))</f>
        <v>0</v>
      </c>
      <c r="O2283" s="11">
        <f t="shared" si="70"/>
        <v>0</v>
      </c>
      <c r="P2283" s="11">
        <f t="shared" si="71"/>
        <v>0</v>
      </c>
      <c r="Q2283" s="6"/>
      <c r="R2283" s="6"/>
      <c r="S2283" s="6"/>
      <c r="T2283" s="6"/>
    </row>
    <row r="2284" spans="1:20">
      <c r="A2284" s="6" t="s">
        <v>2450</v>
      </c>
      <c r="B2284" s="6" t="s">
        <v>77</v>
      </c>
      <c r="C2284" s="6" t="s">
        <v>90</v>
      </c>
      <c r="D2284" s="6" t="s">
        <v>119</v>
      </c>
      <c r="E2284" s="6" t="s">
        <v>120</v>
      </c>
      <c r="F2284" s="7">
        <v>13</v>
      </c>
      <c r="G2284" s="7">
        <v>1625</v>
      </c>
      <c r="H2284" s="16">
        <v>45225</v>
      </c>
      <c r="I2284" s="6">
        <v>43</v>
      </c>
      <c r="J2284" s="6" t="s">
        <v>121</v>
      </c>
      <c r="K2284" s="6" t="s">
        <v>169</v>
      </c>
      <c r="L2284" s="11">
        <f>F2284*Controls!$B$6</f>
        <v>13</v>
      </c>
      <c r="M2284" s="11">
        <f>G2284*Controls!$B$6</f>
        <v>1625</v>
      </c>
      <c r="N2284" s="12">
        <f>IF(L2284=0,0,SUMIFS('PSI Plan'!$N$6:$N$173,'PSI Plan'!$B$6:$B$173,B2284,'PSI Plan'!$C$6:$C$173,I2284))</f>
        <v>0</v>
      </c>
      <c r="O2284" s="11">
        <f t="shared" si="70"/>
        <v>0</v>
      </c>
      <c r="P2284" s="11">
        <f t="shared" si="71"/>
        <v>0</v>
      </c>
      <c r="Q2284" s="6"/>
      <c r="R2284" s="6"/>
      <c r="S2284" s="6"/>
      <c r="T2284" s="6"/>
    </row>
    <row r="2285" spans="1:20">
      <c r="A2285" s="6" t="s">
        <v>2451</v>
      </c>
      <c r="B2285" s="6" t="s">
        <v>69</v>
      </c>
      <c r="C2285" s="6" t="s">
        <v>90</v>
      </c>
      <c r="D2285" s="6" t="s">
        <v>119</v>
      </c>
      <c r="E2285" s="6" t="s">
        <v>120</v>
      </c>
      <c r="F2285" s="7">
        <v>13</v>
      </c>
      <c r="G2285" s="7">
        <v>1625</v>
      </c>
      <c r="H2285" s="16">
        <v>45231</v>
      </c>
      <c r="I2285" s="6">
        <v>44</v>
      </c>
      <c r="J2285" s="6" t="s">
        <v>121</v>
      </c>
      <c r="K2285" s="6" t="s">
        <v>169</v>
      </c>
      <c r="L2285" s="11">
        <f>F2285*Controls!$B$6</f>
        <v>13</v>
      </c>
      <c r="M2285" s="11">
        <f>G2285*Controls!$B$6</f>
        <v>1625</v>
      </c>
      <c r="N2285" s="12">
        <f>IF(L2285=0,0,SUMIFS('PSI Plan'!$N$6:$N$173,'PSI Plan'!$B$6:$B$173,B2285,'PSI Plan'!$C$6:$C$173,I2285))</f>
        <v>0</v>
      </c>
      <c r="O2285" s="11">
        <f t="shared" si="70"/>
        <v>0</v>
      </c>
      <c r="P2285" s="11">
        <f t="shared" si="71"/>
        <v>0</v>
      </c>
      <c r="Q2285" s="6"/>
      <c r="R2285" s="6"/>
      <c r="S2285" s="6"/>
      <c r="T2285" s="6"/>
    </row>
    <row r="2286" spans="1:20">
      <c r="A2286" s="6" t="s">
        <v>2452</v>
      </c>
      <c r="B2286" s="6" t="s">
        <v>66</v>
      </c>
      <c r="C2286" s="6" t="s">
        <v>99</v>
      </c>
      <c r="D2286" s="6" t="s">
        <v>319</v>
      </c>
      <c r="E2286" s="6" t="s">
        <v>120</v>
      </c>
      <c r="F2286" s="7">
        <v>104</v>
      </c>
      <c r="G2286" s="7">
        <v>13000</v>
      </c>
      <c r="H2286" s="16">
        <v>45261</v>
      </c>
      <c r="I2286" s="6">
        <v>48</v>
      </c>
      <c r="J2286" s="6" t="s">
        <v>121</v>
      </c>
      <c r="K2286" s="6" t="s">
        <v>361</v>
      </c>
      <c r="L2286" s="11">
        <f>F2286*Controls!$B$6</f>
        <v>104</v>
      </c>
      <c r="M2286" s="11">
        <f>G2286*Controls!$B$6</f>
        <v>13000</v>
      </c>
      <c r="N2286" s="12">
        <f>IF(L2286=0,0,SUMIFS('PSI Plan'!$N$6:$N$173,'PSI Plan'!$B$6:$B$173,B2286,'PSI Plan'!$C$6:$C$173,I2286))</f>
        <v>0</v>
      </c>
      <c r="O2286" s="11">
        <f t="shared" si="70"/>
        <v>0</v>
      </c>
      <c r="P2286" s="11">
        <f t="shared" si="71"/>
        <v>0</v>
      </c>
      <c r="Q2286" s="6"/>
      <c r="R2286" s="6"/>
      <c r="S2286" s="6"/>
      <c r="T2286" s="6"/>
    </row>
    <row r="2287" spans="1:20">
      <c r="A2287" s="6" t="s">
        <v>2453</v>
      </c>
      <c r="B2287" s="6" t="s">
        <v>77</v>
      </c>
      <c r="C2287" s="6" t="s">
        <v>99</v>
      </c>
      <c r="D2287" s="6" t="s">
        <v>319</v>
      </c>
      <c r="E2287" s="6" t="s">
        <v>120</v>
      </c>
      <c r="F2287" s="7">
        <v>104</v>
      </c>
      <c r="G2287" s="7">
        <v>13000</v>
      </c>
      <c r="H2287" s="16">
        <v>45264</v>
      </c>
      <c r="I2287" s="6">
        <v>49</v>
      </c>
      <c r="J2287" s="6" t="s">
        <v>121</v>
      </c>
      <c r="K2287" s="6" t="s">
        <v>361</v>
      </c>
      <c r="L2287" s="11">
        <f>F2287*Controls!$B$6</f>
        <v>104</v>
      </c>
      <c r="M2287" s="11">
        <f>G2287*Controls!$B$6</f>
        <v>13000</v>
      </c>
      <c r="N2287" s="12">
        <f>IF(L2287=0,0,SUMIFS('PSI Plan'!$N$6:$N$173,'PSI Plan'!$B$6:$B$173,B2287,'PSI Plan'!$C$6:$C$173,I2287))</f>
        <v>0</v>
      </c>
      <c r="O2287" s="11">
        <f t="shared" si="70"/>
        <v>0</v>
      </c>
      <c r="P2287" s="11">
        <f t="shared" si="71"/>
        <v>0</v>
      </c>
      <c r="Q2287" s="6"/>
      <c r="R2287" s="6"/>
      <c r="S2287" s="6"/>
      <c r="T2287" s="6"/>
    </row>
    <row r="2288" spans="1:20">
      <c r="A2288" s="6" t="s">
        <v>2454</v>
      </c>
      <c r="B2288" s="6" t="s">
        <v>67</v>
      </c>
      <c r="C2288" s="6" t="s">
        <v>99</v>
      </c>
      <c r="D2288" s="6" t="s">
        <v>319</v>
      </c>
      <c r="E2288" s="6" t="s">
        <v>120</v>
      </c>
      <c r="F2288" s="7">
        <v>104</v>
      </c>
      <c r="G2288" s="7">
        <v>13000</v>
      </c>
      <c r="H2288" s="16">
        <v>45219</v>
      </c>
      <c r="I2288" s="6">
        <v>42</v>
      </c>
      <c r="J2288" s="6" t="s">
        <v>121</v>
      </c>
      <c r="K2288" s="6" t="s">
        <v>361</v>
      </c>
      <c r="L2288" s="11">
        <f>F2288*Controls!$B$6</f>
        <v>104</v>
      </c>
      <c r="M2288" s="11">
        <f>G2288*Controls!$B$6</f>
        <v>13000</v>
      </c>
      <c r="N2288" s="12">
        <f>IF(L2288=0,0,SUMIFS('PSI Plan'!$N$6:$N$173,'PSI Plan'!$B$6:$B$173,B2288,'PSI Plan'!$C$6:$C$173,I2288))</f>
        <v>0</v>
      </c>
      <c r="O2288" s="11">
        <f t="shared" si="70"/>
        <v>0</v>
      </c>
      <c r="P2288" s="11">
        <f t="shared" si="71"/>
        <v>0</v>
      </c>
      <c r="Q2288" s="6"/>
      <c r="R2288" s="6"/>
      <c r="S2288" s="6"/>
      <c r="T2288" s="6"/>
    </row>
    <row r="2289" spans="1:20">
      <c r="A2289" s="6" t="s">
        <v>2455</v>
      </c>
      <c r="B2289" s="6" t="s">
        <v>69</v>
      </c>
      <c r="C2289" s="6" t="s">
        <v>99</v>
      </c>
      <c r="D2289" s="6" t="s">
        <v>319</v>
      </c>
      <c r="E2289" s="6" t="s">
        <v>120</v>
      </c>
      <c r="F2289" s="7">
        <v>104</v>
      </c>
      <c r="G2289" s="7">
        <v>13000</v>
      </c>
      <c r="H2289" s="16">
        <v>45245</v>
      </c>
      <c r="I2289" s="6">
        <v>46</v>
      </c>
      <c r="J2289" s="6" t="s">
        <v>121</v>
      </c>
      <c r="K2289" s="6" t="s">
        <v>361</v>
      </c>
      <c r="L2289" s="11">
        <f>F2289*Controls!$B$6</f>
        <v>104</v>
      </c>
      <c r="M2289" s="11">
        <f>G2289*Controls!$B$6</f>
        <v>13000</v>
      </c>
      <c r="N2289" s="12">
        <f>IF(L2289=0,0,SUMIFS('PSI Plan'!$N$6:$N$173,'PSI Plan'!$B$6:$B$173,B2289,'PSI Plan'!$C$6:$C$173,I2289))</f>
        <v>0</v>
      </c>
      <c r="O2289" s="11">
        <f t="shared" si="70"/>
        <v>0</v>
      </c>
      <c r="P2289" s="11">
        <f t="shared" si="71"/>
        <v>0</v>
      </c>
      <c r="Q2289" s="6"/>
      <c r="R2289" s="6"/>
      <c r="S2289" s="6"/>
      <c r="T2289" s="6"/>
    </row>
    <row r="2290" spans="1:20">
      <c r="A2290" s="6" t="s">
        <v>2456</v>
      </c>
      <c r="B2290" s="6" t="s">
        <v>66</v>
      </c>
      <c r="C2290" s="6" t="s">
        <v>101</v>
      </c>
      <c r="D2290" s="6" t="s">
        <v>1895</v>
      </c>
      <c r="E2290" s="6" t="s">
        <v>120</v>
      </c>
      <c r="F2290" s="7">
        <v>20</v>
      </c>
      <c r="G2290" s="7">
        <v>2500</v>
      </c>
      <c r="H2290" s="16">
        <v>45274</v>
      </c>
      <c r="I2290" s="6">
        <v>50</v>
      </c>
      <c r="J2290" s="6" t="s">
        <v>1791</v>
      </c>
      <c r="K2290" s="6" t="s">
        <v>1896</v>
      </c>
      <c r="L2290" s="11">
        <f>F2290*Controls!$B$6</f>
        <v>20</v>
      </c>
      <c r="M2290" s="11">
        <f>G2290*Controls!$B$6</f>
        <v>2500</v>
      </c>
      <c r="N2290" s="12">
        <f>IF(L2290=0,0,SUMIFS('PSI Plan'!$N$6:$N$173,'PSI Plan'!$B$6:$B$173,B2290,'PSI Plan'!$C$6:$C$173,I2290))</f>
        <v>0</v>
      </c>
      <c r="O2290" s="11">
        <f t="shared" si="70"/>
        <v>0</v>
      </c>
      <c r="P2290" s="11">
        <f t="shared" si="71"/>
        <v>0</v>
      </c>
      <c r="Q2290" s="6"/>
      <c r="R2290" s="6"/>
      <c r="S2290" s="6"/>
      <c r="T2290" s="6"/>
    </row>
    <row r="2291" spans="1:20">
      <c r="A2291" s="6" t="s">
        <v>2457</v>
      </c>
      <c r="B2291" s="6" t="s">
        <v>66</v>
      </c>
      <c r="C2291" s="6" t="s">
        <v>101</v>
      </c>
      <c r="D2291" s="6" t="s">
        <v>1895</v>
      </c>
      <c r="E2291" s="6" t="s">
        <v>120</v>
      </c>
      <c r="F2291" s="7">
        <v>40</v>
      </c>
      <c r="G2291" s="7">
        <v>5000</v>
      </c>
      <c r="H2291" s="16">
        <v>45254</v>
      </c>
      <c r="I2291" s="6">
        <v>47</v>
      </c>
      <c r="J2291" s="6" t="s">
        <v>1791</v>
      </c>
      <c r="K2291" s="6" t="s">
        <v>1896</v>
      </c>
      <c r="L2291" s="11">
        <f>F2291*Controls!$B$6</f>
        <v>40</v>
      </c>
      <c r="M2291" s="11">
        <f>G2291*Controls!$B$6</f>
        <v>5000</v>
      </c>
      <c r="N2291" s="12">
        <f>IF(L2291=0,0,SUMIFS('PSI Plan'!$N$6:$N$173,'PSI Plan'!$B$6:$B$173,B2291,'PSI Plan'!$C$6:$C$173,I2291))</f>
        <v>0</v>
      </c>
      <c r="O2291" s="11">
        <f t="shared" si="70"/>
        <v>0</v>
      </c>
      <c r="P2291" s="11">
        <f t="shared" si="71"/>
        <v>0</v>
      </c>
      <c r="Q2291" s="6"/>
      <c r="R2291" s="6"/>
      <c r="S2291" s="6"/>
      <c r="T2291" s="6"/>
    </row>
    <row r="2292" spans="1:20">
      <c r="A2292" s="6" t="s">
        <v>2458</v>
      </c>
      <c r="B2292" s="6" t="s">
        <v>76</v>
      </c>
      <c r="C2292" s="6" t="s">
        <v>101</v>
      </c>
      <c r="D2292" s="6" t="s">
        <v>1895</v>
      </c>
      <c r="E2292" s="6" t="s">
        <v>120</v>
      </c>
      <c r="F2292" s="7">
        <v>20</v>
      </c>
      <c r="G2292" s="7">
        <v>2500</v>
      </c>
      <c r="H2292" s="16">
        <v>45247</v>
      </c>
      <c r="I2292" s="6">
        <v>46</v>
      </c>
      <c r="J2292" s="6" t="s">
        <v>1791</v>
      </c>
      <c r="K2292" s="6" t="s">
        <v>1896</v>
      </c>
      <c r="L2292" s="11">
        <f>F2292*Controls!$B$6</f>
        <v>20</v>
      </c>
      <c r="M2292" s="11">
        <f>G2292*Controls!$B$6</f>
        <v>2500</v>
      </c>
      <c r="N2292" s="12">
        <f>IF(L2292=0,0,SUMIFS('PSI Plan'!$N$6:$N$173,'PSI Plan'!$B$6:$B$173,B2292,'PSI Plan'!$C$6:$C$173,I2292))</f>
        <v>0</v>
      </c>
      <c r="O2292" s="11">
        <f t="shared" si="70"/>
        <v>0</v>
      </c>
      <c r="P2292" s="11">
        <f t="shared" si="71"/>
        <v>0</v>
      </c>
      <c r="Q2292" s="6"/>
      <c r="R2292" s="6"/>
      <c r="S2292" s="6"/>
      <c r="T2292" s="6"/>
    </row>
    <row r="2293" spans="1:20">
      <c r="A2293" s="6" t="s">
        <v>2459</v>
      </c>
      <c r="B2293" s="6" t="s">
        <v>67</v>
      </c>
      <c r="C2293" s="6" t="s">
        <v>101</v>
      </c>
      <c r="D2293" s="6" t="s">
        <v>1895</v>
      </c>
      <c r="E2293" s="6" t="s">
        <v>120</v>
      </c>
      <c r="F2293" s="7">
        <v>10</v>
      </c>
      <c r="G2293" s="7">
        <v>1250</v>
      </c>
      <c r="H2293" s="16">
        <v>45233</v>
      </c>
      <c r="I2293" s="6">
        <v>44</v>
      </c>
      <c r="J2293" s="6" t="s">
        <v>1791</v>
      </c>
      <c r="K2293" s="6" t="s">
        <v>1896</v>
      </c>
      <c r="L2293" s="11">
        <f>F2293*Controls!$B$6</f>
        <v>10</v>
      </c>
      <c r="M2293" s="11">
        <f>G2293*Controls!$B$6</f>
        <v>1250</v>
      </c>
      <c r="N2293" s="12">
        <f>IF(L2293=0,0,SUMIFS('PSI Plan'!$N$6:$N$173,'PSI Plan'!$B$6:$B$173,B2293,'PSI Plan'!$C$6:$C$173,I2293))</f>
        <v>0</v>
      </c>
      <c r="O2293" s="11">
        <f t="shared" si="70"/>
        <v>0</v>
      </c>
      <c r="P2293" s="11">
        <f t="shared" si="71"/>
        <v>0</v>
      </c>
      <c r="Q2293" s="6"/>
      <c r="R2293" s="6"/>
      <c r="S2293" s="6"/>
      <c r="T2293" s="6"/>
    </row>
    <row r="2294" spans="1:20">
      <c r="A2294" s="6" t="s">
        <v>2460</v>
      </c>
      <c r="B2294" s="6" t="s">
        <v>66</v>
      </c>
      <c r="C2294" s="6" t="s">
        <v>100</v>
      </c>
      <c r="D2294" s="6" t="s">
        <v>567</v>
      </c>
      <c r="E2294" s="6" t="s">
        <v>120</v>
      </c>
      <c r="F2294" s="7">
        <v>16</v>
      </c>
      <c r="G2294" s="7">
        <v>2000</v>
      </c>
      <c r="H2294" s="16">
        <v>45236</v>
      </c>
      <c r="I2294" s="6">
        <v>45</v>
      </c>
      <c r="J2294" s="6" t="s">
        <v>121</v>
      </c>
      <c r="K2294" s="6" t="s">
        <v>568</v>
      </c>
      <c r="L2294" s="11">
        <f>F2294*Controls!$B$6</f>
        <v>16</v>
      </c>
      <c r="M2294" s="11">
        <f>G2294*Controls!$B$6</f>
        <v>2000</v>
      </c>
      <c r="N2294" s="12">
        <f>IF(L2294=0,0,SUMIFS('PSI Plan'!$N$6:$N$173,'PSI Plan'!$B$6:$B$173,B2294,'PSI Plan'!$C$6:$C$173,I2294))</f>
        <v>0</v>
      </c>
      <c r="O2294" s="11">
        <f t="shared" si="70"/>
        <v>0</v>
      </c>
      <c r="P2294" s="11">
        <f t="shared" si="71"/>
        <v>0</v>
      </c>
      <c r="Q2294" s="6"/>
      <c r="R2294" s="6"/>
      <c r="S2294" s="6"/>
      <c r="T2294" s="6"/>
    </row>
    <row r="2295" spans="1:20">
      <c r="A2295" s="6" t="s">
        <v>2461</v>
      </c>
      <c r="B2295" s="6" t="s">
        <v>77</v>
      </c>
      <c r="C2295" s="6" t="s">
        <v>100</v>
      </c>
      <c r="D2295" s="6" t="s">
        <v>567</v>
      </c>
      <c r="E2295" s="6" t="s">
        <v>120</v>
      </c>
      <c r="F2295" s="7">
        <v>16</v>
      </c>
      <c r="G2295" s="7">
        <v>2000</v>
      </c>
      <c r="H2295" s="16">
        <v>45232</v>
      </c>
      <c r="I2295" s="6">
        <v>44</v>
      </c>
      <c r="J2295" s="6" t="s">
        <v>121</v>
      </c>
      <c r="K2295" s="6" t="s">
        <v>568</v>
      </c>
      <c r="L2295" s="11">
        <f>F2295*Controls!$B$6</f>
        <v>16</v>
      </c>
      <c r="M2295" s="11">
        <f>G2295*Controls!$B$6</f>
        <v>2000</v>
      </c>
      <c r="N2295" s="12">
        <f>IF(L2295=0,0,SUMIFS('PSI Plan'!$N$6:$N$173,'PSI Plan'!$B$6:$B$173,B2295,'PSI Plan'!$C$6:$C$173,I2295))</f>
        <v>0</v>
      </c>
      <c r="O2295" s="11">
        <f t="shared" si="70"/>
        <v>0</v>
      </c>
      <c r="P2295" s="11">
        <f t="shared" si="71"/>
        <v>0</v>
      </c>
      <c r="Q2295" s="6"/>
      <c r="R2295" s="6"/>
      <c r="S2295" s="6"/>
      <c r="T2295" s="6"/>
    </row>
    <row r="2296" spans="1:20">
      <c r="A2296" s="6" t="s">
        <v>2462</v>
      </c>
      <c r="B2296" s="6" t="s">
        <v>66</v>
      </c>
      <c r="C2296" s="6" t="s">
        <v>99</v>
      </c>
      <c r="D2296" s="6" t="s">
        <v>319</v>
      </c>
      <c r="E2296" s="6" t="s">
        <v>120</v>
      </c>
      <c r="F2296" s="7">
        <v>44</v>
      </c>
      <c r="G2296" s="7">
        <v>5500</v>
      </c>
      <c r="H2296" s="16">
        <v>45273</v>
      </c>
      <c r="I2296" s="6">
        <v>50</v>
      </c>
      <c r="J2296" s="6" t="s">
        <v>121</v>
      </c>
      <c r="K2296" s="6" t="s">
        <v>347</v>
      </c>
      <c r="L2296" s="11">
        <f>F2296*Controls!$B$6</f>
        <v>44</v>
      </c>
      <c r="M2296" s="11">
        <f>G2296*Controls!$B$6</f>
        <v>5500</v>
      </c>
      <c r="N2296" s="12">
        <f>IF(L2296=0,0,SUMIFS('PSI Plan'!$N$6:$N$173,'PSI Plan'!$B$6:$B$173,B2296,'PSI Plan'!$C$6:$C$173,I2296))</f>
        <v>0</v>
      </c>
      <c r="O2296" s="11">
        <f t="shared" si="70"/>
        <v>0</v>
      </c>
      <c r="P2296" s="11">
        <f t="shared" si="71"/>
        <v>0</v>
      </c>
      <c r="Q2296" s="6"/>
      <c r="R2296" s="6"/>
      <c r="S2296" s="6"/>
      <c r="T2296" s="6"/>
    </row>
    <row r="2297" spans="1:20">
      <c r="A2297" s="6" t="s">
        <v>2463</v>
      </c>
      <c r="B2297" s="6" t="s">
        <v>77</v>
      </c>
      <c r="C2297" s="6" t="s">
        <v>99</v>
      </c>
      <c r="D2297" s="6" t="s">
        <v>319</v>
      </c>
      <c r="E2297" s="6" t="s">
        <v>120</v>
      </c>
      <c r="F2297" s="7">
        <v>48</v>
      </c>
      <c r="G2297" s="7">
        <v>6000</v>
      </c>
      <c r="H2297" s="16">
        <v>45288</v>
      </c>
      <c r="I2297" s="6">
        <v>52</v>
      </c>
      <c r="J2297" s="6" t="s">
        <v>121</v>
      </c>
      <c r="K2297" s="6" t="s">
        <v>347</v>
      </c>
      <c r="L2297" s="11">
        <f>F2297*Controls!$B$6</f>
        <v>48</v>
      </c>
      <c r="M2297" s="11">
        <f>G2297*Controls!$B$6</f>
        <v>6000</v>
      </c>
      <c r="N2297" s="12">
        <f>IF(L2297=0,0,SUMIFS('PSI Plan'!$N$6:$N$173,'PSI Plan'!$B$6:$B$173,B2297,'PSI Plan'!$C$6:$C$173,I2297))</f>
        <v>0</v>
      </c>
      <c r="O2297" s="11">
        <f t="shared" si="70"/>
        <v>0</v>
      </c>
      <c r="P2297" s="11">
        <f t="shared" si="71"/>
        <v>0</v>
      </c>
      <c r="Q2297" s="6"/>
      <c r="R2297" s="6"/>
      <c r="S2297" s="6"/>
      <c r="T2297" s="6"/>
    </row>
    <row r="2298" spans="1:20">
      <c r="A2298" s="6" t="s">
        <v>2464</v>
      </c>
      <c r="B2298" s="6" t="s">
        <v>67</v>
      </c>
      <c r="C2298" s="6" t="s">
        <v>99</v>
      </c>
      <c r="D2298" s="6" t="s">
        <v>319</v>
      </c>
      <c r="E2298" s="6" t="s">
        <v>120</v>
      </c>
      <c r="F2298" s="7">
        <v>138</v>
      </c>
      <c r="G2298" s="7">
        <v>17250</v>
      </c>
      <c r="H2298" s="16">
        <v>45262</v>
      </c>
      <c r="I2298" s="6">
        <v>48</v>
      </c>
      <c r="J2298" s="6" t="s">
        <v>121</v>
      </c>
      <c r="K2298" s="6" t="s">
        <v>347</v>
      </c>
      <c r="L2298" s="11">
        <f>F2298*Controls!$B$6</f>
        <v>138</v>
      </c>
      <c r="M2298" s="11">
        <f>G2298*Controls!$B$6</f>
        <v>17250</v>
      </c>
      <c r="N2298" s="12">
        <f>IF(L2298=0,0,SUMIFS('PSI Plan'!$N$6:$N$173,'PSI Plan'!$B$6:$B$173,B2298,'PSI Plan'!$C$6:$C$173,I2298))</f>
        <v>0</v>
      </c>
      <c r="O2298" s="11">
        <f t="shared" si="70"/>
        <v>0</v>
      </c>
      <c r="P2298" s="11">
        <f t="shared" si="71"/>
        <v>0</v>
      </c>
      <c r="Q2298" s="6"/>
      <c r="R2298" s="6"/>
      <c r="S2298" s="6"/>
      <c r="T2298" s="6"/>
    </row>
    <row r="2299" spans="1:20">
      <c r="A2299" s="6" t="s">
        <v>2465</v>
      </c>
      <c r="B2299" s="6" t="s">
        <v>69</v>
      </c>
      <c r="C2299" s="6" t="s">
        <v>99</v>
      </c>
      <c r="D2299" s="6" t="s">
        <v>319</v>
      </c>
      <c r="E2299" s="6" t="s">
        <v>120</v>
      </c>
      <c r="F2299" s="7">
        <v>42</v>
      </c>
      <c r="G2299" s="7">
        <v>5250</v>
      </c>
      <c r="H2299" s="16">
        <v>45281</v>
      </c>
      <c r="I2299" s="6">
        <v>51</v>
      </c>
      <c r="J2299" s="6" t="s">
        <v>121</v>
      </c>
      <c r="K2299" s="6" t="s">
        <v>347</v>
      </c>
      <c r="L2299" s="11">
        <f>F2299*Controls!$B$6</f>
        <v>42</v>
      </c>
      <c r="M2299" s="11">
        <f>G2299*Controls!$B$6</f>
        <v>5250</v>
      </c>
      <c r="N2299" s="12">
        <f>IF(L2299=0,0,SUMIFS('PSI Plan'!$N$6:$N$173,'PSI Plan'!$B$6:$B$173,B2299,'PSI Plan'!$C$6:$C$173,I2299))</f>
        <v>0</v>
      </c>
      <c r="O2299" s="11">
        <f t="shared" si="70"/>
        <v>0</v>
      </c>
      <c r="P2299" s="11">
        <f t="shared" si="71"/>
        <v>0</v>
      </c>
      <c r="Q2299" s="6"/>
      <c r="R2299" s="6"/>
      <c r="S2299" s="6"/>
      <c r="T2299" s="6"/>
    </row>
    <row r="2300" spans="1:20">
      <c r="A2300" s="6" t="s">
        <v>2466</v>
      </c>
      <c r="B2300" s="6" t="s">
        <v>66</v>
      </c>
      <c r="C2300" s="6" t="s">
        <v>99</v>
      </c>
      <c r="D2300" s="6" t="s">
        <v>319</v>
      </c>
      <c r="E2300" s="6" t="s">
        <v>120</v>
      </c>
      <c r="F2300" s="7">
        <v>2</v>
      </c>
      <c r="G2300" s="7">
        <v>250</v>
      </c>
      <c r="H2300" s="16">
        <v>45242</v>
      </c>
      <c r="I2300" s="6">
        <v>46</v>
      </c>
      <c r="J2300" s="6" t="s">
        <v>121</v>
      </c>
      <c r="K2300" s="6" t="s">
        <v>374</v>
      </c>
      <c r="L2300" s="11">
        <f>F2300*Controls!$B$6</f>
        <v>2</v>
      </c>
      <c r="M2300" s="11">
        <f>G2300*Controls!$B$6</f>
        <v>250</v>
      </c>
      <c r="N2300" s="12">
        <f>IF(L2300=0,0,SUMIFS('PSI Plan'!$N$6:$N$173,'PSI Plan'!$B$6:$B$173,B2300,'PSI Plan'!$C$6:$C$173,I2300))</f>
        <v>0</v>
      </c>
      <c r="O2300" s="11">
        <f t="shared" si="70"/>
        <v>0</v>
      </c>
      <c r="P2300" s="11">
        <f t="shared" si="71"/>
        <v>0</v>
      </c>
      <c r="Q2300" s="6"/>
      <c r="R2300" s="6"/>
      <c r="S2300" s="6"/>
      <c r="T2300" s="6"/>
    </row>
    <row r="2301" spans="1:20">
      <c r="A2301" s="6" t="s">
        <v>2467</v>
      </c>
      <c r="B2301" s="6" t="s">
        <v>77</v>
      </c>
      <c r="C2301" s="6" t="s">
        <v>99</v>
      </c>
      <c r="D2301" s="6" t="s">
        <v>319</v>
      </c>
      <c r="E2301" s="6" t="s">
        <v>120</v>
      </c>
      <c r="F2301" s="7">
        <v>8</v>
      </c>
      <c r="G2301" s="7">
        <v>1000</v>
      </c>
      <c r="H2301" s="16">
        <v>45285</v>
      </c>
      <c r="I2301" s="6">
        <v>52</v>
      </c>
      <c r="J2301" s="6" t="s">
        <v>121</v>
      </c>
      <c r="K2301" s="6" t="s">
        <v>374</v>
      </c>
      <c r="L2301" s="11">
        <f>F2301*Controls!$B$6</f>
        <v>8</v>
      </c>
      <c r="M2301" s="11">
        <f>G2301*Controls!$B$6</f>
        <v>1000</v>
      </c>
      <c r="N2301" s="12">
        <f>IF(L2301=0,0,SUMIFS('PSI Plan'!$N$6:$N$173,'PSI Plan'!$B$6:$B$173,B2301,'PSI Plan'!$C$6:$C$173,I2301))</f>
        <v>0</v>
      </c>
      <c r="O2301" s="11">
        <f t="shared" si="70"/>
        <v>0</v>
      </c>
      <c r="P2301" s="11">
        <f t="shared" si="71"/>
        <v>0</v>
      </c>
      <c r="Q2301" s="6"/>
      <c r="R2301" s="6"/>
      <c r="S2301" s="6"/>
      <c r="T2301" s="6"/>
    </row>
    <row r="2302" spans="1:20">
      <c r="A2302" s="6" t="s">
        <v>2468</v>
      </c>
      <c r="B2302" s="6" t="s">
        <v>76</v>
      </c>
      <c r="C2302" s="6" t="s">
        <v>99</v>
      </c>
      <c r="D2302" s="6" t="s">
        <v>319</v>
      </c>
      <c r="E2302" s="6" t="s">
        <v>120</v>
      </c>
      <c r="F2302" s="7">
        <v>8</v>
      </c>
      <c r="G2302" s="7">
        <v>1000</v>
      </c>
      <c r="H2302" s="16">
        <v>45249</v>
      </c>
      <c r="I2302" s="6">
        <v>47</v>
      </c>
      <c r="J2302" s="6" t="s">
        <v>121</v>
      </c>
      <c r="K2302" s="6" t="s">
        <v>374</v>
      </c>
      <c r="L2302" s="11">
        <f>F2302*Controls!$B$6</f>
        <v>8</v>
      </c>
      <c r="M2302" s="11">
        <f>G2302*Controls!$B$6</f>
        <v>1000</v>
      </c>
      <c r="N2302" s="12">
        <f>IF(L2302=0,0,SUMIFS('PSI Plan'!$N$6:$N$173,'PSI Plan'!$B$6:$B$173,B2302,'PSI Plan'!$C$6:$C$173,I2302))</f>
        <v>0</v>
      </c>
      <c r="O2302" s="11">
        <f t="shared" si="70"/>
        <v>0</v>
      </c>
      <c r="P2302" s="11">
        <f t="shared" si="71"/>
        <v>0</v>
      </c>
      <c r="Q2302" s="6"/>
      <c r="R2302" s="6"/>
      <c r="S2302" s="6"/>
      <c r="T2302" s="6"/>
    </row>
    <row r="2303" spans="1:20">
      <c r="A2303" s="6" t="s">
        <v>2469</v>
      </c>
      <c r="B2303" s="6" t="s">
        <v>67</v>
      </c>
      <c r="C2303" s="6" t="s">
        <v>99</v>
      </c>
      <c r="D2303" s="6" t="s">
        <v>319</v>
      </c>
      <c r="E2303" s="6" t="s">
        <v>120</v>
      </c>
      <c r="F2303" s="7">
        <v>16</v>
      </c>
      <c r="G2303" s="7">
        <v>2000</v>
      </c>
      <c r="H2303" s="16">
        <v>45230</v>
      </c>
      <c r="I2303" s="6">
        <v>44</v>
      </c>
      <c r="J2303" s="6" t="s">
        <v>121</v>
      </c>
      <c r="K2303" s="6" t="s">
        <v>374</v>
      </c>
      <c r="L2303" s="11">
        <f>F2303*Controls!$B$6</f>
        <v>16</v>
      </c>
      <c r="M2303" s="11">
        <f>G2303*Controls!$B$6</f>
        <v>2000</v>
      </c>
      <c r="N2303" s="12">
        <f>IF(L2303=0,0,SUMIFS('PSI Plan'!$N$6:$N$173,'PSI Plan'!$B$6:$B$173,B2303,'PSI Plan'!$C$6:$C$173,I2303))</f>
        <v>0</v>
      </c>
      <c r="O2303" s="11">
        <f t="shared" si="70"/>
        <v>0</v>
      </c>
      <c r="P2303" s="11">
        <f t="shared" si="71"/>
        <v>0</v>
      </c>
      <c r="Q2303" s="6"/>
      <c r="R2303" s="6"/>
      <c r="S2303" s="6"/>
      <c r="T2303" s="6"/>
    </row>
    <row r="2304" spans="1:20">
      <c r="A2304" s="6" t="s">
        <v>2470</v>
      </c>
      <c r="B2304" s="6" t="s">
        <v>69</v>
      </c>
      <c r="C2304" s="6" t="s">
        <v>99</v>
      </c>
      <c r="D2304" s="6" t="s">
        <v>319</v>
      </c>
      <c r="E2304" s="6" t="s">
        <v>120</v>
      </c>
      <c r="F2304" s="7">
        <v>6</v>
      </c>
      <c r="G2304" s="7">
        <v>750</v>
      </c>
      <c r="H2304" s="16">
        <v>45238</v>
      </c>
      <c r="I2304" s="6">
        <v>45</v>
      </c>
      <c r="J2304" s="6" t="s">
        <v>121</v>
      </c>
      <c r="K2304" s="6" t="s">
        <v>374</v>
      </c>
      <c r="L2304" s="11">
        <f>F2304*Controls!$B$6</f>
        <v>6</v>
      </c>
      <c r="M2304" s="11">
        <f>G2304*Controls!$B$6</f>
        <v>750</v>
      </c>
      <c r="N2304" s="12">
        <f>IF(L2304=0,0,SUMIFS('PSI Plan'!$N$6:$N$173,'PSI Plan'!$B$6:$B$173,B2304,'PSI Plan'!$C$6:$C$173,I2304))</f>
        <v>0</v>
      </c>
      <c r="O2304" s="11">
        <f t="shared" si="70"/>
        <v>0</v>
      </c>
      <c r="P2304" s="11">
        <f t="shared" si="71"/>
        <v>0</v>
      </c>
      <c r="Q2304" s="6"/>
      <c r="R2304" s="6"/>
      <c r="S2304" s="6"/>
      <c r="T2304" s="6"/>
    </row>
    <row r="2305" spans="1:20">
      <c r="A2305" s="6" t="s">
        <v>2471</v>
      </c>
      <c r="B2305" s="6" t="s">
        <v>66</v>
      </c>
      <c r="C2305" s="6" t="s">
        <v>90</v>
      </c>
      <c r="D2305" s="6" t="s">
        <v>119</v>
      </c>
      <c r="E2305" s="6" t="s">
        <v>120</v>
      </c>
      <c r="F2305" s="7">
        <v>13</v>
      </c>
      <c r="G2305" s="7">
        <v>1625</v>
      </c>
      <c r="H2305" s="16">
        <v>45230</v>
      </c>
      <c r="I2305" s="6">
        <v>44</v>
      </c>
      <c r="J2305" s="6" t="s">
        <v>121</v>
      </c>
      <c r="K2305" s="6" t="s">
        <v>298</v>
      </c>
      <c r="L2305" s="11">
        <f>F2305*Controls!$B$6</f>
        <v>13</v>
      </c>
      <c r="M2305" s="11">
        <f>G2305*Controls!$B$6</f>
        <v>1625</v>
      </c>
      <c r="N2305" s="12">
        <f>IF(L2305=0,0,SUMIFS('PSI Plan'!$N$6:$N$173,'PSI Plan'!$B$6:$B$173,B2305,'PSI Plan'!$C$6:$C$173,I2305))</f>
        <v>0</v>
      </c>
      <c r="O2305" s="11">
        <f t="shared" si="70"/>
        <v>0</v>
      </c>
      <c r="P2305" s="11">
        <f t="shared" si="71"/>
        <v>0</v>
      </c>
      <c r="Q2305" s="6"/>
      <c r="R2305" s="6"/>
      <c r="S2305" s="6"/>
      <c r="T2305" s="6"/>
    </row>
    <row r="2306" spans="1:20">
      <c r="A2306" s="6" t="s">
        <v>2472</v>
      </c>
      <c r="B2306" s="6" t="s">
        <v>69</v>
      </c>
      <c r="C2306" s="6" t="s">
        <v>90</v>
      </c>
      <c r="D2306" s="6" t="s">
        <v>119</v>
      </c>
      <c r="E2306" s="6" t="s">
        <v>120</v>
      </c>
      <c r="F2306" s="7">
        <v>13</v>
      </c>
      <c r="G2306" s="7">
        <v>1625</v>
      </c>
      <c r="H2306" s="16">
        <v>45209</v>
      </c>
      <c r="I2306" s="6">
        <v>41</v>
      </c>
      <c r="J2306" s="6" t="s">
        <v>121</v>
      </c>
      <c r="K2306" s="6" t="s">
        <v>298</v>
      </c>
      <c r="L2306" s="11">
        <f>F2306*Controls!$B$6</f>
        <v>13</v>
      </c>
      <c r="M2306" s="11">
        <f>G2306*Controls!$B$6</f>
        <v>1625</v>
      </c>
      <c r="N2306" s="12">
        <f>IF(L2306=0,0,SUMIFS('PSI Plan'!$N$6:$N$173,'PSI Plan'!$B$6:$B$173,B2306,'PSI Plan'!$C$6:$C$173,I2306))</f>
        <v>0</v>
      </c>
      <c r="O2306" s="11">
        <f t="shared" ref="O2306:O2369" si="72">L2306*N2306</f>
        <v>0</v>
      </c>
      <c r="P2306" s="11">
        <f t="shared" ref="P2306:P2369" si="73">M2306*N2306</f>
        <v>0</v>
      </c>
      <c r="Q2306" s="6"/>
      <c r="R2306" s="6"/>
      <c r="S2306" s="6"/>
      <c r="T2306" s="6"/>
    </row>
    <row r="2307" spans="1:20">
      <c r="A2307" s="6" t="s">
        <v>2473</v>
      </c>
      <c r="B2307" s="6" t="s">
        <v>66</v>
      </c>
      <c r="C2307" s="6" t="s">
        <v>90</v>
      </c>
      <c r="D2307" s="6" t="s">
        <v>119</v>
      </c>
      <c r="E2307" s="6" t="s">
        <v>120</v>
      </c>
      <c r="F2307" s="7">
        <v>26</v>
      </c>
      <c r="G2307" s="7">
        <v>3250</v>
      </c>
      <c r="H2307" s="16">
        <v>45204</v>
      </c>
      <c r="I2307" s="6">
        <v>40</v>
      </c>
      <c r="J2307" s="6" t="s">
        <v>1791</v>
      </c>
      <c r="K2307" s="6" t="s">
        <v>1890</v>
      </c>
      <c r="L2307" s="11">
        <f>F2307*Controls!$B$6</f>
        <v>26</v>
      </c>
      <c r="M2307" s="11">
        <f>G2307*Controls!$B$6</f>
        <v>3250</v>
      </c>
      <c r="N2307" s="12">
        <f>IF(L2307=0,0,SUMIFS('PSI Plan'!$N$6:$N$173,'PSI Plan'!$B$6:$B$173,B2307,'PSI Plan'!$C$6:$C$173,I2307))</f>
        <v>0</v>
      </c>
      <c r="O2307" s="11">
        <f t="shared" si="72"/>
        <v>0</v>
      </c>
      <c r="P2307" s="11">
        <f t="shared" si="73"/>
        <v>0</v>
      </c>
      <c r="Q2307" s="6"/>
      <c r="R2307" s="6"/>
      <c r="S2307" s="6"/>
      <c r="T2307" s="6"/>
    </row>
    <row r="2308" spans="1:20">
      <c r="A2308" s="6" t="s">
        <v>2474</v>
      </c>
      <c r="B2308" s="6" t="s">
        <v>66</v>
      </c>
      <c r="C2308" s="6" t="s">
        <v>90</v>
      </c>
      <c r="D2308" s="6" t="s">
        <v>119</v>
      </c>
      <c r="E2308" s="6" t="s">
        <v>120</v>
      </c>
      <c r="F2308" s="7">
        <v>18</v>
      </c>
      <c r="G2308" s="7">
        <v>2250</v>
      </c>
      <c r="H2308" s="16">
        <v>45285</v>
      </c>
      <c r="I2308" s="6">
        <v>52</v>
      </c>
      <c r="J2308" s="6" t="s">
        <v>121</v>
      </c>
      <c r="K2308" s="6" t="s">
        <v>122</v>
      </c>
      <c r="L2308" s="11">
        <f>F2308*Controls!$B$6</f>
        <v>18</v>
      </c>
      <c r="M2308" s="11">
        <f>G2308*Controls!$B$6</f>
        <v>2250</v>
      </c>
      <c r="N2308" s="12">
        <f>IF(L2308=0,0,SUMIFS('PSI Plan'!$N$6:$N$173,'PSI Plan'!$B$6:$B$173,B2308,'PSI Plan'!$C$6:$C$173,I2308))</f>
        <v>0</v>
      </c>
      <c r="O2308" s="11">
        <f t="shared" si="72"/>
        <v>0</v>
      </c>
      <c r="P2308" s="11">
        <f t="shared" si="73"/>
        <v>0</v>
      </c>
      <c r="Q2308" s="6"/>
      <c r="R2308" s="6"/>
      <c r="S2308" s="6"/>
      <c r="T2308" s="6"/>
    </row>
    <row r="2309" spans="1:20">
      <c r="A2309" s="6" t="s">
        <v>2475</v>
      </c>
      <c r="B2309" s="6" t="s">
        <v>69</v>
      </c>
      <c r="C2309" s="6" t="s">
        <v>90</v>
      </c>
      <c r="D2309" s="6" t="s">
        <v>119</v>
      </c>
      <c r="E2309" s="6" t="s">
        <v>120</v>
      </c>
      <c r="F2309" s="7">
        <v>5</v>
      </c>
      <c r="G2309" s="7">
        <v>625</v>
      </c>
      <c r="H2309" s="16">
        <v>45209</v>
      </c>
      <c r="I2309" s="6">
        <v>41</v>
      </c>
      <c r="J2309" s="6" t="s">
        <v>121</v>
      </c>
      <c r="K2309" s="6" t="s">
        <v>122</v>
      </c>
      <c r="L2309" s="11">
        <f>F2309*Controls!$B$6</f>
        <v>5</v>
      </c>
      <c r="M2309" s="11">
        <f>G2309*Controls!$B$6</f>
        <v>625</v>
      </c>
      <c r="N2309" s="12">
        <f>IF(L2309=0,0,SUMIFS('PSI Plan'!$N$6:$N$173,'PSI Plan'!$B$6:$B$173,B2309,'PSI Plan'!$C$6:$C$173,I2309))</f>
        <v>0</v>
      </c>
      <c r="O2309" s="11">
        <f t="shared" si="72"/>
        <v>0</v>
      </c>
      <c r="P2309" s="11">
        <f t="shared" si="73"/>
        <v>0</v>
      </c>
      <c r="Q2309" s="6"/>
      <c r="R2309" s="6"/>
      <c r="S2309" s="6"/>
      <c r="T2309" s="6"/>
    </row>
    <row r="2310" spans="1:20">
      <c r="A2310" s="6" t="s">
        <v>2476</v>
      </c>
      <c r="B2310" s="6" t="s">
        <v>69</v>
      </c>
      <c r="C2310" s="6" t="s">
        <v>90</v>
      </c>
      <c r="D2310" s="6" t="s">
        <v>119</v>
      </c>
      <c r="E2310" s="6" t="s">
        <v>120</v>
      </c>
      <c r="F2310" s="7">
        <v>13</v>
      </c>
      <c r="G2310" s="7">
        <v>1625</v>
      </c>
      <c r="H2310" s="16">
        <v>45272</v>
      </c>
      <c r="I2310" s="6">
        <v>50</v>
      </c>
      <c r="J2310" s="6" t="s">
        <v>121</v>
      </c>
      <c r="K2310" s="6" t="s">
        <v>139</v>
      </c>
      <c r="L2310" s="11">
        <f>F2310*Controls!$B$6</f>
        <v>13</v>
      </c>
      <c r="M2310" s="11">
        <f>G2310*Controls!$B$6</f>
        <v>1625</v>
      </c>
      <c r="N2310" s="12">
        <f>IF(L2310=0,0,SUMIFS('PSI Plan'!$N$6:$N$173,'PSI Plan'!$B$6:$B$173,B2310,'PSI Plan'!$C$6:$C$173,I2310))</f>
        <v>0</v>
      </c>
      <c r="O2310" s="11">
        <f t="shared" si="72"/>
        <v>0</v>
      </c>
      <c r="P2310" s="11">
        <f t="shared" si="73"/>
        <v>0</v>
      </c>
      <c r="Q2310" s="6"/>
      <c r="R2310" s="6"/>
      <c r="S2310" s="6"/>
      <c r="T2310" s="6"/>
    </row>
    <row r="2311" spans="1:20">
      <c r="A2311" s="6" t="s">
        <v>2477</v>
      </c>
      <c r="B2311" s="6" t="s">
        <v>77</v>
      </c>
      <c r="C2311" s="6" t="s">
        <v>90</v>
      </c>
      <c r="D2311" s="6" t="s">
        <v>119</v>
      </c>
      <c r="E2311" s="6" t="s">
        <v>120</v>
      </c>
      <c r="F2311" s="7">
        <v>25</v>
      </c>
      <c r="G2311" s="7">
        <v>3125</v>
      </c>
      <c r="H2311" s="16">
        <v>45238</v>
      </c>
      <c r="I2311" s="6">
        <v>45</v>
      </c>
      <c r="J2311" s="6" t="s">
        <v>121</v>
      </c>
      <c r="K2311" s="6" t="s">
        <v>122</v>
      </c>
      <c r="L2311" s="11">
        <f>F2311*Controls!$B$6</f>
        <v>25</v>
      </c>
      <c r="M2311" s="11">
        <f>G2311*Controls!$B$6</f>
        <v>3125</v>
      </c>
      <c r="N2311" s="12">
        <f>IF(L2311=0,0,SUMIFS('PSI Plan'!$N$6:$N$173,'PSI Plan'!$B$6:$B$173,B2311,'PSI Plan'!$C$6:$C$173,I2311))</f>
        <v>0</v>
      </c>
      <c r="O2311" s="11">
        <f t="shared" si="72"/>
        <v>0</v>
      </c>
      <c r="P2311" s="11">
        <f t="shared" si="73"/>
        <v>0</v>
      </c>
      <c r="Q2311" s="6"/>
      <c r="R2311" s="6"/>
      <c r="S2311" s="6"/>
      <c r="T2311" s="6"/>
    </row>
    <row r="2312" spans="1:20">
      <c r="A2312" s="6" t="s">
        <v>2478</v>
      </c>
      <c r="B2312" s="6" t="s">
        <v>66</v>
      </c>
      <c r="C2312" s="6" t="s">
        <v>102</v>
      </c>
      <c r="D2312" s="6" t="s">
        <v>1895</v>
      </c>
      <c r="E2312" s="6" t="s">
        <v>120</v>
      </c>
      <c r="F2312" s="7">
        <v>15</v>
      </c>
      <c r="G2312" s="7">
        <v>1875</v>
      </c>
      <c r="H2312" s="16">
        <v>45223</v>
      </c>
      <c r="I2312" s="6">
        <v>43</v>
      </c>
      <c r="J2312" s="6" t="s">
        <v>1791</v>
      </c>
      <c r="K2312" s="6" t="s">
        <v>1896</v>
      </c>
      <c r="L2312" s="11">
        <f>F2312*Controls!$B$6</f>
        <v>15</v>
      </c>
      <c r="M2312" s="11">
        <f>G2312*Controls!$B$6</f>
        <v>1875</v>
      </c>
      <c r="N2312" s="12">
        <f>IF(L2312=0,0,SUMIFS('PSI Plan'!$N$6:$N$173,'PSI Plan'!$B$6:$B$173,B2312,'PSI Plan'!$C$6:$C$173,I2312))</f>
        <v>0</v>
      </c>
      <c r="O2312" s="11">
        <f t="shared" si="72"/>
        <v>0</v>
      </c>
      <c r="P2312" s="11">
        <f t="shared" si="73"/>
        <v>0</v>
      </c>
      <c r="Q2312" s="6"/>
      <c r="R2312" s="6"/>
      <c r="S2312" s="6"/>
      <c r="T2312" s="6"/>
    </row>
    <row r="2313" spans="1:20">
      <c r="A2313" s="6" t="s">
        <v>2479</v>
      </c>
      <c r="B2313" s="6" t="s">
        <v>76</v>
      </c>
      <c r="C2313" s="6" t="s">
        <v>102</v>
      </c>
      <c r="D2313" s="6" t="s">
        <v>1895</v>
      </c>
      <c r="E2313" s="6" t="s">
        <v>120</v>
      </c>
      <c r="F2313" s="7">
        <v>15</v>
      </c>
      <c r="G2313" s="7">
        <v>1875</v>
      </c>
      <c r="H2313" s="16">
        <v>45215</v>
      </c>
      <c r="I2313" s="6">
        <v>42</v>
      </c>
      <c r="J2313" s="6" t="s">
        <v>1791</v>
      </c>
      <c r="K2313" s="6" t="s">
        <v>1896</v>
      </c>
      <c r="L2313" s="11">
        <f>F2313*Controls!$B$6</f>
        <v>15</v>
      </c>
      <c r="M2313" s="11">
        <f>G2313*Controls!$B$6</f>
        <v>1875</v>
      </c>
      <c r="N2313" s="12">
        <f>IF(L2313=0,0,SUMIFS('PSI Plan'!$N$6:$N$173,'PSI Plan'!$B$6:$B$173,B2313,'PSI Plan'!$C$6:$C$173,I2313))</f>
        <v>0</v>
      </c>
      <c r="O2313" s="11">
        <f t="shared" si="72"/>
        <v>0</v>
      </c>
      <c r="P2313" s="11">
        <f t="shared" si="73"/>
        <v>0</v>
      </c>
      <c r="Q2313" s="6"/>
      <c r="R2313" s="6"/>
      <c r="S2313" s="6"/>
      <c r="T2313" s="6"/>
    </row>
    <row r="2314" spans="1:20">
      <c r="A2314" s="6" t="s">
        <v>2480</v>
      </c>
      <c r="B2314" s="6" t="s">
        <v>67</v>
      </c>
      <c r="C2314" s="6" t="s">
        <v>102</v>
      </c>
      <c r="D2314" s="6" t="s">
        <v>1895</v>
      </c>
      <c r="E2314" s="6" t="s">
        <v>120</v>
      </c>
      <c r="F2314" s="7">
        <v>20</v>
      </c>
      <c r="G2314" s="7">
        <v>2500</v>
      </c>
      <c r="H2314" s="16">
        <v>45262</v>
      </c>
      <c r="I2314" s="6">
        <v>48</v>
      </c>
      <c r="J2314" s="6" t="s">
        <v>1791</v>
      </c>
      <c r="K2314" s="6" t="s">
        <v>1896</v>
      </c>
      <c r="L2314" s="11">
        <f>F2314*Controls!$B$6</f>
        <v>20</v>
      </c>
      <c r="M2314" s="11">
        <f>G2314*Controls!$B$6</f>
        <v>2500</v>
      </c>
      <c r="N2314" s="12">
        <f>IF(L2314=0,0,SUMIFS('PSI Plan'!$N$6:$N$173,'PSI Plan'!$B$6:$B$173,B2314,'PSI Plan'!$C$6:$C$173,I2314))</f>
        <v>0</v>
      </c>
      <c r="O2314" s="11">
        <f t="shared" si="72"/>
        <v>0</v>
      </c>
      <c r="P2314" s="11">
        <f t="shared" si="73"/>
        <v>0</v>
      </c>
      <c r="Q2314" s="6"/>
      <c r="R2314" s="6"/>
      <c r="S2314" s="6"/>
      <c r="T2314" s="6"/>
    </row>
    <row r="2315" spans="1:20">
      <c r="A2315" s="6" t="s">
        <v>2481</v>
      </c>
      <c r="B2315" s="6" t="s">
        <v>66</v>
      </c>
      <c r="C2315" s="6" t="s">
        <v>90</v>
      </c>
      <c r="D2315" s="6" t="s">
        <v>119</v>
      </c>
      <c r="E2315" s="6" t="s">
        <v>120</v>
      </c>
      <c r="F2315" s="7">
        <v>26</v>
      </c>
      <c r="G2315" s="7">
        <v>3250</v>
      </c>
      <c r="H2315" s="16">
        <v>45263</v>
      </c>
      <c r="I2315" s="6">
        <v>49</v>
      </c>
      <c r="J2315" s="6" t="s">
        <v>1791</v>
      </c>
      <c r="K2315" s="6" t="s">
        <v>1890</v>
      </c>
      <c r="L2315" s="11">
        <f>F2315*Controls!$B$6</f>
        <v>26</v>
      </c>
      <c r="M2315" s="11">
        <f>G2315*Controls!$B$6</f>
        <v>3250</v>
      </c>
      <c r="N2315" s="12">
        <f>IF(L2315=0,0,SUMIFS('PSI Plan'!$N$6:$N$173,'PSI Plan'!$B$6:$B$173,B2315,'PSI Plan'!$C$6:$C$173,I2315))</f>
        <v>0</v>
      </c>
      <c r="O2315" s="11">
        <f t="shared" si="72"/>
        <v>0</v>
      </c>
      <c r="P2315" s="11">
        <f t="shared" si="73"/>
        <v>0</v>
      </c>
      <c r="Q2315" s="6"/>
      <c r="R2315" s="6"/>
      <c r="S2315" s="6"/>
      <c r="T2315" s="6"/>
    </row>
    <row r="2316" spans="1:20">
      <c r="A2316" s="6" t="s">
        <v>2482</v>
      </c>
      <c r="B2316" s="6" t="s">
        <v>66</v>
      </c>
      <c r="C2316" s="6" t="s">
        <v>102</v>
      </c>
      <c r="D2316" s="6" t="s">
        <v>1895</v>
      </c>
      <c r="E2316" s="6" t="s">
        <v>120</v>
      </c>
      <c r="F2316" s="7">
        <v>30</v>
      </c>
      <c r="G2316" s="7">
        <v>3750</v>
      </c>
      <c r="H2316" s="16">
        <v>45276</v>
      </c>
      <c r="I2316" s="6">
        <v>50</v>
      </c>
      <c r="J2316" s="6" t="s">
        <v>1791</v>
      </c>
      <c r="K2316" s="6" t="s">
        <v>1896</v>
      </c>
      <c r="L2316" s="11">
        <f>F2316*Controls!$B$6</f>
        <v>30</v>
      </c>
      <c r="M2316" s="11">
        <f>G2316*Controls!$B$6</f>
        <v>3750</v>
      </c>
      <c r="N2316" s="12">
        <f>IF(L2316=0,0,SUMIFS('PSI Plan'!$N$6:$N$173,'PSI Plan'!$B$6:$B$173,B2316,'PSI Plan'!$C$6:$C$173,I2316))</f>
        <v>0</v>
      </c>
      <c r="O2316" s="11">
        <f t="shared" si="72"/>
        <v>0</v>
      </c>
      <c r="P2316" s="11">
        <f t="shared" si="73"/>
        <v>0</v>
      </c>
      <c r="Q2316" s="6"/>
      <c r="R2316" s="6"/>
      <c r="S2316" s="6"/>
      <c r="T2316" s="6"/>
    </row>
    <row r="2317" spans="1:20">
      <c r="A2317" s="6" t="s">
        <v>2483</v>
      </c>
      <c r="B2317" s="6" t="s">
        <v>66</v>
      </c>
      <c r="C2317" s="6" t="s">
        <v>90</v>
      </c>
      <c r="D2317" s="6" t="s">
        <v>119</v>
      </c>
      <c r="E2317" s="6" t="s">
        <v>120</v>
      </c>
      <c r="F2317" s="7">
        <v>39</v>
      </c>
      <c r="G2317" s="7">
        <v>4875</v>
      </c>
      <c r="H2317" s="16">
        <v>45201</v>
      </c>
      <c r="I2317" s="6">
        <v>40</v>
      </c>
      <c r="J2317" s="6" t="s">
        <v>1791</v>
      </c>
      <c r="K2317" s="6" t="s">
        <v>1890</v>
      </c>
      <c r="L2317" s="11">
        <f>F2317*Controls!$B$6</f>
        <v>39</v>
      </c>
      <c r="M2317" s="11">
        <f>G2317*Controls!$B$6</f>
        <v>4875</v>
      </c>
      <c r="N2317" s="12">
        <f>IF(L2317=0,0,SUMIFS('PSI Plan'!$N$6:$N$173,'PSI Plan'!$B$6:$B$173,B2317,'PSI Plan'!$C$6:$C$173,I2317))</f>
        <v>0</v>
      </c>
      <c r="O2317" s="11">
        <f t="shared" si="72"/>
        <v>0</v>
      </c>
      <c r="P2317" s="11">
        <f t="shared" si="73"/>
        <v>0</v>
      </c>
      <c r="Q2317" s="6"/>
      <c r="R2317" s="6"/>
      <c r="S2317" s="6"/>
      <c r="T2317" s="6"/>
    </row>
    <row r="2318" spans="1:20">
      <c r="A2318" s="6" t="s">
        <v>2484</v>
      </c>
      <c r="B2318" s="6" t="s">
        <v>76</v>
      </c>
      <c r="C2318" s="6" t="s">
        <v>90</v>
      </c>
      <c r="D2318" s="6" t="s">
        <v>119</v>
      </c>
      <c r="E2318" s="6" t="s">
        <v>120</v>
      </c>
      <c r="F2318" s="7">
        <v>26</v>
      </c>
      <c r="G2318" s="7">
        <v>3250</v>
      </c>
      <c r="H2318" s="16">
        <v>45273</v>
      </c>
      <c r="I2318" s="6">
        <v>50</v>
      </c>
      <c r="J2318" s="6" t="s">
        <v>1791</v>
      </c>
      <c r="K2318" s="6" t="s">
        <v>1890</v>
      </c>
      <c r="L2318" s="11">
        <f>F2318*Controls!$B$6</f>
        <v>26</v>
      </c>
      <c r="M2318" s="11">
        <f>G2318*Controls!$B$6</f>
        <v>3250</v>
      </c>
      <c r="N2318" s="12">
        <f>IF(L2318=0,0,SUMIFS('PSI Plan'!$N$6:$N$173,'PSI Plan'!$B$6:$B$173,B2318,'PSI Plan'!$C$6:$C$173,I2318))</f>
        <v>0</v>
      </c>
      <c r="O2318" s="11">
        <f t="shared" si="72"/>
        <v>0</v>
      </c>
      <c r="P2318" s="11">
        <f t="shared" si="73"/>
        <v>0</v>
      </c>
      <c r="Q2318" s="6"/>
      <c r="R2318" s="6"/>
      <c r="S2318" s="6"/>
      <c r="T2318" s="6"/>
    </row>
    <row r="2319" spans="1:20">
      <c r="A2319" s="6" t="s">
        <v>2485</v>
      </c>
      <c r="B2319" s="6" t="s">
        <v>67</v>
      </c>
      <c r="C2319" s="6" t="s">
        <v>90</v>
      </c>
      <c r="D2319" s="6" t="s">
        <v>119</v>
      </c>
      <c r="E2319" s="6" t="s">
        <v>120</v>
      </c>
      <c r="F2319" s="7">
        <v>26</v>
      </c>
      <c r="G2319" s="7">
        <v>3250</v>
      </c>
      <c r="H2319" s="16">
        <v>45214</v>
      </c>
      <c r="I2319" s="6">
        <v>42</v>
      </c>
      <c r="J2319" s="6" t="s">
        <v>1791</v>
      </c>
      <c r="K2319" s="6" t="s">
        <v>1890</v>
      </c>
      <c r="L2319" s="11">
        <f>F2319*Controls!$B$6</f>
        <v>26</v>
      </c>
      <c r="M2319" s="11">
        <f>G2319*Controls!$B$6</f>
        <v>3250</v>
      </c>
      <c r="N2319" s="12">
        <f>IF(L2319=0,0,SUMIFS('PSI Plan'!$N$6:$N$173,'PSI Plan'!$B$6:$B$173,B2319,'PSI Plan'!$C$6:$C$173,I2319))</f>
        <v>0</v>
      </c>
      <c r="O2319" s="11">
        <f t="shared" si="72"/>
        <v>0</v>
      </c>
      <c r="P2319" s="11">
        <f t="shared" si="73"/>
        <v>0</v>
      </c>
      <c r="Q2319" s="6"/>
      <c r="R2319" s="6"/>
      <c r="S2319" s="6"/>
      <c r="T2319" s="6"/>
    </row>
    <row r="2320" spans="1:20">
      <c r="A2320" s="6" t="s">
        <v>2486</v>
      </c>
      <c r="B2320" s="6" t="s">
        <v>66</v>
      </c>
      <c r="C2320" s="6" t="s">
        <v>90</v>
      </c>
      <c r="D2320" s="6" t="s">
        <v>119</v>
      </c>
      <c r="E2320" s="6" t="s">
        <v>120</v>
      </c>
      <c r="F2320" s="7">
        <v>13</v>
      </c>
      <c r="G2320" s="7">
        <v>1625</v>
      </c>
      <c r="H2320" s="16">
        <v>45224</v>
      </c>
      <c r="I2320" s="6">
        <v>43</v>
      </c>
      <c r="J2320" s="6" t="s">
        <v>121</v>
      </c>
      <c r="K2320" s="6" t="s">
        <v>169</v>
      </c>
      <c r="L2320" s="11">
        <f>F2320*Controls!$B$6</f>
        <v>13</v>
      </c>
      <c r="M2320" s="11">
        <f>G2320*Controls!$B$6</f>
        <v>1625</v>
      </c>
      <c r="N2320" s="12">
        <f>IF(L2320=0,0,SUMIFS('PSI Plan'!$N$6:$N$173,'PSI Plan'!$B$6:$B$173,B2320,'PSI Plan'!$C$6:$C$173,I2320))</f>
        <v>0</v>
      </c>
      <c r="O2320" s="11">
        <f t="shared" si="72"/>
        <v>0</v>
      </c>
      <c r="P2320" s="11">
        <f t="shared" si="73"/>
        <v>0</v>
      </c>
      <c r="Q2320" s="6"/>
      <c r="R2320" s="6"/>
      <c r="S2320" s="6"/>
      <c r="T2320" s="6"/>
    </row>
    <row r="2321" spans="1:20">
      <c r="A2321" s="6" t="s">
        <v>2487</v>
      </c>
      <c r="B2321" s="6" t="s">
        <v>69</v>
      </c>
      <c r="C2321" s="6" t="s">
        <v>90</v>
      </c>
      <c r="D2321" s="6" t="s">
        <v>119</v>
      </c>
      <c r="E2321" s="6" t="s">
        <v>120</v>
      </c>
      <c r="F2321" s="7">
        <v>13</v>
      </c>
      <c r="G2321" s="7">
        <v>1625</v>
      </c>
      <c r="H2321" s="16">
        <v>45238</v>
      </c>
      <c r="I2321" s="6">
        <v>45</v>
      </c>
      <c r="J2321" s="6" t="s">
        <v>121</v>
      </c>
      <c r="K2321" s="6" t="s">
        <v>169</v>
      </c>
      <c r="L2321" s="11">
        <f>F2321*Controls!$B$6</f>
        <v>13</v>
      </c>
      <c r="M2321" s="11">
        <f>G2321*Controls!$B$6</f>
        <v>1625</v>
      </c>
      <c r="N2321" s="12">
        <f>IF(L2321=0,0,SUMIFS('PSI Plan'!$N$6:$N$173,'PSI Plan'!$B$6:$B$173,B2321,'PSI Plan'!$C$6:$C$173,I2321))</f>
        <v>0</v>
      </c>
      <c r="O2321" s="11">
        <f t="shared" si="72"/>
        <v>0</v>
      </c>
      <c r="P2321" s="11">
        <f t="shared" si="73"/>
        <v>0</v>
      </c>
      <c r="Q2321" s="6"/>
      <c r="R2321" s="6"/>
      <c r="S2321" s="6"/>
      <c r="T2321" s="6"/>
    </row>
    <row r="2322" spans="1:20">
      <c r="A2322" s="6" t="s">
        <v>2488</v>
      </c>
      <c r="B2322" s="6" t="s">
        <v>66</v>
      </c>
      <c r="C2322" s="6" t="s">
        <v>90</v>
      </c>
      <c r="D2322" s="6" t="s">
        <v>119</v>
      </c>
      <c r="E2322" s="6" t="s">
        <v>120</v>
      </c>
      <c r="F2322" s="7">
        <v>78</v>
      </c>
      <c r="G2322" s="7">
        <v>9750</v>
      </c>
      <c r="H2322" s="16">
        <v>45232</v>
      </c>
      <c r="I2322" s="6">
        <v>44</v>
      </c>
      <c r="J2322" s="6" t="s">
        <v>1791</v>
      </c>
      <c r="K2322" s="6" t="s">
        <v>1890</v>
      </c>
      <c r="L2322" s="11">
        <f>F2322*Controls!$B$6</f>
        <v>78</v>
      </c>
      <c r="M2322" s="11">
        <f>G2322*Controls!$B$6</f>
        <v>9750</v>
      </c>
      <c r="N2322" s="12">
        <f>IF(L2322=0,0,SUMIFS('PSI Plan'!$N$6:$N$173,'PSI Plan'!$B$6:$B$173,B2322,'PSI Plan'!$C$6:$C$173,I2322))</f>
        <v>0</v>
      </c>
      <c r="O2322" s="11">
        <f t="shared" si="72"/>
        <v>0</v>
      </c>
      <c r="P2322" s="11">
        <f t="shared" si="73"/>
        <v>0</v>
      </c>
      <c r="Q2322" s="6"/>
      <c r="R2322" s="6"/>
      <c r="S2322" s="6"/>
      <c r="T2322" s="6"/>
    </row>
    <row r="2323" spans="1:20">
      <c r="A2323" s="6" t="s">
        <v>2489</v>
      </c>
      <c r="B2323" s="6" t="s">
        <v>77</v>
      </c>
      <c r="C2323" s="6" t="s">
        <v>90</v>
      </c>
      <c r="D2323" s="6" t="s">
        <v>119</v>
      </c>
      <c r="E2323" s="6" t="s">
        <v>120</v>
      </c>
      <c r="F2323" s="7">
        <v>13</v>
      </c>
      <c r="G2323" s="7">
        <v>1625</v>
      </c>
      <c r="H2323" s="16">
        <v>45264</v>
      </c>
      <c r="I2323" s="6">
        <v>49</v>
      </c>
      <c r="J2323" s="6" t="s">
        <v>121</v>
      </c>
      <c r="K2323" s="6" t="s">
        <v>169</v>
      </c>
      <c r="L2323" s="11">
        <f>F2323*Controls!$B$6</f>
        <v>13</v>
      </c>
      <c r="M2323" s="11">
        <f>G2323*Controls!$B$6</f>
        <v>1625</v>
      </c>
      <c r="N2323" s="12">
        <f>IF(L2323=0,0,SUMIFS('PSI Plan'!$N$6:$N$173,'PSI Plan'!$B$6:$B$173,B2323,'PSI Plan'!$C$6:$C$173,I2323))</f>
        <v>0</v>
      </c>
      <c r="O2323" s="11">
        <f t="shared" si="72"/>
        <v>0</v>
      </c>
      <c r="P2323" s="11">
        <f t="shared" si="73"/>
        <v>0</v>
      </c>
      <c r="Q2323" s="6"/>
      <c r="R2323" s="6"/>
      <c r="S2323" s="6"/>
      <c r="T2323" s="6"/>
    </row>
    <row r="2324" spans="1:20">
      <c r="A2324" s="6" t="s">
        <v>2490</v>
      </c>
      <c r="B2324" s="6" t="s">
        <v>66</v>
      </c>
      <c r="C2324" s="6" t="s">
        <v>99</v>
      </c>
      <c r="D2324" s="6" t="s">
        <v>319</v>
      </c>
      <c r="E2324" s="6" t="s">
        <v>120</v>
      </c>
      <c r="F2324" s="7">
        <v>40</v>
      </c>
      <c r="G2324" s="7">
        <v>5000</v>
      </c>
      <c r="H2324" s="16">
        <v>45231</v>
      </c>
      <c r="I2324" s="6">
        <v>44</v>
      </c>
      <c r="J2324" s="6" t="s">
        <v>121</v>
      </c>
      <c r="K2324" s="6" t="s">
        <v>1576</v>
      </c>
      <c r="L2324" s="11">
        <f>F2324*Controls!$B$6</f>
        <v>40</v>
      </c>
      <c r="M2324" s="11">
        <f>G2324*Controls!$B$6</f>
        <v>5000</v>
      </c>
      <c r="N2324" s="12">
        <f>IF(L2324=0,0,SUMIFS('PSI Plan'!$N$6:$N$173,'PSI Plan'!$B$6:$B$173,B2324,'PSI Plan'!$C$6:$C$173,I2324))</f>
        <v>0</v>
      </c>
      <c r="O2324" s="11">
        <f t="shared" si="72"/>
        <v>0</v>
      </c>
      <c r="P2324" s="11">
        <f t="shared" si="73"/>
        <v>0</v>
      </c>
      <c r="Q2324" s="6"/>
      <c r="R2324" s="6"/>
      <c r="S2324" s="6"/>
      <c r="T2324" s="6"/>
    </row>
    <row r="2325" spans="1:20">
      <c r="A2325" s="6" t="s">
        <v>2491</v>
      </c>
      <c r="B2325" s="6" t="s">
        <v>76</v>
      </c>
      <c r="C2325" s="6" t="s">
        <v>99</v>
      </c>
      <c r="D2325" s="6" t="s">
        <v>319</v>
      </c>
      <c r="E2325" s="6" t="s">
        <v>120</v>
      </c>
      <c r="F2325" s="7">
        <v>14</v>
      </c>
      <c r="G2325" s="7">
        <v>1750</v>
      </c>
      <c r="H2325" s="16">
        <v>45248</v>
      </c>
      <c r="I2325" s="6">
        <v>46</v>
      </c>
      <c r="J2325" s="6" t="s">
        <v>121</v>
      </c>
      <c r="K2325" s="6" t="s">
        <v>1576</v>
      </c>
      <c r="L2325" s="11">
        <f>F2325*Controls!$B$6</f>
        <v>14</v>
      </c>
      <c r="M2325" s="11">
        <f>G2325*Controls!$B$6</f>
        <v>1750</v>
      </c>
      <c r="N2325" s="12">
        <f>IF(L2325=0,0,SUMIFS('PSI Plan'!$N$6:$N$173,'PSI Plan'!$B$6:$B$173,B2325,'PSI Plan'!$C$6:$C$173,I2325))</f>
        <v>0</v>
      </c>
      <c r="O2325" s="11">
        <f t="shared" si="72"/>
        <v>0</v>
      </c>
      <c r="P2325" s="11">
        <f t="shared" si="73"/>
        <v>0</v>
      </c>
      <c r="Q2325" s="6"/>
      <c r="R2325" s="6"/>
      <c r="S2325" s="6"/>
      <c r="T2325" s="6"/>
    </row>
    <row r="2326" spans="1:20">
      <c r="A2326" s="6" t="s">
        <v>2492</v>
      </c>
      <c r="B2326" s="6" t="s">
        <v>69</v>
      </c>
      <c r="C2326" s="6" t="s">
        <v>99</v>
      </c>
      <c r="D2326" s="6" t="s">
        <v>319</v>
      </c>
      <c r="E2326" s="6" t="s">
        <v>120</v>
      </c>
      <c r="F2326" s="7">
        <v>56</v>
      </c>
      <c r="G2326" s="7">
        <v>7000</v>
      </c>
      <c r="H2326" s="16">
        <v>45232</v>
      </c>
      <c r="I2326" s="6">
        <v>44</v>
      </c>
      <c r="J2326" s="6" t="s">
        <v>121</v>
      </c>
      <c r="K2326" s="6" t="s">
        <v>1576</v>
      </c>
      <c r="L2326" s="11">
        <f>F2326*Controls!$B$6</f>
        <v>56</v>
      </c>
      <c r="M2326" s="11">
        <f>G2326*Controls!$B$6</f>
        <v>7000</v>
      </c>
      <c r="N2326" s="12">
        <f>IF(L2326=0,0,SUMIFS('PSI Plan'!$N$6:$N$173,'PSI Plan'!$B$6:$B$173,B2326,'PSI Plan'!$C$6:$C$173,I2326))</f>
        <v>0</v>
      </c>
      <c r="O2326" s="11">
        <f t="shared" si="72"/>
        <v>0</v>
      </c>
      <c r="P2326" s="11">
        <f t="shared" si="73"/>
        <v>0</v>
      </c>
      <c r="Q2326" s="6"/>
      <c r="R2326" s="6"/>
      <c r="S2326" s="6"/>
      <c r="T2326" s="6"/>
    </row>
    <row r="2327" spans="1:20">
      <c r="A2327" s="6" t="s">
        <v>2493</v>
      </c>
      <c r="B2327" s="6" t="s">
        <v>77</v>
      </c>
      <c r="C2327" s="6" t="s">
        <v>99</v>
      </c>
      <c r="D2327" s="6" t="s">
        <v>319</v>
      </c>
      <c r="E2327" s="6" t="s">
        <v>120</v>
      </c>
      <c r="F2327" s="7">
        <v>34</v>
      </c>
      <c r="G2327" s="7">
        <v>4250</v>
      </c>
      <c r="H2327" s="16">
        <v>45203</v>
      </c>
      <c r="I2327" s="6">
        <v>40</v>
      </c>
      <c r="J2327" s="6" t="s">
        <v>121</v>
      </c>
      <c r="K2327" s="6" t="s">
        <v>1576</v>
      </c>
      <c r="L2327" s="11">
        <f>F2327*Controls!$B$6</f>
        <v>34</v>
      </c>
      <c r="M2327" s="11">
        <f>G2327*Controls!$B$6</f>
        <v>4250</v>
      </c>
      <c r="N2327" s="12">
        <f>IF(L2327=0,0,SUMIFS('PSI Plan'!$N$6:$N$173,'PSI Plan'!$B$6:$B$173,B2327,'PSI Plan'!$C$6:$C$173,I2327))</f>
        <v>0</v>
      </c>
      <c r="O2327" s="11">
        <f t="shared" si="72"/>
        <v>0</v>
      </c>
      <c r="P2327" s="11">
        <f t="shared" si="73"/>
        <v>0</v>
      </c>
      <c r="Q2327" s="6"/>
      <c r="R2327" s="6"/>
      <c r="S2327" s="6"/>
      <c r="T2327" s="6"/>
    </row>
    <row r="2328" spans="1:20">
      <c r="A2328" s="6" t="s">
        <v>2494</v>
      </c>
      <c r="B2328" s="6" t="s">
        <v>66</v>
      </c>
      <c r="C2328" s="6" t="s">
        <v>101</v>
      </c>
      <c r="D2328" s="6" t="s">
        <v>567</v>
      </c>
      <c r="E2328" s="6" t="s">
        <v>120</v>
      </c>
      <c r="F2328" s="7">
        <v>26</v>
      </c>
      <c r="G2328" s="7">
        <v>3250</v>
      </c>
      <c r="H2328" s="16">
        <v>45208</v>
      </c>
      <c r="I2328" s="6">
        <v>41</v>
      </c>
      <c r="J2328" s="6" t="s">
        <v>121</v>
      </c>
      <c r="K2328" s="6" t="s">
        <v>781</v>
      </c>
      <c r="L2328" s="11">
        <f>F2328*Controls!$B$6</f>
        <v>26</v>
      </c>
      <c r="M2328" s="11">
        <f>G2328*Controls!$B$6</f>
        <v>3250</v>
      </c>
      <c r="N2328" s="12">
        <f>IF(L2328=0,0,SUMIFS('PSI Plan'!$N$6:$N$173,'PSI Plan'!$B$6:$B$173,B2328,'PSI Plan'!$C$6:$C$173,I2328))</f>
        <v>0.22897465437788017</v>
      </c>
      <c r="O2328" s="11">
        <f t="shared" si="72"/>
        <v>5.9533410138248843</v>
      </c>
      <c r="P2328" s="11">
        <f t="shared" si="73"/>
        <v>744.16762672811058</v>
      </c>
      <c r="Q2328" s="6"/>
      <c r="R2328" s="6"/>
      <c r="S2328" s="6"/>
      <c r="T2328" s="6"/>
    </row>
    <row r="2329" spans="1:20">
      <c r="A2329" s="6" t="s">
        <v>2495</v>
      </c>
      <c r="B2329" s="6" t="s">
        <v>76</v>
      </c>
      <c r="C2329" s="6" t="s">
        <v>101</v>
      </c>
      <c r="D2329" s="6" t="s">
        <v>567</v>
      </c>
      <c r="E2329" s="6" t="s">
        <v>120</v>
      </c>
      <c r="F2329" s="7">
        <v>26</v>
      </c>
      <c r="G2329" s="7">
        <v>3250</v>
      </c>
      <c r="H2329" s="16">
        <v>45278</v>
      </c>
      <c r="I2329" s="6">
        <v>51</v>
      </c>
      <c r="J2329" s="6" t="s">
        <v>121</v>
      </c>
      <c r="K2329" s="6" t="s">
        <v>781</v>
      </c>
      <c r="L2329" s="11">
        <f>F2329*Controls!$B$6</f>
        <v>26</v>
      </c>
      <c r="M2329" s="11">
        <f>G2329*Controls!$B$6</f>
        <v>3250</v>
      </c>
      <c r="N2329" s="12">
        <f>IF(L2329=0,0,SUMIFS('PSI Plan'!$N$6:$N$173,'PSI Plan'!$B$6:$B$173,B2329,'PSI Plan'!$C$6:$C$173,I2329))</f>
        <v>0</v>
      </c>
      <c r="O2329" s="11">
        <f t="shared" si="72"/>
        <v>0</v>
      </c>
      <c r="P2329" s="11">
        <f t="shared" si="73"/>
        <v>0</v>
      </c>
      <c r="Q2329" s="6"/>
      <c r="R2329" s="6"/>
      <c r="S2329" s="6"/>
      <c r="T2329" s="6"/>
    </row>
    <row r="2330" spans="1:20">
      <c r="A2330" s="6" t="s">
        <v>2496</v>
      </c>
      <c r="B2330" s="6" t="s">
        <v>67</v>
      </c>
      <c r="C2330" s="6" t="s">
        <v>101</v>
      </c>
      <c r="D2330" s="6" t="s">
        <v>567</v>
      </c>
      <c r="E2330" s="6" t="s">
        <v>120</v>
      </c>
      <c r="F2330" s="7">
        <v>26</v>
      </c>
      <c r="G2330" s="7">
        <v>3250</v>
      </c>
      <c r="H2330" s="16">
        <v>45206</v>
      </c>
      <c r="I2330" s="6">
        <v>40</v>
      </c>
      <c r="J2330" s="6" t="s">
        <v>121</v>
      </c>
      <c r="K2330" s="6" t="s">
        <v>781</v>
      </c>
      <c r="L2330" s="11">
        <f>F2330*Controls!$B$6</f>
        <v>26</v>
      </c>
      <c r="M2330" s="11">
        <f>G2330*Controls!$B$6</f>
        <v>3250</v>
      </c>
      <c r="N2330" s="12">
        <f>IF(L2330=0,0,SUMIFS('PSI Plan'!$N$6:$N$173,'PSI Plan'!$B$6:$B$173,B2330,'PSI Plan'!$C$6:$C$173,I2330))</f>
        <v>0</v>
      </c>
      <c r="O2330" s="11">
        <f t="shared" si="72"/>
        <v>0</v>
      </c>
      <c r="P2330" s="11">
        <f t="shared" si="73"/>
        <v>0</v>
      </c>
      <c r="Q2330" s="6"/>
      <c r="R2330" s="6"/>
      <c r="S2330" s="6"/>
      <c r="T2330" s="6"/>
    </row>
    <row r="2331" spans="1:20">
      <c r="A2331" s="6" t="s">
        <v>2497</v>
      </c>
      <c r="B2331" s="6" t="s">
        <v>69</v>
      </c>
      <c r="C2331" s="6" t="s">
        <v>101</v>
      </c>
      <c r="D2331" s="6" t="s">
        <v>567</v>
      </c>
      <c r="E2331" s="6" t="s">
        <v>120</v>
      </c>
      <c r="F2331" s="7">
        <v>26</v>
      </c>
      <c r="G2331" s="7">
        <v>3250</v>
      </c>
      <c r="H2331" s="16">
        <v>45219</v>
      </c>
      <c r="I2331" s="6">
        <v>42</v>
      </c>
      <c r="J2331" s="6" t="s">
        <v>121</v>
      </c>
      <c r="K2331" s="6" t="s">
        <v>781</v>
      </c>
      <c r="L2331" s="11">
        <f>F2331*Controls!$B$6</f>
        <v>26</v>
      </c>
      <c r="M2331" s="11">
        <f>G2331*Controls!$B$6</f>
        <v>3250</v>
      </c>
      <c r="N2331" s="12">
        <f>IF(L2331=0,0,SUMIFS('PSI Plan'!$N$6:$N$173,'PSI Plan'!$B$6:$B$173,B2331,'PSI Plan'!$C$6:$C$173,I2331))</f>
        <v>0</v>
      </c>
      <c r="O2331" s="11">
        <f t="shared" si="72"/>
        <v>0</v>
      </c>
      <c r="P2331" s="11">
        <f t="shared" si="73"/>
        <v>0</v>
      </c>
      <c r="Q2331" s="6"/>
      <c r="R2331" s="6"/>
      <c r="S2331" s="6"/>
      <c r="T2331" s="6"/>
    </row>
    <row r="2332" spans="1:20">
      <c r="A2332" s="6" t="s">
        <v>2498</v>
      </c>
      <c r="B2332" s="6" t="s">
        <v>77</v>
      </c>
      <c r="C2332" s="6" t="s">
        <v>101</v>
      </c>
      <c r="D2332" s="6" t="s">
        <v>567</v>
      </c>
      <c r="E2332" s="6" t="s">
        <v>120</v>
      </c>
      <c r="F2332" s="7">
        <v>26</v>
      </c>
      <c r="G2332" s="7">
        <v>3250</v>
      </c>
      <c r="H2332" s="16">
        <v>45251</v>
      </c>
      <c r="I2332" s="6">
        <v>47</v>
      </c>
      <c r="J2332" s="6" t="s">
        <v>121</v>
      </c>
      <c r="K2332" s="6" t="s">
        <v>781</v>
      </c>
      <c r="L2332" s="11">
        <f>F2332*Controls!$B$6</f>
        <v>26</v>
      </c>
      <c r="M2332" s="11">
        <f>G2332*Controls!$B$6</f>
        <v>3250</v>
      </c>
      <c r="N2332" s="12">
        <f>IF(L2332=0,0,SUMIFS('PSI Plan'!$N$6:$N$173,'PSI Plan'!$B$6:$B$173,B2332,'PSI Plan'!$C$6:$C$173,I2332))</f>
        <v>0</v>
      </c>
      <c r="O2332" s="11">
        <f t="shared" si="72"/>
        <v>0</v>
      </c>
      <c r="P2332" s="11">
        <f t="shared" si="73"/>
        <v>0</v>
      </c>
      <c r="Q2332" s="6"/>
      <c r="R2332" s="6"/>
      <c r="S2332" s="6"/>
      <c r="T2332" s="6"/>
    </row>
    <row r="2333" spans="1:20">
      <c r="A2333" s="6" t="s">
        <v>2499</v>
      </c>
      <c r="B2333" s="6" t="s">
        <v>77</v>
      </c>
      <c r="C2333" s="6" t="s">
        <v>90</v>
      </c>
      <c r="D2333" s="6" t="s">
        <v>119</v>
      </c>
      <c r="E2333" s="6" t="s">
        <v>120</v>
      </c>
      <c r="F2333" s="7">
        <v>13</v>
      </c>
      <c r="G2333" s="7">
        <v>1625</v>
      </c>
      <c r="H2333" s="16">
        <v>45240</v>
      </c>
      <c r="I2333" s="6">
        <v>45</v>
      </c>
      <c r="J2333" s="6" t="s">
        <v>121</v>
      </c>
      <c r="K2333" s="6" t="s">
        <v>298</v>
      </c>
      <c r="L2333" s="11">
        <f>F2333*Controls!$B$6</f>
        <v>13</v>
      </c>
      <c r="M2333" s="11">
        <f>G2333*Controls!$B$6</f>
        <v>1625</v>
      </c>
      <c r="N2333" s="12">
        <f>IF(L2333=0,0,SUMIFS('PSI Plan'!$N$6:$N$173,'PSI Plan'!$B$6:$B$173,B2333,'PSI Plan'!$C$6:$C$173,I2333))</f>
        <v>0</v>
      </c>
      <c r="O2333" s="11">
        <f t="shared" si="72"/>
        <v>0</v>
      </c>
      <c r="P2333" s="11">
        <f t="shared" si="73"/>
        <v>0</v>
      </c>
      <c r="Q2333" s="6"/>
      <c r="R2333" s="6"/>
      <c r="S2333" s="6"/>
      <c r="T2333" s="6"/>
    </row>
    <row r="2334" spans="1:20">
      <c r="A2334" s="6" t="s">
        <v>2500</v>
      </c>
      <c r="B2334" s="6" t="s">
        <v>76</v>
      </c>
      <c r="C2334" s="6" t="s">
        <v>90</v>
      </c>
      <c r="D2334" s="6" t="s">
        <v>119</v>
      </c>
      <c r="E2334" s="6" t="s">
        <v>120</v>
      </c>
      <c r="F2334" s="7">
        <v>13</v>
      </c>
      <c r="G2334" s="7">
        <v>1625</v>
      </c>
      <c r="H2334" s="16">
        <v>45282</v>
      </c>
      <c r="I2334" s="6">
        <v>51</v>
      </c>
      <c r="J2334" s="6" t="s">
        <v>121</v>
      </c>
      <c r="K2334" s="6" t="s">
        <v>298</v>
      </c>
      <c r="L2334" s="11">
        <f>F2334*Controls!$B$6</f>
        <v>13</v>
      </c>
      <c r="M2334" s="11">
        <f>G2334*Controls!$B$6</f>
        <v>1625</v>
      </c>
      <c r="N2334" s="12">
        <f>IF(L2334=0,0,SUMIFS('PSI Plan'!$N$6:$N$173,'PSI Plan'!$B$6:$B$173,B2334,'PSI Plan'!$C$6:$C$173,I2334))</f>
        <v>0</v>
      </c>
      <c r="O2334" s="11">
        <f t="shared" si="72"/>
        <v>0</v>
      </c>
      <c r="P2334" s="11">
        <f t="shared" si="73"/>
        <v>0</v>
      </c>
      <c r="Q2334" s="6"/>
      <c r="R2334" s="6"/>
      <c r="S2334" s="6"/>
      <c r="T2334" s="6"/>
    </row>
    <row r="2335" spans="1:20">
      <c r="A2335" s="6" t="s">
        <v>2501</v>
      </c>
      <c r="B2335" s="6" t="s">
        <v>66</v>
      </c>
      <c r="C2335" s="6" t="s">
        <v>90</v>
      </c>
      <c r="D2335" s="6" t="s">
        <v>119</v>
      </c>
      <c r="E2335" s="6" t="s">
        <v>120</v>
      </c>
      <c r="F2335" s="7">
        <v>39</v>
      </c>
      <c r="G2335" s="7">
        <v>4875</v>
      </c>
      <c r="H2335" s="16">
        <v>45209</v>
      </c>
      <c r="I2335" s="6">
        <v>41</v>
      </c>
      <c r="J2335" s="6" t="s">
        <v>1791</v>
      </c>
      <c r="K2335" s="6" t="s">
        <v>1890</v>
      </c>
      <c r="L2335" s="11">
        <f>F2335*Controls!$B$6</f>
        <v>39</v>
      </c>
      <c r="M2335" s="11">
        <f>G2335*Controls!$B$6</f>
        <v>4875</v>
      </c>
      <c r="N2335" s="12">
        <f>IF(L2335=0,0,SUMIFS('PSI Plan'!$N$6:$N$173,'PSI Plan'!$B$6:$B$173,B2335,'PSI Plan'!$C$6:$C$173,I2335))</f>
        <v>0.22897465437788017</v>
      </c>
      <c r="O2335" s="11">
        <f t="shared" si="72"/>
        <v>8.9300115207373274</v>
      </c>
      <c r="P2335" s="11">
        <f t="shared" si="73"/>
        <v>1116.2514400921659</v>
      </c>
      <c r="Q2335" s="6"/>
      <c r="R2335" s="6"/>
      <c r="S2335" s="6"/>
      <c r="T2335" s="6"/>
    </row>
    <row r="2336" spans="1:20">
      <c r="A2336" s="6" t="s">
        <v>2502</v>
      </c>
      <c r="B2336" s="6" t="s">
        <v>66</v>
      </c>
      <c r="C2336" s="6" t="s">
        <v>90</v>
      </c>
      <c r="D2336" s="6" t="s">
        <v>119</v>
      </c>
      <c r="E2336" s="6" t="s">
        <v>120</v>
      </c>
      <c r="F2336" s="7">
        <v>39</v>
      </c>
      <c r="G2336" s="7">
        <v>4875</v>
      </c>
      <c r="H2336" s="16">
        <v>45205</v>
      </c>
      <c r="I2336" s="6">
        <v>40</v>
      </c>
      <c r="J2336" s="6" t="s">
        <v>1791</v>
      </c>
      <c r="K2336" s="6" t="s">
        <v>1890</v>
      </c>
      <c r="L2336" s="11">
        <f>F2336*Controls!$B$6</f>
        <v>39</v>
      </c>
      <c r="M2336" s="11">
        <f>G2336*Controls!$B$6</f>
        <v>4875</v>
      </c>
      <c r="N2336" s="12">
        <f>IF(L2336=0,0,SUMIFS('PSI Plan'!$N$6:$N$173,'PSI Plan'!$B$6:$B$173,B2336,'PSI Plan'!$C$6:$C$173,I2336))</f>
        <v>0</v>
      </c>
      <c r="O2336" s="11">
        <f t="shared" si="72"/>
        <v>0</v>
      </c>
      <c r="P2336" s="11">
        <f t="shared" si="73"/>
        <v>0</v>
      </c>
      <c r="Q2336" s="6"/>
      <c r="R2336" s="6"/>
      <c r="S2336" s="6"/>
      <c r="T2336" s="6"/>
    </row>
    <row r="2337" spans="1:20">
      <c r="A2337" s="6" t="s">
        <v>2503</v>
      </c>
      <c r="B2337" s="6" t="s">
        <v>76</v>
      </c>
      <c r="C2337" s="6" t="s">
        <v>90</v>
      </c>
      <c r="D2337" s="6" t="s">
        <v>119</v>
      </c>
      <c r="E2337" s="6" t="s">
        <v>120</v>
      </c>
      <c r="F2337" s="7">
        <v>39</v>
      </c>
      <c r="G2337" s="7">
        <v>4875</v>
      </c>
      <c r="H2337" s="16">
        <v>45257</v>
      </c>
      <c r="I2337" s="6">
        <v>48</v>
      </c>
      <c r="J2337" s="6" t="s">
        <v>1791</v>
      </c>
      <c r="K2337" s="6" t="s">
        <v>1890</v>
      </c>
      <c r="L2337" s="11">
        <f>F2337*Controls!$B$6</f>
        <v>39</v>
      </c>
      <c r="M2337" s="11">
        <f>G2337*Controls!$B$6</f>
        <v>4875</v>
      </c>
      <c r="N2337" s="12">
        <f>IF(L2337=0,0,SUMIFS('PSI Plan'!$N$6:$N$173,'PSI Plan'!$B$6:$B$173,B2337,'PSI Plan'!$C$6:$C$173,I2337))</f>
        <v>0</v>
      </c>
      <c r="O2337" s="11">
        <f t="shared" si="72"/>
        <v>0</v>
      </c>
      <c r="P2337" s="11">
        <f t="shared" si="73"/>
        <v>0</v>
      </c>
      <c r="Q2337" s="6"/>
      <c r="R2337" s="6"/>
      <c r="S2337" s="6"/>
      <c r="T2337" s="6"/>
    </row>
    <row r="2338" spans="1:20">
      <c r="A2338" s="6" t="s">
        <v>2504</v>
      </c>
      <c r="B2338" s="6" t="s">
        <v>67</v>
      </c>
      <c r="C2338" s="6" t="s">
        <v>90</v>
      </c>
      <c r="D2338" s="6" t="s">
        <v>119</v>
      </c>
      <c r="E2338" s="6" t="s">
        <v>120</v>
      </c>
      <c r="F2338" s="7">
        <v>41</v>
      </c>
      <c r="G2338" s="7">
        <v>5125</v>
      </c>
      <c r="H2338" s="16">
        <v>45240</v>
      </c>
      <c r="I2338" s="6">
        <v>45</v>
      </c>
      <c r="J2338" s="6" t="s">
        <v>1791</v>
      </c>
      <c r="K2338" s="6" t="s">
        <v>1890</v>
      </c>
      <c r="L2338" s="11">
        <f>F2338*Controls!$B$6</f>
        <v>41</v>
      </c>
      <c r="M2338" s="11">
        <f>G2338*Controls!$B$6</f>
        <v>5125</v>
      </c>
      <c r="N2338" s="12">
        <f>IF(L2338=0,0,SUMIFS('PSI Plan'!$N$6:$N$173,'PSI Plan'!$B$6:$B$173,B2338,'PSI Plan'!$C$6:$C$173,I2338))</f>
        <v>0</v>
      </c>
      <c r="O2338" s="11">
        <f t="shared" si="72"/>
        <v>0</v>
      </c>
      <c r="P2338" s="11">
        <f t="shared" si="73"/>
        <v>0</v>
      </c>
      <c r="Q2338" s="6"/>
      <c r="R2338" s="6"/>
      <c r="S2338" s="6"/>
      <c r="T2338" s="6"/>
    </row>
    <row r="2339" spans="1:20">
      <c r="A2339" s="6" t="s">
        <v>2505</v>
      </c>
      <c r="B2339" s="6" t="s">
        <v>69</v>
      </c>
      <c r="C2339" s="6" t="s">
        <v>90</v>
      </c>
      <c r="D2339" s="6" t="s">
        <v>119</v>
      </c>
      <c r="E2339" s="6" t="s">
        <v>120</v>
      </c>
      <c r="F2339" s="7">
        <v>43</v>
      </c>
      <c r="G2339" s="7">
        <v>5375</v>
      </c>
      <c r="H2339" s="16">
        <v>45231</v>
      </c>
      <c r="I2339" s="6">
        <v>44</v>
      </c>
      <c r="J2339" s="6" t="s">
        <v>121</v>
      </c>
      <c r="K2339" s="6" t="s">
        <v>725</v>
      </c>
      <c r="L2339" s="11">
        <f>F2339*Controls!$B$6</f>
        <v>43</v>
      </c>
      <c r="M2339" s="11">
        <f>G2339*Controls!$B$6</f>
        <v>5375</v>
      </c>
      <c r="N2339" s="12">
        <f>IF(L2339=0,0,SUMIFS('PSI Plan'!$N$6:$N$173,'PSI Plan'!$B$6:$B$173,B2339,'PSI Plan'!$C$6:$C$173,I2339))</f>
        <v>0</v>
      </c>
      <c r="O2339" s="11">
        <f t="shared" si="72"/>
        <v>0</v>
      </c>
      <c r="P2339" s="11">
        <f t="shared" si="73"/>
        <v>0</v>
      </c>
      <c r="Q2339" s="6"/>
      <c r="R2339" s="6"/>
      <c r="S2339" s="6"/>
      <c r="T2339" s="6"/>
    </row>
    <row r="2340" spans="1:20">
      <c r="A2340" s="6" t="s">
        <v>2506</v>
      </c>
      <c r="B2340" s="6" t="s">
        <v>66</v>
      </c>
      <c r="C2340" s="6" t="s">
        <v>90</v>
      </c>
      <c r="D2340" s="6" t="s">
        <v>119</v>
      </c>
      <c r="E2340" s="6" t="s">
        <v>120</v>
      </c>
      <c r="F2340" s="7">
        <v>13</v>
      </c>
      <c r="G2340" s="7">
        <v>1625</v>
      </c>
      <c r="H2340" s="16">
        <v>45283</v>
      </c>
      <c r="I2340" s="6">
        <v>51</v>
      </c>
      <c r="J2340" s="6" t="s">
        <v>121</v>
      </c>
      <c r="K2340" s="6" t="s">
        <v>139</v>
      </c>
      <c r="L2340" s="11">
        <f>F2340*Controls!$B$6</f>
        <v>13</v>
      </c>
      <c r="M2340" s="11">
        <f>G2340*Controls!$B$6</f>
        <v>1625</v>
      </c>
      <c r="N2340" s="12">
        <f>IF(L2340=0,0,SUMIFS('PSI Plan'!$N$6:$N$173,'PSI Plan'!$B$6:$B$173,B2340,'PSI Plan'!$C$6:$C$173,I2340))</f>
        <v>0</v>
      </c>
      <c r="O2340" s="11">
        <f t="shared" si="72"/>
        <v>0</v>
      </c>
      <c r="P2340" s="11">
        <f t="shared" si="73"/>
        <v>0</v>
      </c>
      <c r="Q2340" s="6"/>
      <c r="R2340" s="6"/>
      <c r="S2340" s="6"/>
      <c r="T2340" s="6"/>
    </row>
    <row r="2341" spans="1:20">
      <c r="A2341" s="6" t="s">
        <v>2507</v>
      </c>
      <c r="B2341" s="6" t="s">
        <v>77</v>
      </c>
      <c r="C2341" s="6" t="s">
        <v>90</v>
      </c>
      <c r="D2341" s="6" t="s">
        <v>119</v>
      </c>
      <c r="E2341" s="6" t="s">
        <v>120</v>
      </c>
      <c r="F2341" s="7">
        <v>13</v>
      </c>
      <c r="G2341" s="7">
        <v>1625</v>
      </c>
      <c r="H2341" s="16">
        <v>45274</v>
      </c>
      <c r="I2341" s="6">
        <v>50</v>
      </c>
      <c r="J2341" s="6" t="s">
        <v>121</v>
      </c>
      <c r="K2341" s="6" t="s">
        <v>139</v>
      </c>
      <c r="L2341" s="11">
        <f>F2341*Controls!$B$6</f>
        <v>13</v>
      </c>
      <c r="M2341" s="11">
        <f>G2341*Controls!$B$6</f>
        <v>1625</v>
      </c>
      <c r="N2341" s="12">
        <f>IF(L2341=0,0,SUMIFS('PSI Plan'!$N$6:$N$173,'PSI Plan'!$B$6:$B$173,B2341,'PSI Plan'!$C$6:$C$173,I2341))</f>
        <v>0</v>
      </c>
      <c r="O2341" s="11">
        <f t="shared" si="72"/>
        <v>0</v>
      </c>
      <c r="P2341" s="11">
        <f t="shared" si="73"/>
        <v>0</v>
      </c>
      <c r="Q2341" s="6"/>
      <c r="R2341" s="6"/>
      <c r="S2341" s="6"/>
      <c r="T2341" s="6"/>
    </row>
    <row r="2342" spans="1:20">
      <c r="A2342" s="6" t="s">
        <v>2508</v>
      </c>
      <c r="B2342" s="6" t="s">
        <v>69</v>
      </c>
      <c r="C2342" s="6" t="s">
        <v>90</v>
      </c>
      <c r="D2342" s="6" t="s">
        <v>119</v>
      </c>
      <c r="E2342" s="6" t="s">
        <v>120</v>
      </c>
      <c r="F2342" s="7">
        <v>13</v>
      </c>
      <c r="G2342" s="7">
        <v>1625</v>
      </c>
      <c r="H2342" s="16">
        <v>45220</v>
      </c>
      <c r="I2342" s="6">
        <v>42</v>
      </c>
      <c r="J2342" s="6" t="s">
        <v>121</v>
      </c>
      <c r="K2342" s="6" t="s">
        <v>139</v>
      </c>
      <c r="L2342" s="11">
        <f>F2342*Controls!$B$6</f>
        <v>13</v>
      </c>
      <c r="M2342" s="11">
        <f>G2342*Controls!$B$6</f>
        <v>1625</v>
      </c>
      <c r="N2342" s="12">
        <f>IF(L2342=0,0,SUMIFS('PSI Plan'!$N$6:$N$173,'PSI Plan'!$B$6:$B$173,B2342,'PSI Plan'!$C$6:$C$173,I2342))</f>
        <v>0</v>
      </c>
      <c r="O2342" s="11">
        <f t="shared" si="72"/>
        <v>0</v>
      </c>
      <c r="P2342" s="11">
        <f t="shared" si="73"/>
        <v>0</v>
      </c>
      <c r="Q2342" s="6"/>
      <c r="R2342" s="6"/>
      <c r="S2342" s="6"/>
      <c r="T2342" s="6"/>
    </row>
    <row r="2343" spans="1:20">
      <c r="A2343" s="6" t="s">
        <v>2509</v>
      </c>
      <c r="B2343" s="6" t="s">
        <v>66</v>
      </c>
      <c r="C2343" s="6" t="s">
        <v>90</v>
      </c>
      <c r="D2343" s="6" t="s">
        <v>119</v>
      </c>
      <c r="E2343" s="6" t="s">
        <v>120</v>
      </c>
      <c r="F2343" s="7">
        <v>13</v>
      </c>
      <c r="G2343" s="7">
        <v>1625</v>
      </c>
      <c r="H2343" s="16">
        <v>45207</v>
      </c>
      <c r="I2343" s="6">
        <v>41</v>
      </c>
      <c r="J2343" s="6" t="s">
        <v>121</v>
      </c>
      <c r="K2343" s="6" t="s">
        <v>171</v>
      </c>
      <c r="L2343" s="11">
        <f>F2343*Controls!$B$6</f>
        <v>13</v>
      </c>
      <c r="M2343" s="11">
        <f>G2343*Controls!$B$6</f>
        <v>1625</v>
      </c>
      <c r="N2343" s="12">
        <f>IF(L2343=0,0,SUMIFS('PSI Plan'!$N$6:$N$173,'PSI Plan'!$B$6:$B$173,B2343,'PSI Plan'!$C$6:$C$173,I2343))</f>
        <v>0.22897465437788017</v>
      </c>
      <c r="O2343" s="11">
        <f t="shared" si="72"/>
        <v>2.9766705069124422</v>
      </c>
      <c r="P2343" s="11">
        <f t="shared" si="73"/>
        <v>372.08381336405529</v>
      </c>
      <c r="Q2343" s="6"/>
      <c r="R2343" s="6"/>
      <c r="S2343" s="6"/>
      <c r="T2343" s="6"/>
    </row>
    <row r="2344" spans="1:20">
      <c r="A2344" s="6" t="s">
        <v>2510</v>
      </c>
      <c r="B2344" s="6" t="s">
        <v>77</v>
      </c>
      <c r="C2344" s="6" t="s">
        <v>90</v>
      </c>
      <c r="D2344" s="6" t="s">
        <v>119</v>
      </c>
      <c r="E2344" s="6" t="s">
        <v>120</v>
      </c>
      <c r="F2344" s="7">
        <v>13</v>
      </c>
      <c r="G2344" s="7">
        <v>1625</v>
      </c>
      <c r="H2344" s="16">
        <v>45238</v>
      </c>
      <c r="I2344" s="6">
        <v>45</v>
      </c>
      <c r="J2344" s="6" t="s">
        <v>121</v>
      </c>
      <c r="K2344" s="6" t="s">
        <v>171</v>
      </c>
      <c r="L2344" s="11">
        <f>F2344*Controls!$B$6</f>
        <v>13</v>
      </c>
      <c r="M2344" s="11">
        <f>G2344*Controls!$B$6</f>
        <v>1625</v>
      </c>
      <c r="N2344" s="12">
        <f>IF(L2344=0,0,SUMIFS('PSI Plan'!$N$6:$N$173,'PSI Plan'!$B$6:$B$173,B2344,'PSI Plan'!$C$6:$C$173,I2344))</f>
        <v>0</v>
      </c>
      <c r="O2344" s="11">
        <f t="shared" si="72"/>
        <v>0</v>
      </c>
      <c r="P2344" s="11">
        <f t="shared" si="73"/>
        <v>0</v>
      </c>
      <c r="Q2344" s="6"/>
      <c r="R2344" s="6"/>
      <c r="S2344" s="6"/>
      <c r="T2344" s="6"/>
    </row>
    <row r="2345" spans="1:20">
      <c r="A2345" s="6" t="s">
        <v>2511</v>
      </c>
      <c r="B2345" s="6" t="s">
        <v>69</v>
      </c>
      <c r="C2345" s="6" t="s">
        <v>90</v>
      </c>
      <c r="D2345" s="6" t="s">
        <v>119</v>
      </c>
      <c r="E2345" s="6" t="s">
        <v>120</v>
      </c>
      <c r="F2345" s="7">
        <v>13</v>
      </c>
      <c r="G2345" s="7">
        <v>1625</v>
      </c>
      <c r="H2345" s="16">
        <v>45264</v>
      </c>
      <c r="I2345" s="6">
        <v>49</v>
      </c>
      <c r="J2345" s="6" t="s">
        <v>121</v>
      </c>
      <c r="K2345" s="6" t="s">
        <v>171</v>
      </c>
      <c r="L2345" s="11">
        <f>F2345*Controls!$B$6</f>
        <v>13</v>
      </c>
      <c r="M2345" s="11">
        <f>G2345*Controls!$B$6</f>
        <v>1625</v>
      </c>
      <c r="N2345" s="12">
        <f>IF(L2345=0,0,SUMIFS('PSI Plan'!$N$6:$N$173,'PSI Plan'!$B$6:$B$173,B2345,'PSI Plan'!$C$6:$C$173,I2345))</f>
        <v>0</v>
      </c>
      <c r="O2345" s="11">
        <f t="shared" si="72"/>
        <v>0</v>
      </c>
      <c r="P2345" s="11">
        <f t="shared" si="73"/>
        <v>0</v>
      </c>
      <c r="Q2345" s="6"/>
      <c r="R2345" s="6"/>
      <c r="S2345" s="6"/>
      <c r="T2345" s="6"/>
    </row>
    <row r="2346" spans="1:20">
      <c r="A2346" s="6" t="s">
        <v>2512</v>
      </c>
      <c r="B2346" s="6" t="s">
        <v>66</v>
      </c>
      <c r="C2346" s="6" t="s">
        <v>100</v>
      </c>
      <c r="D2346" s="6" t="s">
        <v>567</v>
      </c>
      <c r="E2346" s="6" t="s">
        <v>120</v>
      </c>
      <c r="F2346" s="7">
        <v>8</v>
      </c>
      <c r="G2346" s="7">
        <v>1000</v>
      </c>
      <c r="H2346" s="16">
        <v>45264</v>
      </c>
      <c r="I2346" s="6">
        <v>49</v>
      </c>
      <c r="J2346" s="6" t="s">
        <v>121</v>
      </c>
      <c r="K2346" s="6" t="s">
        <v>568</v>
      </c>
      <c r="L2346" s="11">
        <f>F2346*Controls!$B$6</f>
        <v>8</v>
      </c>
      <c r="M2346" s="11">
        <f>G2346*Controls!$B$6</f>
        <v>1000</v>
      </c>
      <c r="N2346" s="12">
        <f>IF(L2346=0,0,SUMIFS('PSI Plan'!$N$6:$N$173,'PSI Plan'!$B$6:$B$173,B2346,'PSI Plan'!$C$6:$C$173,I2346))</f>
        <v>0</v>
      </c>
      <c r="O2346" s="11">
        <f t="shared" si="72"/>
        <v>0</v>
      </c>
      <c r="P2346" s="11">
        <f t="shared" si="73"/>
        <v>0</v>
      </c>
      <c r="Q2346" s="6"/>
      <c r="R2346" s="6"/>
      <c r="S2346" s="6"/>
      <c r="T2346" s="6"/>
    </row>
    <row r="2347" spans="1:20">
      <c r="A2347" s="6" t="s">
        <v>2513</v>
      </c>
      <c r="B2347" s="6" t="s">
        <v>76</v>
      </c>
      <c r="C2347" s="6" t="s">
        <v>100</v>
      </c>
      <c r="D2347" s="6" t="s">
        <v>567</v>
      </c>
      <c r="E2347" s="6" t="s">
        <v>120</v>
      </c>
      <c r="F2347" s="7">
        <v>8</v>
      </c>
      <c r="G2347" s="7">
        <v>1000</v>
      </c>
      <c r="H2347" s="16">
        <v>45213</v>
      </c>
      <c r="I2347" s="6">
        <v>41</v>
      </c>
      <c r="J2347" s="6" t="s">
        <v>121</v>
      </c>
      <c r="K2347" s="6" t="s">
        <v>568</v>
      </c>
      <c r="L2347" s="11">
        <f>F2347*Controls!$B$6</f>
        <v>8</v>
      </c>
      <c r="M2347" s="11">
        <f>G2347*Controls!$B$6</f>
        <v>1000</v>
      </c>
      <c r="N2347" s="12">
        <f>IF(L2347=0,0,SUMIFS('PSI Plan'!$N$6:$N$173,'PSI Plan'!$B$6:$B$173,B2347,'PSI Plan'!$C$6:$C$173,I2347))</f>
        <v>0</v>
      </c>
      <c r="O2347" s="11">
        <f t="shared" si="72"/>
        <v>0</v>
      </c>
      <c r="P2347" s="11">
        <f t="shared" si="73"/>
        <v>0</v>
      </c>
      <c r="Q2347" s="6"/>
      <c r="R2347" s="6"/>
      <c r="S2347" s="6"/>
      <c r="T2347" s="6"/>
    </row>
    <row r="2348" spans="1:20">
      <c r="A2348" s="6" t="s">
        <v>2514</v>
      </c>
      <c r="B2348" s="6" t="s">
        <v>67</v>
      </c>
      <c r="C2348" s="6" t="s">
        <v>100</v>
      </c>
      <c r="D2348" s="6" t="s">
        <v>567</v>
      </c>
      <c r="E2348" s="6" t="s">
        <v>120</v>
      </c>
      <c r="F2348" s="7">
        <v>4</v>
      </c>
      <c r="G2348" s="7">
        <v>500</v>
      </c>
      <c r="H2348" s="16">
        <v>45225</v>
      </c>
      <c r="I2348" s="6">
        <v>43</v>
      </c>
      <c r="J2348" s="6" t="s">
        <v>121</v>
      </c>
      <c r="K2348" s="6" t="s">
        <v>568</v>
      </c>
      <c r="L2348" s="11">
        <f>F2348*Controls!$B$6</f>
        <v>4</v>
      </c>
      <c r="M2348" s="11">
        <f>G2348*Controls!$B$6</f>
        <v>500</v>
      </c>
      <c r="N2348" s="12">
        <f>IF(L2348=0,0,SUMIFS('PSI Plan'!$N$6:$N$173,'PSI Plan'!$B$6:$B$173,B2348,'PSI Plan'!$C$6:$C$173,I2348))</f>
        <v>0</v>
      </c>
      <c r="O2348" s="11">
        <f t="shared" si="72"/>
        <v>0</v>
      </c>
      <c r="P2348" s="11">
        <f t="shared" si="73"/>
        <v>0</v>
      </c>
      <c r="Q2348" s="6"/>
      <c r="R2348" s="6"/>
      <c r="S2348" s="6"/>
      <c r="T2348" s="6"/>
    </row>
    <row r="2349" spans="1:20">
      <c r="A2349" s="6" t="s">
        <v>2515</v>
      </c>
      <c r="B2349" s="6" t="s">
        <v>69</v>
      </c>
      <c r="C2349" s="6" t="s">
        <v>100</v>
      </c>
      <c r="D2349" s="6" t="s">
        <v>567</v>
      </c>
      <c r="E2349" s="6" t="s">
        <v>120</v>
      </c>
      <c r="F2349" s="7">
        <v>12</v>
      </c>
      <c r="G2349" s="7">
        <v>1500</v>
      </c>
      <c r="H2349" s="16">
        <v>45273</v>
      </c>
      <c r="I2349" s="6">
        <v>50</v>
      </c>
      <c r="J2349" s="6" t="s">
        <v>121</v>
      </c>
      <c r="K2349" s="6" t="s">
        <v>568</v>
      </c>
      <c r="L2349" s="11">
        <f>F2349*Controls!$B$6</f>
        <v>12</v>
      </c>
      <c r="M2349" s="11">
        <f>G2349*Controls!$B$6</f>
        <v>1500</v>
      </c>
      <c r="N2349" s="12">
        <f>IF(L2349=0,0,SUMIFS('PSI Plan'!$N$6:$N$173,'PSI Plan'!$B$6:$B$173,B2349,'PSI Plan'!$C$6:$C$173,I2349))</f>
        <v>0</v>
      </c>
      <c r="O2349" s="11">
        <f t="shared" si="72"/>
        <v>0</v>
      </c>
      <c r="P2349" s="11">
        <f t="shared" si="73"/>
        <v>0</v>
      </c>
      <c r="Q2349" s="6"/>
      <c r="R2349" s="6"/>
      <c r="S2349" s="6"/>
      <c r="T2349" s="6"/>
    </row>
    <row r="2350" spans="1:20">
      <c r="A2350" s="6" t="s">
        <v>2516</v>
      </c>
      <c r="B2350" s="6" t="s">
        <v>77</v>
      </c>
      <c r="C2350" s="6" t="s">
        <v>100</v>
      </c>
      <c r="D2350" s="6" t="s">
        <v>567</v>
      </c>
      <c r="E2350" s="6" t="s">
        <v>120</v>
      </c>
      <c r="F2350" s="7">
        <v>8</v>
      </c>
      <c r="G2350" s="7">
        <v>1000</v>
      </c>
      <c r="H2350" s="16">
        <v>45279</v>
      </c>
      <c r="I2350" s="6">
        <v>51</v>
      </c>
      <c r="J2350" s="6" t="s">
        <v>121</v>
      </c>
      <c r="K2350" s="6" t="s">
        <v>568</v>
      </c>
      <c r="L2350" s="11">
        <f>F2350*Controls!$B$6</f>
        <v>8</v>
      </c>
      <c r="M2350" s="11">
        <f>G2350*Controls!$B$6</f>
        <v>1000</v>
      </c>
      <c r="N2350" s="12">
        <f>IF(L2350=0,0,SUMIFS('PSI Plan'!$N$6:$N$173,'PSI Plan'!$B$6:$B$173,B2350,'PSI Plan'!$C$6:$C$173,I2350))</f>
        <v>0</v>
      </c>
      <c r="O2350" s="11">
        <f t="shared" si="72"/>
        <v>0</v>
      </c>
      <c r="P2350" s="11">
        <f t="shared" si="73"/>
        <v>0</v>
      </c>
      <c r="Q2350" s="6"/>
      <c r="R2350" s="6"/>
      <c r="S2350" s="6"/>
      <c r="T2350" s="6"/>
    </row>
    <row r="2351" spans="1:20">
      <c r="A2351" s="6" t="s">
        <v>2517</v>
      </c>
      <c r="B2351" s="6" t="s">
        <v>66</v>
      </c>
      <c r="C2351" s="6" t="s">
        <v>99</v>
      </c>
      <c r="D2351" s="6" t="s">
        <v>319</v>
      </c>
      <c r="E2351" s="6" t="s">
        <v>120</v>
      </c>
      <c r="F2351" s="7">
        <v>169</v>
      </c>
      <c r="G2351" s="7">
        <v>21125</v>
      </c>
      <c r="H2351" s="16">
        <v>45273</v>
      </c>
      <c r="I2351" s="6">
        <v>50</v>
      </c>
      <c r="J2351" s="6" t="s">
        <v>121</v>
      </c>
      <c r="K2351" s="6" t="s">
        <v>344</v>
      </c>
      <c r="L2351" s="11">
        <f>F2351*Controls!$B$6</f>
        <v>169</v>
      </c>
      <c r="M2351" s="11">
        <f>G2351*Controls!$B$6</f>
        <v>21125</v>
      </c>
      <c r="N2351" s="12">
        <f>IF(L2351=0,0,SUMIFS('PSI Plan'!$N$6:$N$173,'PSI Plan'!$B$6:$B$173,B2351,'PSI Plan'!$C$6:$C$173,I2351))</f>
        <v>0</v>
      </c>
      <c r="O2351" s="11">
        <f t="shared" si="72"/>
        <v>0</v>
      </c>
      <c r="P2351" s="11">
        <f t="shared" si="73"/>
        <v>0</v>
      </c>
      <c r="Q2351" s="6"/>
      <c r="R2351" s="6"/>
      <c r="S2351" s="6"/>
      <c r="T2351" s="6"/>
    </row>
    <row r="2352" spans="1:20">
      <c r="A2352" s="6" t="s">
        <v>2518</v>
      </c>
      <c r="B2352" s="6" t="s">
        <v>77</v>
      </c>
      <c r="C2352" s="6" t="s">
        <v>99</v>
      </c>
      <c r="D2352" s="6" t="s">
        <v>319</v>
      </c>
      <c r="E2352" s="6" t="s">
        <v>120</v>
      </c>
      <c r="F2352" s="7">
        <v>169</v>
      </c>
      <c r="G2352" s="7">
        <v>21125</v>
      </c>
      <c r="H2352" s="16">
        <v>45234</v>
      </c>
      <c r="I2352" s="6">
        <v>44</v>
      </c>
      <c r="J2352" s="6" t="s">
        <v>121</v>
      </c>
      <c r="K2352" s="6" t="s">
        <v>344</v>
      </c>
      <c r="L2352" s="11">
        <f>F2352*Controls!$B$6</f>
        <v>169</v>
      </c>
      <c r="M2352" s="11">
        <f>G2352*Controls!$B$6</f>
        <v>21125</v>
      </c>
      <c r="N2352" s="12">
        <f>IF(L2352=0,0,SUMIFS('PSI Plan'!$N$6:$N$173,'PSI Plan'!$B$6:$B$173,B2352,'PSI Plan'!$C$6:$C$173,I2352))</f>
        <v>0</v>
      </c>
      <c r="O2352" s="11">
        <f t="shared" si="72"/>
        <v>0</v>
      </c>
      <c r="P2352" s="11">
        <f t="shared" si="73"/>
        <v>0</v>
      </c>
      <c r="Q2352" s="6"/>
      <c r="R2352" s="6"/>
      <c r="S2352" s="6"/>
      <c r="T2352" s="6"/>
    </row>
    <row r="2353" spans="1:20">
      <c r="A2353" s="6" t="s">
        <v>2519</v>
      </c>
      <c r="B2353" s="6" t="s">
        <v>67</v>
      </c>
      <c r="C2353" s="6" t="s">
        <v>99</v>
      </c>
      <c r="D2353" s="6" t="s">
        <v>319</v>
      </c>
      <c r="E2353" s="6" t="s">
        <v>120</v>
      </c>
      <c r="F2353" s="7">
        <v>170</v>
      </c>
      <c r="G2353" s="7">
        <v>21250</v>
      </c>
      <c r="H2353" s="16">
        <v>45227</v>
      </c>
      <c r="I2353" s="6">
        <v>43</v>
      </c>
      <c r="J2353" s="6" t="s">
        <v>121</v>
      </c>
      <c r="K2353" s="6" t="s">
        <v>344</v>
      </c>
      <c r="L2353" s="11">
        <f>F2353*Controls!$B$6</f>
        <v>170</v>
      </c>
      <c r="M2353" s="11">
        <f>G2353*Controls!$B$6</f>
        <v>21250</v>
      </c>
      <c r="N2353" s="12">
        <f>IF(L2353=0,0,SUMIFS('PSI Plan'!$N$6:$N$173,'PSI Plan'!$B$6:$B$173,B2353,'PSI Plan'!$C$6:$C$173,I2353))</f>
        <v>0</v>
      </c>
      <c r="O2353" s="11">
        <f t="shared" si="72"/>
        <v>0</v>
      </c>
      <c r="P2353" s="11">
        <f t="shared" si="73"/>
        <v>0</v>
      </c>
      <c r="Q2353" s="6"/>
      <c r="R2353" s="6"/>
      <c r="S2353" s="6"/>
      <c r="T2353" s="6"/>
    </row>
    <row r="2354" spans="1:20">
      <c r="A2354" s="6" t="s">
        <v>2520</v>
      </c>
      <c r="B2354" s="6" t="s">
        <v>69</v>
      </c>
      <c r="C2354" s="6" t="s">
        <v>99</v>
      </c>
      <c r="D2354" s="6" t="s">
        <v>319</v>
      </c>
      <c r="E2354" s="6" t="s">
        <v>120</v>
      </c>
      <c r="F2354" s="7">
        <v>169</v>
      </c>
      <c r="G2354" s="7">
        <v>21125</v>
      </c>
      <c r="H2354" s="16">
        <v>45263</v>
      </c>
      <c r="I2354" s="6">
        <v>49</v>
      </c>
      <c r="J2354" s="6" t="s">
        <v>121</v>
      </c>
      <c r="K2354" s="6" t="s">
        <v>344</v>
      </c>
      <c r="L2354" s="11">
        <f>F2354*Controls!$B$6</f>
        <v>169</v>
      </c>
      <c r="M2354" s="11">
        <f>G2354*Controls!$B$6</f>
        <v>21125</v>
      </c>
      <c r="N2354" s="12">
        <f>IF(L2354=0,0,SUMIFS('PSI Plan'!$N$6:$N$173,'PSI Plan'!$B$6:$B$173,B2354,'PSI Plan'!$C$6:$C$173,I2354))</f>
        <v>0</v>
      </c>
      <c r="O2354" s="11">
        <f t="shared" si="72"/>
        <v>0</v>
      </c>
      <c r="P2354" s="11">
        <f t="shared" si="73"/>
        <v>0</v>
      </c>
      <c r="Q2354" s="6"/>
      <c r="R2354" s="6"/>
      <c r="S2354" s="6"/>
      <c r="T2354" s="6"/>
    </row>
    <row r="2355" spans="1:20">
      <c r="A2355" s="6" t="s">
        <v>2521</v>
      </c>
      <c r="B2355" s="6" t="s">
        <v>66</v>
      </c>
      <c r="C2355" s="6" t="s">
        <v>99</v>
      </c>
      <c r="D2355" s="6" t="s">
        <v>319</v>
      </c>
      <c r="E2355" s="6" t="s">
        <v>120</v>
      </c>
      <c r="F2355" s="7">
        <v>88</v>
      </c>
      <c r="G2355" s="7">
        <v>11000</v>
      </c>
      <c r="H2355" s="16">
        <v>45208</v>
      </c>
      <c r="I2355" s="6">
        <v>41</v>
      </c>
      <c r="J2355" s="6" t="s">
        <v>121</v>
      </c>
      <c r="K2355" s="6" t="s">
        <v>324</v>
      </c>
      <c r="L2355" s="11">
        <f>F2355*Controls!$B$6</f>
        <v>88</v>
      </c>
      <c r="M2355" s="11">
        <f>G2355*Controls!$B$6</f>
        <v>11000</v>
      </c>
      <c r="N2355" s="12">
        <f>IF(L2355=0,0,SUMIFS('PSI Plan'!$N$6:$N$173,'PSI Plan'!$B$6:$B$173,B2355,'PSI Plan'!$C$6:$C$173,I2355))</f>
        <v>0.22897465437788017</v>
      </c>
      <c r="O2355" s="11">
        <f t="shared" si="72"/>
        <v>20.149769585253456</v>
      </c>
      <c r="P2355" s="11">
        <f t="shared" si="73"/>
        <v>2518.721198156682</v>
      </c>
      <c r="Q2355" s="6"/>
      <c r="R2355" s="6"/>
      <c r="S2355" s="6"/>
      <c r="T2355" s="6"/>
    </row>
    <row r="2356" spans="1:20">
      <c r="A2356" s="6" t="s">
        <v>2522</v>
      </c>
      <c r="B2356" s="6" t="s">
        <v>77</v>
      </c>
      <c r="C2356" s="6" t="s">
        <v>99</v>
      </c>
      <c r="D2356" s="6" t="s">
        <v>319</v>
      </c>
      <c r="E2356" s="6" t="s">
        <v>120</v>
      </c>
      <c r="F2356" s="7">
        <v>88</v>
      </c>
      <c r="G2356" s="7">
        <v>11000</v>
      </c>
      <c r="H2356" s="16">
        <v>45223</v>
      </c>
      <c r="I2356" s="6">
        <v>43</v>
      </c>
      <c r="J2356" s="6" t="s">
        <v>121</v>
      </c>
      <c r="K2356" s="6" t="s">
        <v>324</v>
      </c>
      <c r="L2356" s="11">
        <f>F2356*Controls!$B$6</f>
        <v>88</v>
      </c>
      <c r="M2356" s="11">
        <f>G2356*Controls!$B$6</f>
        <v>11000</v>
      </c>
      <c r="N2356" s="12">
        <f>IF(L2356=0,0,SUMIFS('PSI Plan'!$N$6:$N$173,'PSI Plan'!$B$6:$B$173,B2356,'PSI Plan'!$C$6:$C$173,I2356))</f>
        <v>0</v>
      </c>
      <c r="O2356" s="11">
        <f t="shared" si="72"/>
        <v>0</v>
      </c>
      <c r="P2356" s="11">
        <f t="shared" si="73"/>
        <v>0</v>
      </c>
      <c r="Q2356" s="6"/>
      <c r="R2356" s="6"/>
      <c r="S2356" s="6"/>
      <c r="T2356" s="6"/>
    </row>
    <row r="2357" spans="1:20">
      <c r="A2357" s="6" t="s">
        <v>2523</v>
      </c>
      <c r="B2357" s="6" t="s">
        <v>67</v>
      </c>
      <c r="C2357" s="6" t="s">
        <v>99</v>
      </c>
      <c r="D2357" s="6" t="s">
        <v>319</v>
      </c>
      <c r="E2357" s="6" t="s">
        <v>120</v>
      </c>
      <c r="F2357" s="7">
        <v>88</v>
      </c>
      <c r="G2357" s="7">
        <v>11000</v>
      </c>
      <c r="H2357" s="16">
        <v>45289</v>
      </c>
      <c r="I2357" s="6">
        <v>52</v>
      </c>
      <c r="J2357" s="6" t="s">
        <v>121</v>
      </c>
      <c r="K2357" s="6" t="s">
        <v>324</v>
      </c>
      <c r="L2357" s="11">
        <f>F2357*Controls!$B$6</f>
        <v>88</v>
      </c>
      <c r="M2357" s="11">
        <f>G2357*Controls!$B$6</f>
        <v>11000</v>
      </c>
      <c r="N2357" s="12">
        <f>IF(L2357=0,0,SUMIFS('PSI Plan'!$N$6:$N$173,'PSI Plan'!$B$6:$B$173,B2357,'PSI Plan'!$C$6:$C$173,I2357))</f>
        <v>0</v>
      </c>
      <c r="O2357" s="11">
        <f t="shared" si="72"/>
        <v>0</v>
      </c>
      <c r="P2357" s="11">
        <f t="shared" si="73"/>
        <v>0</v>
      </c>
      <c r="Q2357" s="6"/>
      <c r="R2357" s="6"/>
      <c r="S2357" s="6"/>
      <c r="T2357" s="6"/>
    </row>
    <row r="2358" spans="1:20">
      <c r="A2358" s="6" t="s">
        <v>2524</v>
      </c>
      <c r="B2358" s="6" t="s">
        <v>69</v>
      </c>
      <c r="C2358" s="6" t="s">
        <v>99</v>
      </c>
      <c r="D2358" s="6" t="s">
        <v>319</v>
      </c>
      <c r="E2358" s="6" t="s">
        <v>120</v>
      </c>
      <c r="F2358" s="7">
        <v>88</v>
      </c>
      <c r="G2358" s="7">
        <v>11000</v>
      </c>
      <c r="H2358" s="16">
        <v>45218</v>
      </c>
      <c r="I2358" s="6">
        <v>42</v>
      </c>
      <c r="J2358" s="6" t="s">
        <v>121</v>
      </c>
      <c r="K2358" s="6" t="s">
        <v>324</v>
      </c>
      <c r="L2358" s="11">
        <f>F2358*Controls!$B$6</f>
        <v>88</v>
      </c>
      <c r="M2358" s="11">
        <f>G2358*Controls!$B$6</f>
        <v>11000</v>
      </c>
      <c r="N2358" s="12">
        <f>IF(L2358=0,0,SUMIFS('PSI Plan'!$N$6:$N$173,'PSI Plan'!$B$6:$B$173,B2358,'PSI Plan'!$C$6:$C$173,I2358))</f>
        <v>0</v>
      </c>
      <c r="O2358" s="11">
        <f t="shared" si="72"/>
        <v>0</v>
      </c>
      <c r="P2358" s="11">
        <f t="shared" si="73"/>
        <v>0</v>
      </c>
      <c r="Q2358" s="6"/>
      <c r="R2358" s="6"/>
      <c r="S2358" s="6"/>
      <c r="T2358" s="6"/>
    </row>
    <row r="2359" spans="1:20">
      <c r="A2359" s="6" t="s">
        <v>2525</v>
      </c>
      <c r="B2359" s="6" t="s">
        <v>66</v>
      </c>
      <c r="C2359" s="6" t="s">
        <v>100</v>
      </c>
      <c r="D2359" s="6" t="s">
        <v>567</v>
      </c>
      <c r="E2359" s="6" t="s">
        <v>120</v>
      </c>
      <c r="F2359" s="7">
        <v>18</v>
      </c>
      <c r="G2359" s="7">
        <v>2250</v>
      </c>
      <c r="H2359" s="16">
        <v>45242</v>
      </c>
      <c r="I2359" s="6">
        <v>46</v>
      </c>
      <c r="J2359" s="6" t="s">
        <v>2151</v>
      </c>
      <c r="K2359" s="6" t="s">
        <v>2526</v>
      </c>
      <c r="L2359" s="11">
        <f>F2359*Controls!$B$6</f>
        <v>18</v>
      </c>
      <c r="M2359" s="11">
        <f>G2359*Controls!$B$6</f>
        <v>2250</v>
      </c>
      <c r="N2359" s="12">
        <f>IF(L2359=0,0,SUMIFS('PSI Plan'!$N$6:$N$173,'PSI Plan'!$B$6:$B$173,B2359,'PSI Plan'!$C$6:$C$173,I2359))</f>
        <v>0</v>
      </c>
      <c r="O2359" s="11">
        <f t="shared" si="72"/>
        <v>0</v>
      </c>
      <c r="P2359" s="11">
        <f t="shared" si="73"/>
        <v>0</v>
      </c>
      <c r="Q2359" s="6"/>
      <c r="R2359" s="6"/>
      <c r="S2359" s="6"/>
      <c r="T2359" s="6"/>
    </row>
    <row r="2360" spans="1:20">
      <c r="A2360" s="6" t="s">
        <v>2527</v>
      </c>
      <c r="B2360" s="6" t="s">
        <v>66</v>
      </c>
      <c r="C2360" s="6" t="s">
        <v>100</v>
      </c>
      <c r="D2360" s="6" t="s">
        <v>567</v>
      </c>
      <c r="E2360" s="6" t="s">
        <v>120</v>
      </c>
      <c r="F2360" s="7">
        <v>7</v>
      </c>
      <c r="G2360" s="7">
        <v>875</v>
      </c>
      <c r="H2360" s="16">
        <v>45243</v>
      </c>
      <c r="I2360" s="6">
        <v>46</v>
      </c>
      <c r="J2360" s="6" t="s">
        <v>2151</v>
      </c>
      <c r="K2360" s="6" t="s">
        <v>2526</v>
      </c>
      <c r="L2360" s="11">
        <f>F2360*Controls!$B$6</f>
        <v>7</v>
      </c>
      <c r="M2360" s="11">
        <f>G2360*Controls!$B$6</f>
        <v>875</v>
      </c>
      <c r="N2360" s="12">
        <f>IF(L2360=0,0,SUMIFS('PSI Plan'!$N$6:$N$173,'PSI Plan'!$B$6:$B$173,B2360,'PSI Plan'!$C$6:$C$173,I2360))</f>
        <v>0</v>
      </c>
      <c r="O2360" s="11">
        <f t="shared" si="72"/>
        <v>0</v>
      </c>
      <c r="P2360" s="11">
        <f t="shared" si="73"/>
        <v>0</v>
      </c>
      <c r="Q2360" s="6"/>
      <c r="R2360" s="6"/>
      <c r="S2360" s="6"/>
      <c r="T2360" s="6"/>
    </row>
    <row r="2361" spans="1:20">
      <c r="A2361" s="6" t="s">
        <v>2528</v>
      </c>
      <c r="B2361" s="6" t="s">
        <v>67</v>
      </c>
      <c r="C2361" s="6" t="s">
        <v>100</v>
      </c>
      <c r="D2361" s="6" t="s">
        <v>567</v>
      </c>
      <c r="E2361" s="6" t="s">
        <v>120</v>
      </c>
      <c r="F2361" s="7">
        <v>18</v>
      </c>
      <c r="G2361" s="7">
        <v>2250</v>
      </c>
      <c r="H2361" s="16">
        <v>45209</v>
      </c>
      <c r="I2361" s="6">
        <v>41</v>
      </c>
      <c r="J2361" s="6" t="s">
        <v>2151</v>
      </c>
      <c r="K2361" s="6" t="s">
        <v>2526</v>
      </c>
      <c r="L2361" s="11">
        <f>F2361*Controls!$B$6</f>
        <v>18</v>
      </c>
      <c r="M2361" s="11">
        <f>G2361*Controls!$B$6</f>
        <v>2250</v>
      </c>
      <c r="N2361" s="12">
        <f>IF(L2361=0,0,SUMIFS('PSI Plan'!$N$6:$N$173,'PSI Plan'!$B$6:$B$173,B2361,'PSI Plan'!$C$6:$C$173,I2361))</f>
        <v>0</v>
      </c>
      <c r="O2361" s="11">
        <f t="shared" si="72"/>
        <v>0</v>
      </c>
      <c r="P2361" s="11">
        <f t="shared" si="73"/>
        <v>0</v>
      </c>
      <c r="Q2361" s="6"/>
      <c r="R2361" s="6"/>
      <c r="S2361" s="6"/>
      <c r="T2361" s="6"/>
    </row>
    <row r="2362" spans="1:20">
      <c r="A2362" s="6" t="s">
        <v>2529</v>
      </c>
      <c r="B2362" s="6" t="s">
        <v>69</v>
      </c>
      <c r="C2362" s="6" t="s">
        <v>100</v>
      </c>
      <c r="D2362" s="6" t="s">
        <v>567</v>
      </c>
      <c r="E2362" s="6" t="s">
        <v>120</v>
      </c>
      <c r="F2362" s="7">
        <v>36</v>
      </c>
      <c r="G2362" s="7">
        <v>4500</v>
      </c>
      <c r="H2362" s="16">
        <v>45238</v>
      </c>
      <c r="I2362" s="6">
        <v>45</v>
      </c>
      <c r="J2362" s="6" t="s">
        <v>2151</v>
      </c>
      <c r="K2362" s="6" t="s">
        <v>2526</v>
      </c>
      <c r="L2362" s="11">
        <f>F2362*Controls!$B$6</f>
        <v>36</v>
      </c>
      <c r="M2362" s="11">
        <f>G2362*Controls!$B$6</f>
        <v>4500</v>
      </c>
      <c r="N2362" s="12">
        <f>IF(L2362=0,0,SUMIFS('PSI Plan'!$N$6:$N$173,'PSI Plan'!$B$6:$B$173,B2362,'PSI Plan'!$C$6:$C$173,I2362))</f>
        <v>0</v>
      </c>
      <c r="O2362" s="11">
        <f t="shared" si="72"/>
        <v>0</v>
      </c>
      <c r="P2362" s="11">
        <f t="shared" si="73"/>
        <v>0</v>
      </c>
      <c r="Q2362" s="6"/>
      <c r="R2362" s="6"/>
      <c r="S2362" s="6"/>
      <c r="T2362" s="6"/>
    </row>
    <row r="2363" spans="1:20">
      <c r="A2363" s="6" t="s">
        <v>2530</v>
      </c>
      <c r="B2363" s="6" t="s">
        <v>66</v>
      </c>
      <c r="C2363" s="6" t="s">
        <v>101</v>
      </c>
      <c r="D2363" s="6" t="s">
        <v>1895</v>
      </c>
      <c r="E2363" s="6" t="s">
        <v>120</v>
      </c>
      <c r="F2363" s="7">
        <v>30</v>
      </c>
      <c r="G2363" s="7">
        <v>3750</v>
      </c>
      <c r="H2363" s="16">
        <v>45229</v>
      </c>
      <c r="I2363" s="6">
        <v>44</v>
      </c>
      <c r="J2363" s="6" t="s">
        <v>1791</v>
      </c>
      <c r="K2363" s="6" t="s">
        <v>1896</v>
      </c>
      <c r="L2363" s="11">
        <f>F2363*Controls!$B$6</f>
        <v>30</v>
      </c>
      <c r="M2363" s="11">
        <f>G2363*Controls!$B$6</f>
        <v>3750</v>
      </c>
      <c r="N2363" s="12">
        <f>IF(L2363=0,0,SUMIFS('PSI Plan'!$N$6:$N$173,'PSI Plan'!$B$6:$B$173,B2363,'PSI Plan'!$C$6:$C$173,I2363))</f>
        <v>0</v>
      </c>
      <c r="O2363" s="11">
        <f t="shared" si="72"/>
        <v>0</v>
      </c>
      <c r="P2363" s="11">
        <f t="shared" si="73"/>
        <v>0</v>
      </c>
      <c r="Q2363" s="6"/>
      <c r="R2363" s="6"/>
      <c r="S2363" s="6"/>
      <c r="T2363" s="6"/>
    </row>
    <row r="2364" spans="1:20">
      <c r="A2364" s="6" t="s">
        <v>2531</v>
      </c>
      <c r="B2364" s="6" t="s">
        <v>76</v>
      </c>
      <c r="C2364" s="6" t="s">
        <v>101</v>
      </c>
      <c r="D2364" s="6" t="s">
        <v>1895</v>
      </c>
      <c r="E2364" s="6" t="s">
        <v>120</v>
      </c>
      <c r="F2364" s="7">
        <v>10</v>
      </c>
      <c r="G2364" s="7">
        <v>1250</v>
      </c>
      <c r="H2364" s="16">
        <v>45201</v>
      </c>
      <c r="I2364" s="6">
        <v>40</v>
      </c>
      <c r="J2364" s="6" t="s">
        <v>1791</v>
      </c>
      <c r="K2364" s="6" t="s">
        <v>1896</v>
      </c>
      <c r="L2364" s="11">
        <f>F2364*Controls!$B$6</f>
        <v>10</v>
      </c>
      <c r="M2364" s="11">
        <f>G2364*Controls!$B$6</f>
        <v>1250</v>
      </c>
      <c r="N2364" s="12">
        <f>IF(L2364=0,0,SUMIFS('PSI Plan'!$N$6:$N$173,'PSI Plan'!$B$6:$B$173,B2364,'PSI Plan'!$C$6:$C$173,I2364))</f>
        <v>0</v>
      </c>
      <c r="O2364" s="11">
        <f t="shared" si="72"/>
        <v>0</v>
      </c>
      <c r="P2364" s="11">
        <f t="shared" si="73"/>
        <v>0</v>
      </c>
      <c r="Q2364" s="6"/>
      <c r="R2364" s="6"/>
      <c r="S2364" s="6"/>
      <c r="T2364" s="6"/>
    </row>
    <row r="2365" spans="1:20">
      <c r="A2365" s="6" t="s">
        <v>2532</v>
      </c>
      <c r="B2365" s="6" t="s">
        <v>67</v>
      </c>
      <c r="C2365" s="6" t="s">
        <v>101</v>
      </c>
      <c r="D2365" s="6" t="s">
        <v>1895</v>
      </c>
      <c r="E2365" s="6" t="s">
        <v>120</v>
      </c>
      <c r="F2365" s="7">
        <v>30</v>
      </c>
      <c r="G2365" s="7">
        <v>3750</v>
      </c>
      <c r="H2365" s="16">
        <v>45258</v>
      </c>
      <c r="I2365" s="6">
        <v>48</v>
      </c>
      <c r="J2365" s="6" t="s">
        <v>1791</v>
      </c>
      <c r="K2365" s="6" t="s">
        <v>1896</v>
      </c>
      <c r="L2365" s="11">
        <f>F2365*Controls!$B$6</f>
        <v>30</v>
      </c>
      <c r="M2365" s="11">
        <f>G2365*Controls!$B$6</f>
        <v>3750</v>
      </c>
      <c r="N2365" s="12">
        <f>IF(L2365=0,0,SUMIFS('PSI Plan'!$N$6:$N$173,'PSI Plan'!$B$6:$B$173,B2365,'PSI Plan'!$C$6:$C$173,I2365))</f>
        <v>0</v>
      </c>
      <c r="O2365" s="11">
        <f t="shared" si="72"/>
        <v>0</v>
      </c>
      <c r="P2365" s="11">
        <f t="shared" si="73"/>
        <v>0</v>
      </c>
      <c r="Q2365" s="6"/>
      <c r="R2365" s="6"/>
      <c r="S2365" s="6"/>
      <c r="T2365" s="6"/>
    </row>
    <row r="2366" spans="1:20">
      <c r="A2366" s="6" t="s">
        <v>2533</v>
      </c>
      <c r="B2366" s="6" t="s">
        <v>66</v>
      </c>
      <c r="C2366" s="6" t="s">
        <v>99</v>
      </c>
      <c r="D2366" s="6" t="s">
        <v>319</v>
      </c>
      <c r="E2366" s="6" t="s">
        <v>120</v>
      </c>
      <c r="F2366" s="7">
        <v>125</v>
      </c>
      <c r="G2366" s="7">
        <v>15625</v>
      </c>
      <c r="H2366" s="16">
        <v>45228</v>
      </c>
      <c r="I2366" s="6">
        <v>44</v>
      </c>
      <c r="J2366" s="6" t="s">
        <v>121</v>
      </c>
      <c r="K2366" s="6" t="s">
        <v>361</v>
      </c>
      <c r="L2366" s="11">
        <f>F2366*Controls!$B$6</f>
        <v>125</v>
      </c>
      <c r="M2366" s="11">
        <f>G2366*Controls!$B$6</f>
        <v>15625</v>
      </c>
      <c r="N2366" s="12">
        <f>IF(L2366=0,0,SUMIFS('PSI Plan'!$N$6:$N$173,'PSI Plan'!$B$6:$B$173,B2366,'PSI Plan'!$C$6:$C$173,I2366))</f>
        <v>0</v>
      </c>
      <c r="O2366" s="11">
        <f t="shared" si="72"/>
        <v>0</v>
      </c>
      <c r="P2366" s="11">
        <f t="shared" si="73"/>
        <v>0</v>
      </c>
      <c r="Q2366" s="6"/>
      <c r="R2366" s="6"/>
      <c r="S2366" s="6"/>
      <c r="T2366" s="6"/>
    </row>
    <row r="2367" spans="1:20">
      <c r="A2367" s="6" t="s">
        <v>2534</v>
      </c>
      <c r="B2367" s="6" t="s">
        <v>77</v>
      </c>
      <c r="C2367" s="6" t="s">
        <v>99</v>
      </c>
      <c r="D2367" s="6" t="s">
        <v>319</v>
      </c>
      <c r="E2367" s="6" t="s">
        <v>120</v>
      </c>
      <c r="F2367" s="7">
        <v>125</v>
      </c>
      <c r="G2367" s="7">
        <v>15625</v>
      </c>
      <c r="H2367" s="16">
        <v>45235</v>
      </c>
      <c r="I2367" s="6">
        <v>45</v>
      </c>
      <c r="J2367" s="6" t="s">
        <v>121</v>
      </c>
      <c r="K2367" s="6" t="s">
        <v>361</v>
      </c>
      <c r="L2367" s="11">
        <f>F2367*Controls!$B$6</f>
        <v>125</v>
      </c>
      <c r="M2367" s="11">
        <f>G2367*Controls!$B$6</f>
        <v>15625</v>
      </c>
      <c r="N2367" s="12">
        <f>IF(L2367=0,0,SUMIFS('PSI Plan'!$N$6:$N$173,'PSI Plan'!$B$6:$B$173,B2367,'PSI Plan'!$C$6:$C$173,I2367))</f>
        <v>0</v>
      </c>
      <c r="O2367" s="11">
        <f t="shared" si="72"/>
        <v>0</v>
      </c>
      <c r="P2367" s="11">
        <f t="shared" si="73"/>
        <v>0</v>
      </c>
      <c r="Q2367" s="6"/>
      <c r="R2367" s="6"/>
      <c r="S2367" s="6"/>
      <c r="T2367" s="6"/>
    </row>
    <row r="2368" spans="1:20">
      <c r="A2368" s="6" t="s">
        <v>2535</v>
      </c>
      <c r="B2368" s="6" t="s">
        <v>67</v>
      </c>
      <c r="C2368" s="6" t="s">
        <v>99</v>
      </c>
      <c r="D2368" s="6" t="s">
        <v>319</v>
      </c>
      <c r="E2368" s="6" t="s">
        <v>120</v>
      </c>
      <c r="F2368" s="7">
        <v>126</v>
      </c>
      <c r="G2368" s="7">
        <v>15750</v>
      </c>
      <c r="H2368" s="16">
        <v>45216</v>
      </c>
      <c r="I2368" s="6">
        <v>42</v>
      </c>
      <c r="J2368" s="6" t="s">
        <v>121</v>
      </c>
      <c r="K2368" s="6" t="s">
        <v>361</v>
      </c>
      <c r="L2368" s="11">
        <f>F2368*Controls!$B$6</f>
        <v>126</v>
      </c>
      <c r="M2368" s="11">
        <f>G2368*Controls!$B$6</f>
        <v>15750</v>
      </c>
      <c r="N2368" s="12">
        <f>IF(L2368=0,0,SUMIFS('PSI Plan'!$N$6:$N$173,'PSI Plan'!$B$6:$B$173,B2368,'PSI Plan'!$C$6:$C$173,I2368))</f>
        <v>0</v>
      </c>
      <c r="O2368" s="11">
        <f t="shared" si="72"/>
        <v>0</v>
      </c>
      <c r="P2368" s="11">
        <f t="shared" si="73"/>
        <v>0</v>
      </c>
      <c r="Q2368" s="6"/>
      <c r="R2368" s="6"/>
      <c r="S2368" s="6"/>
      <c r="T2368" s="6"/>
    </row>
    <row r="2369" spans="1:20">
      <c r="A2369" s="6" t="s">
        <v>2536</v>
      </c>
      <c r="B2369" s="6" t="s">
        <v>69</v>
      </c>
      <c r="C2369" s="6" t="s">
        <v>99</v>
      </c>
      <c r="D2369" s="6" t="s">
        <v>319</v>
      </c>
      <c r="E2369" s="6" t="s">
        <v>120</v>
      </c>
      <c r="F2369" s="7">
        <v>125</v>
      </c>
      <c r="G2369" s="7">
        <v>15625</v>
      </c>
      <c r="H2369" s="16">
        <v>45265</v>
      </c>
      <c r="I2369" s="6">
        <v>49</v>
      </c>
      <c r="J2369" s="6" t="s">
        <v>121</v>
      </c>
      <c r="K2369" s="6" t="s">
        <v>361</v>
      </c>
      <c r="L2369" s="11">
        <f>F2369*Controls!$B$6</f>
        <v>125</v>
      </c>
      <c r="M2369" s="11">
        <f>G2369*Controls!$B$6</f>
        <v>15625</v>
      </c>
      <c r="N2369" s="12">
        <f>IF(L2369=0,0,SUMIFS('PSI Plan'!$N$6:$N$173,'PSI Plan'!$B$6:$B$173,B2369,'PSI Plan'!$C$6:$C$173,I2369))</f>
        <v>0</v>
      </c>
      <c r="O2369" s="11">
        <f t="shared" si="72"/>
        <v>0</v>
      </c>
      <c r="P2369" s="11">
        <f t="shared" si="73"/>
        <v>0</v>
      </c>
      <c r="Q2369" s="6"/>
      <c r="R2369" s="6"/>
      <c r="S2369" s="6"/>
      <c r="T2369" s="6"/>
    </row>
    <row r="2370" spans="1:20">
      <c r="A2370" s="6" t="s">
        <v>2537</v>
      </c>
      <c r="B2370" s="6" t="s">
        <v>66</v>
      </c>
      <c r="C2370" s="6" t="s">
        <v>90</v>
      </c>
      <c r="D2370" s="6" t="s">
        <v>119</v>
      </c>
      <c r="E2370" s="6" t="s">
        <v>120</v>
      </c>
      <c r="F2370" s="7">
        <v>26</v>
      </c>
      <c r="G2370" s="7">
        <v>3250</v>
      </c>
      <c r="H2370" s="16">
        <v>45256</v>
      </c>
      <c r="I2370" s="6">
        <v>48</v>
      </c>
      <c r="J2370" s="6" t="s">
        <v>1791</v>
      </c>
      <c r="K2370" s="6" t="s">
        <v>1890</v>
      </c>
      <c r="L2370" s="11">
        <f>F2370*Controls!$B$6</f>
        <v>26</v>
      </c>
      <c r="M2370" s="11">
        <f>G2370*Controls!$B$6</f>
        <v>3250</v>
      </c>
      <c r="N2370" s="12">
        <f>IF(L2370=0,0,SUMIFS('PSI Plan'!$N$6:$N$173,'PSI Plan'!$B$6:$B$173,B2370,'PSI Plan'!$C$6:$C$173,I2370))</f>
        <v>0</v>
      </c>
      <c r="O2370" s="11">
        <f t="shared" ref="O2370:O2433" si="74">L2370*N2370</f>
        <v>0</v>
      </c>
      <c r="P2370" s="11">
        <f t="shared" ref="P2370:P2433" si="75">M2370*N2370</f>
        <v>0</v>
      </c>
      <c r="Q2370" s="6"/>
      <c r="R2370" s="6"/>
      <c r="S2370" s="6"/>
      <c r="T2370" s="6"/>
    </row>
    <row r="2371" spans="1:20">
      <c r="A2371" s="6" t="s">
        <v>2538</v>
      </c>
      <c r="B2371" s="6" t="s">
        <v>66</v>
      </c>
      <c r="C2371" s="6" t="s">
        <v>90</v>
      </c>
      <c r="D2371" s="6" t="s">
        <v>119</v>
      </c>
      <c r="E2371" s="6" t="s">
        <v>120</v>
      </c>
      <c r="F2371" s="7">
        <v>26</v>
      </c>
      <c r="G2371" s="7">
        <v>3250</v>
      </c>
      <c r="H2371" s="16">
        <v>45257</v>
      </c>
      <c r="I2371" s="6">
        <v>48</v>
      </c>
      <c r="J2371" s="6" t="s">
        <v>1791</v>
      </c>
      <c r="K2371" s="6" t="s">
        <v>1890</v>
      </c>
      <c r="L2371" s="11">
        <f>F2371*Controls!$B$6</f>
        <v>26</v>
      </c>
      <c r="M2371" s="11">
        <f>G2371*Controls!$B$6</f>
        <v>3250</v>
      </c>
      <c r="N2371" s="12">
        <f>IF(L2371=0,0,SUMIFS('PSI Plan'!$N$6:$N$173,'PSI Plan'!$B$6:$B$173,B2371,'PSI Plan'!$C$6:$C$173,I2371))</f>
        <v>0</v>
      </c>
      <c r="O2371" s="11">
        <f t="shared" si="74"/>
        <v>0</v>
      </c>
      <c r="P2371" s="11">
        <f t="shared" si="75"/>
        <v>0</v>
      </c>
      <c r="Q2371" s="6"/>
      <c r="R2371" s="6"/>
      <c r="S2371" s="6"/>
      <c r="T2371" s="6"/>
    </row>
    <row r="2372" spans="1:20">
      <c r="A2372" s="6" t="s">
        <v>2539</v>
      </c>
      <c r="B2372" s="6" t="s">
        <v>76</v>
      </c>
      <c r="C2372" s="6" t="s">
        <v>90</v>
      </c>
      <c r="D2372" s="6" t="s">
        <v>119</v>
      </c>
      <c r="E2372" s="6" t="s">
        <v>120</v>
      </c>
      <c r="F2372" s="7">
        <v>104</v>
      </c>
      <c r="G2372" s="7">
        <v>13000</v>
      </c>
      <c r="H2372" s="16">
        <v>45237</v>
      </c>
      <c r="I2372" s="6">
        <v>45</v>
      </c>
      <c r="J2372" s="6" t="s">
        <v>1791</v>
      </c>
      <c r="K2372" s="6" t="s">
        <v>1890</v>
      </c>
      <c r="L2372" s="11">
        <f>F2372*Controls!$B$6</f>
        <v>104</v>
      </c>
      <c r="M2372" s="11">
        <f>G2372*Controls!$B$6</f>
        <v>13000</v>
      </c>
      <c r="N2372" s="12">
        <f>IF(L2372=0,0,SUMIFS('PSI Plan'!$N$6:$N$173,'PSI Plan'!$B$6:$B$173,B2372,'PSI Plan'!$C$6:$C$173,I2372))</f>
        <v>0</v>
      </c>
      <c r="O2372" s="11">
        <f t="shared" si="74"/>
        <v>0</v>
      </c>
      <c r="P2372" s="11">
        <f t="shared" si="75"/>
        <v>0</v>
      </c>
      <c r="Q2372" s="6"/>
      <c r="R2372" s="6"/>
      <c r="S2372" s="6"/>
      <c r="T2372" s="6"/>
    </row>
    <row r="2373" spans="1:20">
      <c r="A2373" s="6" t="s">
        <v>2540</v>
      </c>
      <c r="B2373" s="6" t="s">
        <v>67</v>
      </c>
      <c r="C2373" s="6" t="s">
        <v>90</v>
      </c>
      <c r="D2373" s="6" t="s">
        <v>119</v>
      </c>
      <c r="E2373" s="6" t="s">
        <v>120</v>
      </c>
      <c r="F2373" s="7">
        <v>104</v>
      </c>
      <c r="G2373" s="7">
        <v>13000</v>
      </c>
      <c r="H2373" s="16">
        <v>45270</v>
      </c>
      <c r="I2373" s="6">
        <v>50</v>
      </c>
      <c r="J2373" s="6" t="s">
        <v>1791</v>
      </c>
      <c r="K2373" s="6" t="s">
        <v>1890</v>
      </c>
      <c r="L2373" s="11">
        <f>F2373*Controls!$B$6</f>
        <v>104</v>
      </c>
      <c r="M2373" s="11">
        <f>G2373*Controls!$B$6</f>
        <v>13000</v>
      </c>
      <c r="N2373" s="12">
        <f>IF(L2373=0,0,SUMIFS('PSI Plan'!$N$6:$N$173,'PSI Plan'!$B$6:$B$173,B2373,'PSI Plan'!$C$6:$C$173,I2373))</f>
        <v>0</v>
      </c>
      <c r="O2373" s="11">
        <f t="shared" si="74"/>
        <v>0</v>
      </c>
      <c r="P2373" s="11">
        <f t="shared" si="75"/>
        <v>0</v>
      </c>
      <c r="Q2373" s="6"/>
      <c r="R2373" s="6"/>
      <c r="S2373" s="6"/>
      <c r="T2373" s="6"/>
    </row>
    <row r="2374" spans="1:20">
      <c r="A2374" s="6" t="s">
        <v>2541</v>
      </c>
      <c r="B2374" s="6" t="s">
        <v>77</v>
      </c>
      <c r="C2374" s="6" t="s">
        <v>90</v>
      </c>
      <c r="D2374" s="6" t="s">
        <v>119</v>
      </c>
      <c r="E2374" s="6" t="s">
        <v>120</v>
      </c>
      <c r="F2374" s="7">
        <v>13</v>
      </c>
      <c r="G2374" s="7">
        <v>1625</v>
      </c>
      <c r="H2374" s="16">
        <v>45221</v>
      </c>
      <c r="I2374" s="6">
        <v>43</v>
      </c>
      <c r="J2374" s="6" t="s">
        <v>121</v>
      </c>
      <c r="K2374" s="6" t="s">
        <v>122</v>
      </c>
      <c r="L2374" s="11">
        <f>F2374*Controls!$B$6</f>
        <v>13</v>
      </c>
      <c r="M2374" s="11">
        <f>G2374*Controls!$B$6</f>
        <v>1625</v>
      </c>
      <c r="N2374" s="12">
        <f>IF(L2374=0,0,SUMIFS('PSI Plan'!$N$6:$N$173,'PSI Plan'!$B$6:$B$173,B2374,'PSI Plan'!$C$6:$C$173,I2374))</f>
        <v>0</v>
      </c>
      <c r="O2374" s="11">
        <f t="shared" si="74"/>
        <v>0</v>
      </c>
      <c r="P2374" s="11">
        <f t="shared" si="75"/>
        <v>0</v>
      </c>
      <c r="Q2374" s="6"/>
      <c r="R2374" s="6"/>
      <c r="S2374" s="6"/>
      <c r="T2374" s="6"/>
    </row>
    <row r="2375" spans="1:20">
      <c r="A2375" s="6" t="s">
        <v>2542</v>
      </c>
      <c r="B2375" s="6" t="s">
        <v>76</v>
      </c>
      <c r="C2375" s="6" t="s">
        <v>90</v>
      </c>
      <c r="D2375" s="6" t="s">
        <v>119</v>
      </c>
      <c r="E2375" s="6" t="s">
        <v>120</v>
      </c>
      <c r="F2375" s="7">
        <v>65</v>
      </c>
      <c r="G2375" s="7">
        <v>8125</v>
      </c>
      <c r="H2375" s="16">
        <v>45289</v>
      </c>
      <c r="I2375" s="6">
        <v>52</v>
      </c>
      <c r="J2375" s="6" t="s">
        <v>121</v>
      </c>
      <c r="K2375" s="6" t="s">
        <v>122</v>
      </c>
      <c r="L2375" s="11">
        <f>F2375*Controls!$B$6</f>
        <v>65</v>
      </c>
      <c r="M2375" s="11">
        <f>G2375*Controls!$B$6</f>
        <v>8125</v>
      </c>
      <c r="N2375" s="12">
        <f>IF(L2375=0,0,SUMIFS('PSI Plan'!$N$6:$N$173,'PSI Plan'!$B$6:$B$173,B2375,'PSI Plan'!$C$6:$C$173,I2375))</f>
        <v>0</v>
      </c>
      <c r="O2375" s="11">
        <f t="shared" si="74"/>
        <v>0</v>
      </c>
      <c r="P2375" s="11">
        <f t="shared" si="75"/>
        <v>0</v>
      </c>
      <c r="Q2375" s="6"/>
      <c r="R2375" s="6"/>
      <c r="S2375" s="6"/>
      <c r="T2375" s="6"/>
    </row>
    <row r="2376" spans="1:20">
      <c r="A2376" s="6" t="s">
        <v>2543</v>
      </c>
      <c r="B2376" s="6" t="s">
        <v>66</v>
      </c>
      <c r="C2376" s="6" t="s">
        <v>90</v>
      </c>
      <c r="D2376" s="6" t="s">
        <v>119</v>
      </c>
      <c r="E2376" s="6" t="s">
        <v>120</v>
      </c>
      <c r="F2376" s="7">
        <v>13</v>
      </c>
      <c r="G2376" s="7">
        <v>1625</v>
      </c>
      <c r="H2376" s="16">
        <v>45236</v>
      </c>
      <c r="I2376" s="6">
        <v>45</v>
      </c>
      <c r="J2376" s="6" t="s">
        <v>121</v>
      </c>
      <c r="K2376" s="6" t="s">
        <v>169</v>
      </c>
      <c r="L2376" s="11">
        <f>F2376*Controls!$B$6</f>
        <v>13</v>
      </c>
      <c r="M2376" s="11">
        <f>G2376*Controls!$B$6</f>
        <v>1625</v>
      </c>
      <c r="N2376" s="12">
        <f>IF(L2376=0,0,SUMIFS('PSI Plan'!$N$6:$N$173,'PSI Plan'!$B$6:$B$173,B2376,'PSI Plan'!$C$6:$C$173,I2376))</f>
        <v>0</v>
      </c>
      <c r="O2376" s="11">
        <f t="shared" si="74"/>
        <v>0</v>
      </c>
      <c r="P2376" s="11">
        <f t="shared" si="75"/>
        <v>0</v>
      </c>
      <c r="Q2376" s="6"/>
      <c r="R2376" s="6"/>
      <c r="S2376" s="6"/>
      <c r="T2376" s="6"/>
    </row>
    <row r="2377" spans="1:20">
      <c r="A2377" s="6" t="s">
        <v>2544</v>
      </c>
      <c r="B2377" s="6" t="s">
        <v>77</v>
      </c>
      <c r="C2377" s="6" t="s">
        <v>90</v>
      </c>
      <c r="D2377" s="6" t="s">
        <v>119</v>
      </c>
      <c r="E2377" s="6" t="s">
        <v>120</v>
      </c>
      <c r="F2377" s="7">
        <v>26</v>
      </c>
      <c r="G2377" s="7">
        <v>3250</v>
      </c>
      <c r="H2377" s="16">
        <v>45217</v>
      </c>
      <c r="I2377" s="6">
        <v>42</v>
      </c>
      <c r="J2377" s="6" t="s">
        <v>121</v>
      </c>
      <c r="K2377" s="6" t="s">
        <v>169</v>
      </c>
      <c r="L2377" s="11">
        <f>F2377*Controls!$B$6</f>
        <v>26</v>
      </c>
      <c r="M2377" s="11">
        <f>G2377*Controls!$B$6</f>
        <v>3250</v>
      </c>
      <c r="N2377" s="12">
        <f>IF(L2377=0,0,SUMIFS('PSI Plan'!$N$6:$N$173,'PSI Plan'!$B$6:$B$173,B2377,'PSI Plan'!$C$6:$C$173,I2377))</f>
        <v>0</v>
      </c>
      <c r="O2377" s="11">
        <f t="shared" si="74"/>
        <v>0</v>
      </c>
      <c r="P2377" s="11">
        <f t="shared" si="75"/>
        <v>0</v>
      </c>
      <c r="Q2377" s="6"/>
      <c r="R2377" s="6"/>
      <c r="S2377" s="6"/>
      <c r="T2377" s="6"/>
    </row>
    <row r="2378" spans="1:20">
      <c r="A2378" s="6" t="s">
        <v>2545</v>
      </c>
      <c r="B2378" s="6" t="s">
        <v>69</v>
      </c>
      <c r="C2378" s="6" t="s">
        <v>90</v>
      </c>
      <c r="D2378" s="6" t="s">
        <v>119</v>
      </c>
      <c r="E2378" s="6" t="s">
        <v>120</v>
      </c>
      <c r="F2378" s="7">
        <v>13</v>
      </c>
      <c r="G2378" s="7">
        <v>1625</v>
      </c>
      <c r="H2378" s="16">
        <v>45265</v>
      </c>
      <c r="I2378" s="6">
        <v>49</v>
      </c>
      <c r="J2378" s="6" t="s">
        <v>121</v>
      </c>
      <c r="K2378" s="6" t="s">
        <v>169</v>
      </c>
      <c r="L2378" s="11">
        <f>F2378*Controls!$B$6</f>
        <v>13</v>
      </c>
      <c r="M2378" s="11">
        <f>G2378*Controls!$B$6</f>
        <v>1625</v>
      </c>
      <c r="N2378" s="12">
        <f>IF(L2378=0,0,SUMIFS('PSI Plan'!$N$6:$N$173,'PSI Plan'!$B$6:$B$173,B2378,'PSI Plan'!$C$6:$C$173,I2378))</f>
        <v>0</v>
      </c>
      <c r="O2378" s="11">
        <f t="shared" si="74"/>
        <v>0</v>
      </c>
      <c r="P2378" s="11">
        <f t="shared" si="75"/>
        <v>0</v>
      </c>
      <c r="Q2378" s="6"/>
      <c r="R2378" s="6"/>
      <c r="S2378" s="6"/>
      <c r="T2378" s="6"/>
    </row>
    <row r="2379" spans="1:20">
      <c r="A2379" s="6" t="s">
        <v>2546</v>
      </c>
      <c r="B2379" s="6" t="s">
        <v>66</v>
      </c>
      <c r="C2379" s="6" t="s">
        <v>99</v>
      </c>
      <c r="D2379" s="6" t="s">
        <v>319</v>
      </c>
      <c r="E2379" s="6" t="s">
        <v>120</v>
      </c>
      <c r="F2379" s="7">
        <v>78</v>
      </c>
      <c r="G2379" s="7">
        <v>9750</v>
      </c>
      <c r="H2379" s="16">
        <v>45278</v>
      </c>
      <c r="I2379" s="6">
        <v>51</v>
      </c>
      <c r="J2379" s="6" t="s">
        <v>121</v>
      </c>
      <c r="K2379" s="6" t="s">
        <v>459</v>
      </c>
      <c r="L2379" s="11">
        <f>F2379*Controls!$B$6</f>
        <v>78</v>
      </c>
      <c r="M2379" s="11">
        <f>G2379*Controls!$B$6</f>
        <v>9750</v>
      </c>
      <c r="N2379" s="12">
        <f>IF(L2379=0,0,SUMIFS('PSI Plan'!$N$6:$N$173,'PSI Plan'!$B$6:$B$173,B2379,'PSI Plan'!$C$6:$C$173,I2379))</f>
        <v>0</v>
      </c>
      <c r="O2379" s="11">
        <f t="shared" si="74"/>
        <v>0</v>
      </c>
      <c r="P2379" s="11">
        <f t="shared" si="75"/>
        <v>0</v>
      </c>
      <c r="Q2379" s="6"/>
      <c r="R2379" s="6"/>
      <c r="S2379" s="6"/>
      <c r="T2379" s="6"/>
    </row>
    <row r="2380" spans="1:20">
      <c r="A2380" s="6" t="s">
        <v>2547</v>
      </c>
      <c r="B2380" s="6" t="s">
        <v>77</v>
      </c>
      <c r="C2380" s="6" t="s">
        <v>99</v>
      </c>
      <c r="D2380" s="6" t="s">
        <v>319</v>
      </c>
      <c r="E2380" s="6" t="s">
        <v>120</v>
      </c>
      <c r="F2380" s="7">
        <v>74</v>
      </c>
      <c r="G2380" s="7">
        <v>9250</v>
      </c>
      <c r="H2380" s="16">
        <v>45235</v>
      </c>
      <c r="I2380" s="6">
        <v>45</v>
      </c>
      <c r="J2380" s="6" t="s">
        <v>121</v>
      </c>
      <c r="K2380" s="6" t="s">
        <v>459</v>
      </c>
      <c r="L2380" s="11">
        <f>F2380*Controls!$B$6</f>
        <v>74</v>
      </c>
      <c r="M2380" s="11">
        <f>G2380*Controls!$B$6</f>
        <v>9250</v>
      </c>
      <c r="N2380" s="12">
        <f>IF(L2380=0,0,SUMIFS('PSI Plan'!$N$6:$N$173,'PSI Plan'!$B$6:$B$173,B2380,'PSI Plan'!$C$6:$C$173,I2380))</f>
        <v>0</v>
      </c>
      <c r="O2380" s="11">
        <f t="shared" si="74"/>
        <v>0</v>
      </c>
      <c r="P2380" s="11">
        <f t="shared" si="75"/>
        <v>0</v>
      </c>
      <c r="Q2380" s="6"/>
      <c r="R2380" s="6"/>
      <c r="S2380" s="6"/>
      <c r="T2380" s="6"/>
    </row>
    <row r="2381" spans="1:20">
      <c r="A2381" s="6" t="s">
        <v>2548</v>
      </c>
      <c r="B2381" s="6" t="s">
        <v>67</v>
      </c>
      <c r="C2381" s="6" t="s">
        <v>99</v>
      </c>
      <c r="D2381" s="6" t="s">
        <v>319</v>
      </c>
      <c r="E2381" s="6" t="s">
        <v>120</v>
      </c>
      <c r="F2381" s="7">
        <v>82</v>
      </c>
      <c r="G2381" s="7">
        <v>10250</v>
      </c>
      <c r="H2381" s="16">
        <v>45250</v>
      </c>
      <c r="I2381" s="6">
        <v>47</v>
      </c>
      <c r="J2381" s="6" t="s">
        <v>121</v>
      </c>
      <c r="K2381" s="6" t="s">
        <v>459</v>
      </c>
      <c r="L2381" s="11">
        <f>F2381*Controls!$B$6</f>
        <v>82</v>
      </c>
      <c r="M2381" s="11">
        <f>G2381*Controls!$B$6</f>
        <v>10250</v>
      </c>
      <c r="N2381" s="12">
        <f>IF(L2381=0,0,SUMIFS('PSI Plan'!$N$6:$N$173,'PSI Plan'!$B$6:$B$173,B2381,'PSI Plan'!$C$6:$C$173,I2381))</f>
        <v>0</v>
      </c>
      <c r="O2381" s="11">
        <f t="shared" si="74"/>
        <v>0</v>
      </c>
      <c r="P2381" s="11">
        <f t="shared" si="75"/>
        <v>0</v>
      </c>
      <c r="Q2381" s="6"/>
      <c r="R2381" s="6"/>
      <c r="S2381" s="6"/>
      <c r="T2381" s="6"/>
    </row>
    <row r="2382" spans="1:20">
      <c r="A2382" s="6" t="s">
        <v>2549</v>
      </c>
      <c r="B2382" s="6" t="s">
        <v>69</v>
      </c>
      <c r="C2382" s="6" t="s">
        <v>99</v>
      </c>
      <c r="D2382" s="6" t="s">
        <v>319</v>
      </c>
      <c r="E2382" s="6" t="s">
        <v>120</v>
      </c>
      <c r="F2382" s="7">
        <v>74</v>
      </c>
      <c r="G2382" s="7">
        <v>9250</v>
      </c>
      <c r="H2382" s="16">
        <v>45216</v>
      </c>
      <c r="I2382" s="6">
        <v>42</v>
      </c>
      <c r="J2382" s="6" t="s">
        <v>121</v>
      </c>
      <c r="K2382" s="6" t="s">
        <v>459</v>
      </c>
      <c r="L2382" s="11">
        <f>F2382*Controls!$B$6</f>
        <v>74</v>
      </c>
      <c r="M2382" s="11">
        <f>G2382*Controls!$B$6</f>
        <v>9250</v>
      </c>
      <c r="N2382" s="12">
        <f>IF(L2382=0,0,SUMIFS('PSI Plan'!$N$6:$N$173,'PSI Plan'!$B$6:$B$173,B2382,'PSI Plan'!$C$6:$C$173,I2382))</f>
        <v>0</v>
      </c>
      <c r="O2382" s="11">
        <f t="shared" si="74"/>
        <v>0</v>
      </c>
      <c r="P2382" s="11">
        <f t="shared" si="75"/>
        <v>0</v>
      </c>
      <c r="Q2382" s="6"/>
      <c r="R2382" s="6"/>
      <c r="S2382" s="6"/>
      <c r="T2382" s="6"/>
    </row>
    <row r="2383" spans="1:20">
      <c r="A2383" s="6" t="s">
        <v>2550</v>
      </c>
      <c r="B2383" s="6" t="s">
        <v>66</v>
      </c>
      <c r="C2383" s="6" t="s">
        <v>99</v>
      </c>
      <c r="D2383" s="6" t="s">
        <v>319</v>
      </c>
      <c r="E2383" s="6" t="s">
        <v>120</v>
      </c>
      <c r="F2383" s="7">
        <v>88</v>
      </c>
      <c r="G2383" s="7">
        <v>11000</v>
      </c>
      <c r="H2383" s="16">
        <v>45212</v>
      </c>
      <c r="I2383" s="6">
        <v>41</v>
      </c>
      <c r="J2383" s="6" t="s">
        <v>121</v>
      </c>
      <c r="K2383" s="6" t="s">
        <v>347</v>
      </c>
      <c r="L2383" s="11">
        <f>F2383*Controls!$B$6</f>
        <v>88</v>
      </c>
      <c r="M2383" s="11">
        <f>G2383*Controls!$B$6</f>
        <v>11000</v>
      </c>
      <c r="N2383" s="12">
        <f>IF(L2383=0,0,SUMIFS('PSI Plan'!$N$6:$N$173,'PSI Plan'!$B$6:$B$173,B2383,'PSI Plan'!$C$6:$C$173,I2383))</f>
        <v>0.22897465437788017</v>
      </c>
      <c r="O2383" s="11">
        <f t="shared" si="74"/>
        <v>20.149769585253456</v>
      </c>
      <c r="P2383" s="11">
        <f t="shared" si="75"/>
        <v>2518.721198156682</v>
      </c>
      <c r="Q2383" s="6"/>
      <c r="R2383" s="6"/>
      <c r="S2383" s="6"/>
      <c r="T2383" s="6"/>
    </row>
    <row r="2384" spans="1:20">
      <c r="A2384" s="6" t="s">
        <v>2551</v>
      </c>
      <c r="B2384" s="6" t="s">
        <v>77</v>
      </c>
      <c r="C2384" s="6" t="s">
        <v>99</v>
      </c>
      <c r="D2384" s="6" t="s">
        <v>319</v>
      </c>
      <c r="E2384" s="6" t="s">
        <v>120</v>
      </c>
      <c r="F2384" s="7">
        <v>86</v>
      </c>
      <c r="G2384" s="7">
        <v>10750</v>
      </c>
      <c r="H2384" s="16">
        <v>45217</v>
      </c>
      <c r="I2384" s="6">
        <v>42</v>
      </c>
      <c r="J2384" s="6" t="s">
        <v>121</v>
      </c>
      <c r="K2384" s="6" t="s">
        <v>347</v>
      </c>
      <c r="L2384" s="11">
        <f>F2384*Controls!$B$6</f>
        <v>86</v>
      </c>
      <c r="M2384" s="11">
        <f>G2384*Controls!$B$6</f>
        <v>10750</v>
      </c>
      <c r="N2384" s="12">
        <f>IF(L2384=0,0,SUMIFS('PSI Plan'!$N$6:$N$173,'PSI Plan'!$B$6:$B$173,B2384,'PSI Plan'!$C$6:$C$173,I2384))</f>
        <v>0</v>
      </c>
      <c r="O2384" s="11">
        <f t="shared" si="74"/>
        <v>0</v>
      </c>
      <c r="P2384" s="11">
        <f t="shared" si="75"/>
        <v>0</v>
      </c>
      <c r="Q2384" s="6"/>
      <c r="R2384" s="6"/>
      <c r="S2384" s="6"/>
      <c r="T2384" s="6"/>
    </row>
    <row r="2385" spans="1:20">
      <c r="A2385" s="6" t="s">
        <v>2552</v>
      </c>
      <c r="B2385" s="6" t="s">
        <v>76</v>
      </c>
      <c r="C2385" s="6" t="s">
        <v>99</v>
      </c>
      <c r="D2385" s="6" t="s">
        <v>319</v>
      </c>
      <c r="E2385" s="6" t="s">
        <v>120</v>
      </c>
      <c r="F2385" s="7">
        <v>22</v>
      </c>
      <c r="G2385" s="7">
        <v>2750</v>
      </c>
      <c r="H2385" s="16">
        <v>45289</v>
      </c>
      <c r="I2385" s="6">
        <v>52</v>
      </c>
      <c r="J2385" s="6" t="s">
        <v>121</v>
      </c>
      <c r="K2385" s="6" t="s">
        <v>347</v>
      </c>
      <c r="L2385" s="11">
        <f>F2385*Controls!$B$6</f>
        <v>22</v>
      </c>
      <c r="M2385" s="11">
        <f>G2385*Controls!$B$6</f>
        <v>2750</v>
      </c>
      <c r="N2385" s="12">
        <f>IF(L2385=0,0,SUMIFS('PSI Plan'!$N$6:$N$173,'PSI Plan'!$B$6:$B$173,B2385,'PSI Plan'!$C$6:$C$173,I2385))</f>
        <v>0</v>
      </c>
      <c r="O2385" s="11">
        <f t="shared" si="74"/>
        <v>0</v>
      </c>
      <c r="P2385" s="11">
        <f t="shared" si="75"/>
        <v>0</v>
      </c>
      <c r="Q2385" s="6"/>
      <c r="R2385" s="6"/>
      <c r="S2385" s="6"/>
      <c r="T2385" s="6"/>
    </row>
    <row r="2386" spans="1:20">
      <c r="A2386" s="6" t="s">
        <v>2553</v>
      </c>
      <c r="B2386" s="6" t="s">
        <v>67</v>
      </c>
      <c r="C2386" s="6" t="s">
        <v>99</v>
      </c>
      <c r="D2386" s="6" t="s">
        <v>319</v>
      </c>
      <c r="E2386" s="6" t="s">
        <v>120</v>
      </c>
      <c r="F2386" s="7">
        <v>154</v>
      </c>
      <c r="G2386" s="7">
        <v>19250</v>
      </c>
      <c r="H2386" s="16">
        <v>45221</v>
      </c>
      <c r="I2386" s="6">
        <v>43</v>
      </c>
      <c r="J2386" s="6" t="s">
        <v>121</v>
      </c>
      <c r="K2386" s="6" t="s">
        <v>347</v>
      </c>
      <c r="L2386" s="11">
        <f>F2386*Controls!$B$6</f>
        <v>154</v>
      </c>
      <c r="M2386" s="11">
        <f>G2386*Controls!$B$6</f>
        <v>19250</v>
      </c>
      <c r="N2386" s="12">
        <f>IF(L2386=0,0,SUMIFS('PSI Plan'!$N$6:$N$173,'PSI Plan'!$B$6:$B$173,B2386,'PSI Plan'!$C$6:$C$173,I2386))</f>
        <v>0</v>
      </c>
      <c r="O2386" s="11">
        <f t="shared" si="74"/>
        <v>0</v>
      </c>
      <c r="P2386" s="11">
        <f t="shared" si="75"/>
        <v>0</v>
      </c>
      <c r="Q2386" s="6"/>
      <c r="R2386" s="6"/>
      <c r="S2386" s="6"/>
      <c r="T2386" s="6"/>
    </row>
    <row r="2387" spans="1:20">
      <c r="A2387" s="6" t="s">
        <v>2554</v>
      </c>
      <c r="B2387" s="6" t="s">
        <v>66</v>
      </c>
      <c r="C2387" s="6" t="s">
        <v>99</v>
      </c>
      <c r="D2387" s="6" t="s">
        <v>319</v>
      </c>
      <c r="E2387" s="6" t="s">
        <v>120</v>
      </c>
      <c r="F2387" s="7">
        <v>152</v>
      </c>
      <c r="G2387" s="7">
        <v>19000</v>
      </c>
      <c r="H2387" s="16">
        <v>45212</v>
      </c>
      <c r="I2387" s="6">
        <v>41</v>
      </c>
      <c r="J2387" s="6" t="s">
        <v>121</v>
      </c>
      <c r="K2387" s="6" t="s">
        <v>347</v>
      </c>
      <c r="L2387" s="11">
        <f>F2387*Controls!$B$6</f>
        <v>152</v>
      </c>
      <c r="M2387" s="11">
        <f>G2387*Controls!$B$6</f>
        <v>19000</v>
      </c>
      <c r="N2387" s="12">
        <f>IF(L2387=0,0,SUMIFS('PSI Plan'!$N$6:$N$173,'PSI Plan'!$B$6:$B$173,B2387,'PSI Plan'!$C$6:$C$173,I2387))</f>
        <v>0.22897465437788017</v>
      </c>
      <c r="O2387" s="11">
        <f t="shared" si="74"/>
        <v>34.804147465437786</v>
      </c>
      <c r="P2387" s="11">
        <f t="shared" si="75"/>
        <v>4350.5184331797236</v>
      </c>
      <c r="Q2387" s="6"/>
      <c r="R2387" s="6"/>
      <c r="S2387" s="6"/>
      <c r="T2387" s="6"/>
    </row>
    <row r="2388" spans="1:20">
      <c r="A2388" s="6" t="s">
        <v>2555</v>
      </c>
      <c r="B2388" s="6" t="s">
        <v>77</v>
      </c>
      <c r="C2388" s="6" t="s">
        <v>99</v>
      </c>
      <c r="D2388" s="6" t="s">
        <v>319</v>
      </c>
      <c r="E2388" s="6" t="s">
        <v>120</v>
      </c>
      <c r="F2388" s="7">
        <v>158</v>
      </c>
      <c r="G2388" s="7">
        <v>19750</v>
      </c>
      <c r="H2388" s="16">
        <v>45244</v>
      </c>
      <c r="I2388" s="6">
        <v>46</v>
      </c>
      <c r="J2388" s="6" t="s">
        <v>121</v>
      </c>
      <c r="K2388" s="6" t="s">
        <v>347</v>
      </c>
      <c r="L2388" s="11">
        <f>F2388*Controls!$B$6</f>
        <v>158</v>
      </c>
      <c r="M2388" s="11">
        <f>G2388*Controls!$B$6</f>
        <v>19750</v>
      </c>
      <c r="N2388" s="12">
        <f>IF(L2388=0,0,SUMIFS('PSI Plan'!$N$6:$N$173,'PSI Plan'!$B$6:$B$173,B2388,'PSI Plan'!$C$6:$C$173,I2388))</f>
        <v>0</v>
      </c>
      <c r="O2388" s="11">
        <f t="shared" si="74"/>
        <v>0</v>
      </c>
      <c r="P2388" s="11">
        <f t="shared" si="75"/>
        <v>0</v>
      </c>
      <c r="Q2388" s="6"/>
      <c r="R2388" s="6"/>
      <c r="S2388" s="6"/>
      <c r="T2388" s="6"/>
    </row>
    <row r="2389" spans="1:20">
      <c r="A2389" s="6" t="s">
        <v>2556</v>
      </c>
      <c r="B2389" s="6" t="s">
        <v>76</v>
      </c>
      <c r="C2389" s="6" t="s">
        <v>99</v>
      </c>
      <c r="D2389" s="6" t="s">
        <v>319</v>
      </c>
      <c r="E2389" s="6" t="s">
        <v>120</v>
      </c>
      <c r="F2389" s="7">
        <v>4</v>
      </c>
      <c r="G2389" s="7">
        <v>500</v>
      </c>
      <c r="H2389" s="16">
        <v>45241</v>
      </c>
      <c r="I2389" s="6">
        <v>45</v>
      </c>
      <c r="J2389" s="6" t="s">
        <v>121</v>
      </c>
      <c r="K2389" s="6" t="s">
        <v>347</v>
      </c>
      <c r="L2389" s="11">
        <f>F2389*Controls!$B$6</f>
        <v>4</v>
      </c>
      <c r="M2389" s="11">
        <f>G2389*Controls!$B$6</f>
        <v>500</v>
      </c>
      <c r="N2389" s="12">
        <f>IF(L2389=0,0,SUMIFS('PSI Plan'!$N$6:$N$173,'PSI Plan'!$B$6:$B$173,B2389,'PSI Plan'!$C$6:$C$173,I2389))</f>
        <v>0</v>
      </c>
      <c r="O2389" s="11">
        <f t="shared" si="74"/>
        <v>0</v>
      </c>
      <c r="P2389" s="11">
        <f t="shared" si="75"/>
        <v>0</v>
      </c>
      <c r="Q2389" s="6"/>
      <c r="R2389" s="6"/>
      <c r="S2389" s="6"/>
      <c r="T2389" s="6"/>
    </row>
    <row r="2390" spans="1:20">
      <c r="A2390" s="6" t="s">
        <v>2557</v>
      </c>
      <c r="B2390" s="6" t="s">
        <v>69</v>
      </c>
      <c r="C2390" s="6" t="s">
        <v>99</v>
      </c>
      <c r="D2390" s="6" t="s">
        <v>319</v>
      </c>
      <c r="E2390" s="6" t="s">
        <v>120</v>
      </c>
      <c r="F2390" s="7">
        <v>158</v>
      </c>
      <c r="G2390" s="7">
        <v>19750</v>
      </c>
      <c r="H2390" s="16">
        <v>45220</v>
      </c>
      <c r="I2390" s="6">
        <v>42</v>
      </c>
      <c r="J2390" s="6" t="s">
        <v>121</v>
      </c>
      <c r="K2390" s="6" t="s">
        <v>347</v>
      </c>
      <c r="L2390" s="11">
        <f>F2390*Controls!$B$6</f>
        <v>158</v>
      </c>
      <c r="M2390" s="11">
        <f>G2390*Controls!$B$6</f>
        <v>19750</v>
      </c>
      <c r="N2390" s="12">
        <f>IF(L2390=0,0,SUMIFS('PSI Plan'!$N$6:$N$173,'PSI Plan'!$B$6:$B$173,B2390,'PSI Plan'!$C$6:$C$173,I2390))</f>
        <v>0</v>
      </c>
      <c r="O2390" s="11">
        <f t="shared" si="74"/>
        <v>0</v>
      </c>
      <c r="P2390" s="11">
        <f t="shared" si="75"/>
        <v>0</v>
      </c>
      <c r="Q2390" s="6"/>
      <c r="R2390" s="6"/>
      <c r="S2390" s="6"/>
      <c r="T2390" s="6"/>
    </row>
    <row r="2391" spans="1:20">
      <c r="A2391" s="6" t="s">
        <v>2558</v>
      </c>
      <c r="B2391" s="6" t="s">
        <v>69</v>
      </c>
      <c r="C2391" s="6" t="s">
        <v>99</v>
      </c>
      <c r="D2391" s="6" t="s">
        <v>319</v>
      </c>
      <c r="E2391" s="6" t="s">
        <v>120</v>
      </c>
      <c r="F2391" s="7">
        <v>90</v>
      </c>
      <c r="G2391" s="7">
        <v>11250</v>
      </c>
      <c r="H2391" s="16">
        <v>45230</v>
      </c>
      <c r="I2391" s="6">
        <v>44</v>
      </c>
      <c r="J2391" s="6" t="s">
        <v>121</v>
      </c>
      <c r="K2391" s="6" t="s">
        <v>347</v>
      </c>
      <c r="L2391" s="11">
        <f>F2391*Controls!$B$6</f>
        <v>90</v>
      </c>
      <c r="M2391" s="11">
        <f>G2391*Controls!$B$6</f>
        <v>11250</v>
      </c>
      <c r="N2391" s="12">
        <f>IF(L2391=0,0,SUMIFS('PSI Plan'!$N$6:$N$173,'PSI Plan'!$B$6:$B$173,B2391,'PSI Plan'!$C$6:$C$173,I2391))</f>
        <v>0</v>
      </c>
      <c r="O2391" s="11">
        <f t="shared" si="74"/>
        <v>0</v>
      </c>
      <c r="P2391" s="11">
        <f t="shared" si="75"/>
        <v>0</v>
      </c>
      <c r="Q2391" s="6"/>
      <c r="R2391" s="6"/>
      <c r="S2391" s="6"/>
      <c r="T2391" s="6"/>
    </row>
    <row r="2392" spans="1:20">
      <c r="A2392" s="6" t="s">
        <v>2559</v>
      </c>
      <c r="B2392" s="6" t="s">
        <v>66</v>
      </c>
      <c r="C2392" s="6" t="s">
        <v>90</v>
      </c>
      <c r="D2392" s="6" t="s">
        <v>119</v>
      </c>
      <c r="E2392" s="6" t="s">
        <v>120</v>
      </c>
      <c r="F2392" s="7">
        <v>26</v>
      </c>
      <c r="G2392" s="7">
        <v>3250</v>
      </c>
      <c r="H2392" s="16">
        <v>45240</v>
      </c>
      <c r="I2392" s="6">
        <v>45</v>
      </c>
      <c r="J2392" s="6" t="s">
        <v>121</v>
      </c>
      <c r="K2392" s="6" t="s">
        <v>122</v>
      </c>
      <c r="L2392" s="11">
        <f>F2392*Controls!$B$6</f>
        <v>26</v>
      </c>
      <c r="M2392" s="11">
        <f>G2392*Controls!$B$6</f>
        <v>3250</v>
      </c>
      <c r="N2392" s="12">
        <f>IF(L2392=0,0,SUMIFS('PSI Plan'!$N$6:$N$173,'PSI Plan'!$B$6:$B$173,B2392,'PSI Plan'!$C$6:$C$173,I2392))</f>
        <v>0</v>
      </c>
      <c r="O2392" s="11">
        <f t="shared" si="74"/>
        <v>0</v>
      </c>
      <c r="P2392" s="11">
        <f t="shared" si="75"/>
        <v>0</v>
      </c>
      <c r="Q2392" s="6"/>
      <c r="R2392" s="6"/>
      <c r="S2392" s="6"/>
      <c r="T2392" s="6"/>
    </row>
    <row r="2393" spans="1:20">
      <c r="A2393" s="6" t="s">
        <v>2560</v>
      </c>
      <c r="B2393" s="6" t="s">
        <v>77</v>
      </c>
      <c r="C2393" s="6" t="s">
        <v>90</v>
      </c>
      <c r="D2393" s="6" t="s">
        <v>119</v>
      </c>
      <c r="E2393" s="6" t="s">
        <v>120</v>
      </c>
      <c r="F2393" s="7">
        <v>18</v>
      </c>
      <c r="G2393" s="7">
        <v>2250</v>
      </c>
      <c r="H2393" s="16">
        <v>45231</v>
      </c>
      <c r="I2393" s="6">
        <v>44</v>
      </c>
      <c r="J2393" s="6" t="s">
        <v>121</v>
      </c>
      <c r="K2393" s="6" t="s">
        <v>122</v>
      </c>
      <c r="L2393" s="11">
        <f>F2393*Controls!$B$6</f>
        <v>18</v>
      </c>
      <c r="M2393" s="11">
        <f>G2393*Controls!$B$6</f>
        <v>2250</v>
      </c>
      <c r="N2393" s="12">
        <f>IF(L2393=0,0,SUMIFS('PSI Plan'!$N$6:$N$173,'PSI Plan'!$B$6:$B$173,B2393,'PSI Plan'!$C$6:$C$173,I2393))</f>
        <v>0</v>
      </c>
      <c r="O2393" s="11">
        <f t="shared" si="74"/>
        <v>0</v>
      </c>
      <c r="P2393" s="11">
        <f t="shared" si="75"/>
        <v>0</v>
      </c>
      <c r="Q2393" s="6"/>
      <c r="R2393" s="6"/>
      <c r="S2393" s="6"/>
      <c r="T2393" s="6"/>
    </row>
    <row r="2394" spans="1:20">
      <c r="A2394" s="6" t="s">
        <v>2561</v>
      </c>
      <c r="B2394" s="6" t="s">
        <v>69</v>
      </c>
      <c r="C2394" s="6" t="s">
        <v>90</v>
      </c>
      <c r="D2394" s="6" t="s">
        <v>119</v>
      </c>
      <c r="E2394" s="6" t="s">
        <v>120</v>
      </c>
      <c r="F2394" s="7">
        <v>14</v>
      </c>
      <c r="G2394" s="7">
        <v>1750</v>
      </c>
      <c r="H2394" s="16">
        <v>45228</v>
      </c>
      <c r="I2394" s="6">
        <v>44</v>
      </c>
      <c r="J2394" s="6" t="s">
        <v>121</v>
      </c>
      <c r="K2394" s="6" t="s">
        <v>122</v>
      </c>
      <c r="L2394" s="11">
        <f>F2394*Controls!$B$6</f>
        <v>14</v>
      </c>
      <c r="M2394" s="11">
        <f>G2394*Controls!$B$6</f>
        <v>1750</v>
      </c>
      <c r="N2394" s="12">
        <f>IF(L2394=0,0,SUMIFS('PSI Plan'!$N$6:$N$173,'PSI Plan'!$B$6:$B$173,B2394,'PSI Plan'!$C$6:$C$173,I2394))</f>
        <v>0</v>
      </c>
      <c r="O2394" s="11">
        <f t="shared" si="74"/>
        <v>0</v>
      </c>
      <c r="P2394" s="11">
        <f t="shared" si="75"/>
        <v>0</v>
      </c>
      <c r="Q2394" s="6"/>
      <c r="R2394" s="6"/>
      <c r="S2394" s="6"/>
      <c r="T2394" s="6"/>
    </row>
    <row r="2395" spans="1:20">
      <c r="A2395" s="6" t="s">
        <v>2562</v>
      </c>
      <c r="B2395" s="6" t="s">
        <v>66</v>
      </c>
      <c r="C2395" s="6" t="s">
        <v>90</v>
      </c>
      <c r="D2395" s="6" t="s">
        <v>119</v>
      </c>
      <c r="E2395" s="6" t="s">
        <v>120</v>
      </c>
      <c r="F2395" s="7">
        <v>52</v>
      </c>
      <c r="G2395" s="7">
        <v>6500</v>
      </c>
      <c r="H2395" s="16">
        <v>45269</v>
      </c>
      <c r="I2395" s="6">
        <v>49</v>
      </c>
      <c r="J2395" s="6" t="s">
        <v>121</v>
      </c>
      <c r="K2395" s="6" t="s">
        <v>171</v>
      </c>
      <c r="L2395" s="11">
        <f>F2395*Controls!$B$6</f>
        <v>52</v>
      </c>
      <c r="M2395" s="11">
        <f>G2395*Controls!$B$6</f>
        <v>6500</v>
      </c>
      <c r="N2395" s="12">
        <f>IF(L2395=0,0,SUMIFS('PSI Plan'!$N$6:$N$173,'PSI Plan'!$B$6:$B$173,B2395,'PSI Plan'!$C$6:$C$173,I2395))</f>
        <v>0</v>
      </c>
      <c r="O2395" s="11">
        <f t="shared" si="74"/>
        <v>0</v>
      </c>
      <c r="P2395" s="11">
        <f t="shared" si="75"/>
        <v>0</v>
      </c>
      <c r="Q2395" s="6"/>
      <c r="R2395" s="6"/>
      <c r="S2395" s="6"/>
      <c r="T2395" s="6"/>
    </row>
    <row r="2396" spans="1:20">
      <c r="A2396" s="6" t="s">
        <v>2563</v>
      </c>
      <c r="B2396" s="6" t="s">
        <v>77</v>
      </c>
      <c r="C2396" s="6" t="s">
        <v>90</v>
      </c>
      <c r="D2396" s="6" t="s">
        <v>119</v>
      </c>
      <c r="E2396" s="6" t="s">
        <v>120</v>
      </c>
      <c r="F2396" s="7">
        <v>39</v>
      </c>
      <c r="G2396" s="7">
        <v>4875</v>
      </c>
      <c r="H2396" s="16">
        <v>45283</v>
      </c>
      <c r="I2396" s="6">
        <v>51</v>
      </c>
      <c r="J2396" s="6" t="s">
        <v>121</v>
      </c>
      <c r="K2396" s="6" t="s">
        <v>171</v>
      </c>
      <c r="L2396" s="11">
        <f>F2396*Controls!$B$6</f>
        <v>39</v>
      </c>
      <c r="M2396" s="11">
        <f>G2396*Controls!$B$6</f>
        <v>4875</v>
      </c>
      <c r="N2396" s="12">
        <f>IF(L2396=0,0,SUMIFS('PSI Plan'!$N$6:$N$173,'PSI Plan'!$B$6:$B$173,B2396,'PSI Plan'!$C$6:$C$173,I2396))</f>
        <v>0</v>
      </c>
      <c r="O2396" s="11">
        <f t="shared" si="74"/>
        <v>0</v>
      </c>
      <c r="P2396" s="11">
        <f t="shared" si="75"/>
        <v>0</v>
      </c>
      <c r="Q2396" s="6"/>
      <c r="R2396" s="6"/>
      <c r="S2396" s="6"/>
      <c r="T2396" s="6"/>
    </row>
    <row r="2397" spans="1:20">
      <c r="A2397" s="6" t="s">
        <v>2564</v>
      </c>
      <c r="B2397" s="6" t="s">
        <v>69</v>
      </c>
      <c r="C2397" s="6" t="s">
        <v>90</v>
      </c>
      <c r="D2397" s="6" t="s">
        <v>119</v>
      </c>
      <c r="E2397" s="6" t="s">
        <v>120</v>
      </c>
      <c r="F2397" s="7">
        <v>52</v>
      </c>
      <c r="G2397" s="7">
        <v>6500</v>
      </c>
      <c r="H2397" s="16">
        <v>45274</v>
      </c>
      <c r="I2397" s="6">
        <v>50</v>
      </c>
      <c r="J2397" s="6" t="s">
        <v>121</v>
      </c>
      <c r="K2397" s="6" t="s">
        <v>171</v>
      </c>
      <c r="L2397" s="11">
        <f>F2397*Controls!$B$6</f>
        <v>52</v>
      </c>
      <c r="M2397" s="11">
        <f>G2397*Controls!$B$6</f>
        <v>6500</v>
      </c>
      <c r="N2397" s="12">
        <f>IF(L2397=0,0,SUMIFS('PSI Plan'!$N$6:$N$173,'PSI Plan'!$B$6:$B$173,B2397,'PSI Plan'!$C$6:$C$173,I2397))</f>
        <v>0</v>
      </c>
      <c r="O2397" s="11">
        <f t="shared" si="74"/>
        <v>0</v>
      </c>
      <c r="P2397" s="11">
        <f t="shared" si="75"/>
        <v>0</v>
      </c>
      <c r="Q2397" s="6"/>
      <c r="R2397" s="6"/>
      <c r="S2397" s="6"/>
      <c r="T2397" s="6"/>
    </row>
    <row r="2398" spans="1:20">
      <c r="A2398" s="6" t="s">
        <v>2565</v>
      </c>
      <c r="B2398" s="6" t="s">
        <v>66</v>
      </c>
      <c r="C2398" s="6" t="s">
        <v>91</v>
      </c>
      <c r="D2398" s="6" t="s">
        <v>567</v>
      </c>
      <c r="E2398" s="6" t="s">
        <v>120</v>
      </c>
      <c r="F2398" s="7">
        <v>190</v>
      </c>
      <c r="G2398" s="7">
        <v>23750</v>
      </c>
      <c r="H2398" s="16">
        <v>45267</v>
      </c>
      <c r="I2398" s="6">
        <v>49</v>
      </c>
      <c r="J2398" s="6" t="s">
        <v>2151</v>
      </c>
      <c r="K2398" s="6" t="s">
        <v>2434</v>
      </c>
      <c r="L2398" s="11">
        <f>F2398*Controls!$B$6</f>
        <v>190</v>
      </c>
      <c r="M2398" s="11">
        <f>G2398*Controls!$B$6</f>
        <v>23750</v>
      </c>
      <c r="N2398" s="12">
        <f>IF(L2398=0,0,SUMIFS('PSI Plan'!$N$6:$N$173,'PSI Plan'!$B$6:$B$173,B2398,'PSI Plan'!$C$6:$C$173,I2398))</f>
        <v>0</v>
      </c>
      <c r="O2398" s="11">
        <f t="shared" si="74"/>
        <v>0</v>
      </c>
      <c r="P2398" s="11">
        <f t="shared" si="75"/>
        <v>0</v>
      </c>
      <c r="Q2398" s="6"/>
      <c r="R2398" s="6"/>
      <c r="S2398" s="6"/>
      <c r="T2398" s="6"/>
    </row>
    <row r="2399" spans="1:20">
      <c r="A2399" s="6" t="s">
        <v>2566</v>
      </c>
      <c r="B2399" s="6" t="s">
        <v>66</v>
      </c>
      <c r="C2399" s="6" t="s">
        <v>91</v>
      </c>
      <c r="D2399" s="6" t="s">
        <v>567</v>
      </c>
      <c r="E2399" s="6" t="s">
        <v>120</v>
      </c>
      <c r="F2399" s="7">
        <v>190</v>
      </c>
      <c r="G2399" s="7">
        <v>23750</v>
      </c>
      <c r="H2399" s="16">
        <v>45231</v>
      </c>
      <c r="I2399" s="6">
        <v>44</v>
      </c>
      <c r="J2399" s="6" t="s">
        <v>2151</v>
      </c>
      <c r="K2399" s="6" t="s">
        <v>2434</v>
      </c>
      <c r="L2399" s="11">
        <f>F2399*Controls!$B$6</f>
        <v>190</v>
      </c>
      <c r="M2399" s="11">
        <f>G2399*Controls!$B$6</f>
        <v>23750</v>
      </c>
      <c r="N2399" s="12">
        <f>IF(L2399=0,0,SUMIFS('PSI Plan'!$N$6:$N$173,'PSI Plan'!$B$6:$B$173,B2399,'PSI Plan'!$C$6:$C$173,I2399))</f>
        <v>0</v>
      </c>
      <c r="O2399" s="11">
        <f t="shared" si="74"/>
        <v>0</v>
      </c>
      <c r="P2399" s="11">
        <f t="shared" si="75"/>
        <v>0</v>
      </c>
      <c r="Q2399" s="6"/>
      <c r="R2399" s="6"/>
      <c r="S2399" s="6"/>
      <c r="T2399" s="6"/>
    </row>
    <row r="2400" spans="1:20">
      <c r="A2400" s="6" t="s">
        <v>2567</v>
      </c>
      <c r="B2400" s="6" t="s">
        <v>66</v>
      </c>
      <c r="C2400" s="6" t="s">
        <v>90</v>
      </c>
      <c r="D2400" s="6" t="s">
        <v>119</v>
      </c>
      <c r="E2400" s="6" t="s">
        <v>120</v>
      </c>
      <c r="F2400" s="7">
        <v>11</v>
      </c>
      <c r="G2400" s="7">
        <v>1375</v>
      </c>
      <c r="H2400" s="16">
        <v>45214</v>
      </c>
      <c r="I2400" s="6">
        <v>42</v>
      </c>
      <c r="J2400" s="6" t="s">
        <v>121</v>
      </c>
      <c r="K2400" s="6" t="s">
        <v>122</v>
      </c>
      <c r="L2400" s="11">
        <f>F2400*Controls!$B$6</f>
        <v>11</v>
      </c>
      <c r="M2400" s="11">
        <f>G2400*Controls!$B$6</f>
        <v>1375</v>
      </c>
      <c r="N2400" s="12">
        <f>IF(L2400=0,0,SUMIFS('PSI Plan'!$N$6:$N$173,'PSI Plan'!$B$6:$B$173,B2400,'PSI Plan'!$C$6:$C$173,I2400))</f>
        <v>0.59807073954983925</v>
      </c>
      <c r="O2400" s="11">
        <f t="shared" si="74"/>
        <v>6.5787781350482319</v>
      </c>
      <c r="P2400" s="11">
        <f t="shared" si="75"/>
        <v>822.34726688102899</v>
      </c>
      <c r="Q2400" s="6"/>
      <c r="R2400" s="6"/>
      <c r="S2400" s="6"/>
      <c r="T2400" s="6"/>
    </row>
    <row r="2401" spans="1:20">
      <c r="A2401" s="6" t="s">
        <v>2568</v>
      </c>
      <c r="B2401" s="6" t="s">
        <v>77</v>
      </c>
      <c r="C2401" s="6" t="s">
        <v>90</v>
      </c>
      <c r="D2401" s="6" t="s">
        <v>119</v>
      </c>
      <c r="E2401" s="6" t="s">
        <v>120</v>
      </c>
      <c r="F2401" s="7">
        <v>12</v>
      </c>
      <c r="G2401" s="7">
        <v>1500</v>
      </c>
      <c r="H2401" s="16">
        <v>45223</v>
      </c>
      <c r="I2401" s="6">
        <v>43</v>
      </c>
      <c r="J2401" s="6" t="s">
        <v>121</v>
      </c>
      <c r="K2401" s="6" t="s">
        <v>122</v>
      </c>
      <c r="L2401" s="11">
        <f>F2401*Controls!$B$6</f>
        <v>12</v>
      </c>
      <c r="M2401" s="11">
        <f>G2401*Controls!$B$6</f>
        <v>1500</v>
      </c>
      <c r="N2401" s="12">
        <f>IF(L2401=0,0,SUMIFS('PSI Plan'!$N$6:$N$173,'PSI Plan'!$B$6:$B$173,B2401,'PSI Plan'!$C$6:$C$173,I2401))</f>
        <v>0</v>
      </c>
      <c r="O2401" s="11">
        <f t="shared" si="74"/>
        <v>0</v>
      </c>
      <c r="P2401" s="11">
        <f t="shared" si="75"/>
        <v>0</v>
      </c>
      <c r="Q2401" s="6"/>
      <c r="R2401" s="6"/>
      <c r="S2401" s="6"/>
      <c r="T2401" s="6"/>
    </row>
    <row r="2402" spans="1:20">
      <c r="A2402" s="6" t="s">
        <v>2569</v>
      </c>
      <c r="B2402" s="6" t="s">
        <v>76</v>
      </c>
      <c r="C2402" s="6" t="s">
        <v>90</v>
      </c>
      <c r="D2402" s="6" t="s">
        <v>119</v>
      </c>
      <c r="E2402" s="6" t="s">
        <v>120</v>
      </c>
      <c r="F2402" s="7">
        <v>3</v>
      </c>
      <c r="G2402" s="7">
        <v>375</v>
      </c>
      <c r="H2402" s="16">
        <v>45259</v>
      </c>
      <c r="I2402" s="6">
        <v>48</v>
      </c>
      <c r="J2402" s="6" t="s">
        <v>121</v>
      </c>
      <c r="K2402" s="6" t="s">
        <v>122</v>
      </c>
      <c r="L2402" s="11">
        <f>F2402*Controls!$B$6</f>
        <v>3</v>
      </c>
      <c r="M2402" s="11">
        <f>G2402*Controls!$B$6</f>
        <v>375</v>
      </c>
      <c r="N2402" s="12">
        <f>IF(L2402=0,0,SUMIFS('PSI Plan'!$N$6:$N$173,'PSI Plan'!$B$6:$B$173,B2402,'PSI Plan'!$C$6:$C$173,I2402))</f>
        <v>0</v>
      </c>
      <c r="O2402" s="11">
        <f t="shared" si="74"/>
        <v>0</v>
      </c>
      <c r="P2402" s="11">
        <f t="shared" si="75"/>
        <v>0</v>
      </c>
      <c r="Q2402" s="6"/>
      <c r="R2402" s="6"/>
      <c r="S2402" s="6"/>
      <c r="T2402" s="6"/>
    </row>
    <row r="2403" spans="1:20">
      <c r="A2403" s="6" t="s">
        <v>2570</v>
      </c>
      <c r="B2403" s="6" t="s">
        <v>67</v>
      </c>
      <c r="C2403" s="6" t="s">
        <v>90</v>
      </c>
      <c r="D2403" s="6" t="s">
        <v>119</v>
      </c>
      <c r="E2403" s="6" t="s">
        <v>120</v>
      </c>
      <c r="F2403" s="7">
        <v>14</v>
      </c>
      <c r="G2403" s="7">
        <v>1750</v>
      </c>
      <c r="H2403" s="16">
        <v>45284</v>
      </c>
      <c r="I2403" s="6">
        <v>52</v>
      </c>
      <c r="J2403" s="6" t="s">
        <v>121</v>
      </c>
      <c r="K2403" s="6" t="s">
        <v>122</v>
      </c>
      <c r="L2403" s="11">
        <f>F2403*Controls!$B$6</f>
        <v>14</v>
      </c>
      <c r="M2403" s="11">
        <f>G2403*Controls!$B$6</f>
        <v>1750</v>
      </c>
      <c r="N2403" s="12">
        <f>IF(L2403=0,0,SUMIFS('PSI Plan'!$N$6:$N$173,'PSI Plan'!$B$6:$B$173,B2403,'PSI Plan'!$C$6:$C$173,I2403))</f>
        <v>0</v>
      </c>
      <c r="O2403" s="11">
        <f t="shared" si="74"/>
        <v>0</v>
      </c>
      <c r="P2403" s="11">
        <f t="shared" si="75"/>
        <v>0</v>
      </c>
      <c r="Q2403" s="6"/>
      <c r="R2403" s="6"/>
      <c r="S2403" s="6"/>
      <c r="T2403" s="6"/>
    </row>
    <row r="2404" spans="1:20">
      <c r="A2404" s="6" t="s">
        <v>2571</v>
      </c>
      <c r="B2404" s="6" t="s">
        <v>69</v>
      </c>
      <c r="C2404" s="6" t="s">
        <v>90</v>
      </c>
      <c r="D2404" s="6" t="s">
        <v>119</v>
      </c>
      <c r="E2404" s="6" t="s">
        <v>120</v>
      </c>
      <c r="F2404" s="7">
        <v>26</v>
      </c>
      <c r="G2404" s="7">
        <v>3250</v>
      </c>
      <c r="H2404" s="16">
        <v>45236</v>
      </c>
      <c r="I2404" s="6">
        <v>45</v>
      </c>
      <c r="J2404" s="6" t="s">
        <v>121</v>
      </c>
      <c r="K2404" s="6" t="s">
        <v>122</v>
      </c>
      <c r="L2404" s="11">
        <f>F2404*Controls!$B$6</f>
        <v>26</v>
      </c>
      <c r="M2404" s="11">
        <f>G2404*Controls!$B$6</f>
        <v>3250</v>
      </c>
      <c r="N2404" s="12">
        <f>IF(L2404=0,0,SUMIFS('PSI Plan'!$N$6:$N$173,'PSI Plan'!$B$6:$B$173,B2404,'PSI Plan'!$C$6:$C$173,I2404))</f>
        <v>0</v>
      </c>
      <c r="O2404" s="11">
        <f t="shared" si="74"/>
        <v>0</v>
      </c>
      <c r="P2404" s="11">
        <f t="shared" si="75"/>
        <v>0</v>
      </c>
      <c r="Q2404" s="6"/>
      <c r="R2404" s="6"/>
      <c r="S2404" s="6"/>
      <c r="T2404" s="6"/>
    </row>
    <row r="2405" spans="1:20">
      <c r="A2405" s="6" t="s">
        <v>2572</v>
      </c>
      <c r="B2405" s="6" t="s">
        <v>77</v>
      </c>
      <c r="C2405" s="6" t="s">
        <v>90</v>
      </c>
      <c r="D2405" s="6" t="s">
        <v>119</v>
      </c>
      <c r="E2405" s="6" t="s">
        <v>120</v>
      </c>
      <c r="F2405" s="7">
        <v>13</v>
      </c>
      <c r="G2405" s="7">
        <v>1625</v>
      </c>
      <c r="H2405" s="16">
        <v>45248</v>
      </c>
      <c r="I2405" s="6">
        <v>46</v>
      </c>
      <c r="J2405" s="6" t="s">
        <v>121</v>
      </c>
      <c r="K2405" s="6" t="s">
        <v>169</v>
      </c>
      <c r="L2405" s="11">
        <f>F2405*Controls!$B$6</f>
        <v>13</v>
      </c>
      <c r="M2405" s="11">
        <f>G2405*Controls!$B$6</f>
        <v>1625</v>
      </c>
      <c r="N2405" s="12">
        <f>IF(L2405=0,0,SUMIFS('PSI Plan'!$N$6:$N$173,'PSI Plan'!$B$6:$B$173,B2405,'PSI Plan'!$C$6:$C$173,I2405))</f>
        <v>0</v>
      </c>
      <c r="O2405" s="11">
        <f t="shared" si="74"/>
        <v>0</v>
      </c>
      <c r="P2405" s="11">
        <f t="shared" si="75"/>
        <v>0</v>
      </c>
      <c r="Q2405" s="6"/>
      <c r="R2405" s="6"/>
      <c r="S2405" s="6"/>
      <c r="T2405" s="6"/>
    </row>
    <row r="2406" spans="1:20">
      <c r="A2406" s="6" t="s">
        <v>2573</v>
      </c>
      <c r="B2406" s="6" t="s">
        <v>69</v>
      </c>
      <c r="C2406" s="6" t="s">
        <v>90</v>
      </c>
      <c r="D2406" s="6" t="s">
        <v>119</v>
      </c>
      <c r="E2406" s="6" t="s">
        <v>120</v>
      </c>
      <c r="F2406" s="7">
        <v>13</v>
      </c>
      <c r="G2406" s="7">
        <v>1625</v>
      </c>
      <c r="H2406" s="16">
        <v>45256</v>
      </c>
      <c r="I2406" s="6">
        <v>48</v>
      </c>
      <c r="J2406" s="6" t="s">
        <v>121</v>
      </c>
      <c r="K2406" s="6" t="s">
        <v>169</v>
      </c>
      <c r="L2406" s="11">
        <f>F2406*Controls!$B$6</f>
        <v>13</v>
      </c>
      <c r="M2406" s="11">
        <f>G2406*Controls!$B$6</f>
        <v>1625</v>
      </c>
      <c r="N2406" s="12">
        <f>IF(L2406=0,0,SUMIFS('PSI Plan'!$N$6:$N$173,'PSI Plan'!$B$6:$B$173,B2406,'PSI Plan'!$C$6:$C$173,I2406))</f>
        <v>0</v>
      </c>
      <c r="O2406" s="11">
        <f t="shared" si="74"/>
        <v>0</v>
      </c>
      <c r="P2406" s="11">
        <f t="shared" si="75"/>
        <v>0</v>
      </c>
      <c r="Q2406" s="6"/>
      <c r="R2406" s="6"/>
      <c r="S2406" s="6"/>
      <c r="T2406" s="6"/>
    </row>
    <row r="2407" spans="1:20">
      <c r="A2407" s="6" t="s">
        <v>2574</v>
      </c>
      <c r="B2407" s="6" t="s">
        <v>66</v>
      </c>
      <c r="C2407" s="6" t="s">
        <v>90</v>
      </c>
      <c r="D2407" s="6" t="s">
        <v>119</v>
      </c>
      <c r="E2407" s="6" t="s">
        <v>120</v>
      </c>
      <c r="F2407" s="7">
        <v>13</v>
      </c>
      <c r="G2407" s="7">
        <v>1625</v>
      </c>
      <c r="H2407" s="16">
        <v>45224</v>
      </c>
      <c r="I2407" s="6">
        <v>43</v>
      </c>
      <c r="J2407" s="6" t="s">
        <v>121</v>
      </c>
      <c r="K2407" s="6" t="s">
        <v>171</v>
      </c>
      <c r="L2407" s="11">
        <f>F2407*Controls!$B$6</f>
        <v>13</v>
      </c>
      <c r="M2407" s="11">
        <f>G2407*Controls!$B$6</f>
        <v>1625</v>
      </c>
      <c r="N2407" s="12">
        <f>IF(L2407=0,0,SUMIFS('PSI Plan'!$N$6:$N$173,'PSI Plan'!$B$6:$B$173,B2407,'PSI Plan'!$C$6:$C$173,I2407))</f>
        <v>0</v>
      </c>
      <c r="O2407" s="11">
        <f t="shared" si="74"/>
        <v>0</v>
      </c>
      <c r="P2407" s="11">
        <f t="shared" si="75"/>
        <v>0</v>
      </c>
      <c r="Q2407" s="6"/>
      <c r="R2407" s="6"/>
      <c r="S2407" s="6"/>
      <c r="T2407" s="6"/>
    </row>
    <row r="2408" spans="1:20">
      <c r="A2408" s="6" t="s">
        <v>2575</v>
      </c>
      <c r="B2408" s="6" t="s">
        <v>77</v>
      </c>
      <c r="C2408" s="6" t="s">
        <v>90</v>
      </c>
      <c r="D2408" s="6" t="s">
        <v>119</v>
      </c>
      <c r="E2408" s="6" t="s">
        <v>120</v>
      </c>
      <c r="F2408" s="7">
        <v>13</v>
      </c>
      <c r="G2408" s="7">
        <v>1625</v>
      </c>
      <c r="H2408" s="16">
        <v>45217</v>
      </c>
      <c r="I2408" s="6">
        <v>42</v>
      </c>
      <c r="J2408" s="6" t="s">
        <v>121</v>
      </c>
      <c r="K2408" s="6" t="s">
        <v>171</v>
      </c>
      <c r="L2408" s="11">
        <f>F2408*Controls!$B$6</f>
        <v>13</v>
      </c>
      <c r="M2408" s="11">
        <f>G2408*Controls!$B$6</f>
        <v>1625</v>
      </c>
      <c r="N2408" s="12">
        <f>IF(L2408=0,0,SUMIFS('PSI Plan'!$N$6:$N$173,'PSI Plan'!$B$6:$B$173,B2408,'PSI Plan'!$C$6:$C$173,I2408))</f>
        <v>0</v>
      </c>
      <c r="O2408" s="11">
        <f t="shared" si="74"/>
        <v>0</v>
      </c>
      <c r="P2408" s="11">
        <f t="shared" si="75"/>
        <v>0</v>
      </c>
      <c r="Q2408" s="6"/>
      <c r="R2408" s="6"/>
      <c r="S2408" s="6"/>
      <c r="T2408" s="6"/>
    </row>
    <row r="2409" spans="1:20">
      <c r="A2409" s="6" t="s">
        <v>2576</v>
      </c>
      <c r="B2409" s="6" t="s">
        <v>69</v>
      </c>
      <c r="C2409" s="6" t="s">
        <v>90</v>
      </c>
      <c r="D2409" s="6" t="s">
        <v>119</v>
      </c>
      <c r="E2409" s="6" t="s">
        <v>120</v>
      </c>
      <c r="F2409" s="7">
        <v>13</v>
      </c>
      <c r="G2409" s="7">
        <v>1625</v>
      </c>
      <c r="H2409" s="16">
        <v>45231</v>
      </c>
      <c r="I2409" s="6">
        <v>44</v>
      </c>
      <c r="J2409" s="6" t="s">
        <v>121</v>
      </c>
      <c r="K2409" s="6" t="s">
        <v>171</v>
      </c>
      <c r="L2409" s="11">
        <f>F2409*Controls!$B$6</f>
        <v>13</v>
      </c>
      <c r="M2409" s="11">
        <f>G2409*Controls!$B$6</f>
        <v>1625</v>
      </c>
      <c r="N2409" s="12">
        <f>IF(L2409=0,0,SUMIFS('PSI Plan'!$N$6:$N$173,'PSI Plan'!$B$6:$B$173,B2409,'PSI Plan'!$C$6:$C$173,I2409))</f>
        <v>0</v>
      </c>
      <c r="O2409" s="11">
        <f t="shared" si="74"/>
        <v>0</v>
      </c>
      <c r="P2409" s="11">
        <f t="shared" si="75"/>
        <v>0</v>
      </c>
      <c r="Q2409" s="6"/>
      <c r="R2409" s="6"/>
      <c r="S2409" s="6"/>
      <c r="T2409" s="6"/>
    </row>
    <row r="2410" spans="1:20">
      <c r="A2410" s="6" t="s">
        <v>2577</v>
      </c>
      <c r="B2410" s="6" t="s">
        <v>66</v>
      </c>
      <c r="C2410" s="6" t="s">
        <v>92</v>
      </c>
      <c r="D2410" s="6" t="s">
        <v>567</v>
      </c>
      <c r="E2410" s="6" t="s">
        <v>120</v>
      </c>
      <c r="F2410" s="7">
        <v>38</v>
      </c>
      <c r="G2410" s="7">
        <v>4750</v>
      </c>
      <c r="H2410" s="16">
        <v>45249</v>
      </c>
      <c r="I2410" s="6">
        <v>47</v>
      </c>
      <c r="J2410" s="6" t="s">
        <v>2151</v>
      </c>
      <c r="K2410" s="6" t="s">
        <v>2526</v>
      </c>
      <c r="L2410" s="11">
        <f>F2410*Controls!$B$6</f>
        <v>38</v>
      </c>
      <c r="M2410" s="11">
        <f>G2410*Controls!$B$6</f>
        <v>4750</v>
      </c>
      <c r="N2410" s="12">
        <f>IF(L2410=0,0,SUMIFS('PSI Plan'!$N$6:$N$173,'PSI Plan'!$B$6:$B$173,B2410,'PSI Plan'!$C$6:$C$173,I2410))</f>
        <v>0</v>
      </c>
      <c r="O2410" s="11">
        <f t="shared" si="74"/>
        <v>0</v>
      </c>
      <c r="P2410" s="11">
        <f t="shared" si="75"/>
        <v>0</v>
      </c>
      <c r="Q2410" s="6"/>
      <c r="R2410" s="6"/>
      <c r="S2410" s="6"/>
      <c r="T2410" s="6"/>
    </row>
    <row r="2411" spans="1:20">
      <c r="A2411" s="6" t="s">
        <v>2578</v>
      </c>
      <c r="B2411" s="6" t="s">
        <v>66</v>
      </c>
      <c r="C2411" s="6" t="s">
        <v>92</v>
      </c>
      <c r="D2411" s="6" t="s">
        <v>567</v>
      </c>
      <c r="E2411" s="6" t="s">
        <v>120</v>
      </c>
      <c r="F2411" s="7">
        <v>75</v>
      </c>
      <c r="G2411" s="7">
        <v>9375</v>
      </c>
      <c r="H2411" s="16">
        <v>45246</v>
      </c>
      <c r="I2411" s="6">
        <v>46</v>
      </c>
      <c r="J2411" s="6" t="s">
        <v>2151</v>
      </c>
      <c r="K2411" s="6" t="s">
        <v>2526</v>
      </c>
      <c r="L2411" s="11">
        <f>F2411*Controls!$B$6</f>
        <v>75</v>
      </c>
      <c r="M2411" s="11">
        <f>G2411*Controls!$B$6</f>
        <v>9375</v>
      </c>
      <c r="N2411" s="12">
        <f>IF(L2411=0,0,SUMIFS('PSI Plan'!$N$6:$N$173,'PSI Plan'!$B$6:$B$173,B2411,'PSI Plan'!$C$6:$C$173,I2411))</f>
        <v>0</v>
      </c>
      <c r="O2411" s="11">
        <f t="shared" si="74"/>
        <v>0</v>
      </c>
      <c r="P2411" s="11">
        <f t="shared" si="75"/>
        <v>0</v>
      </c>
      <c r="Q2411" s="6"/>
      <c r="R2411" s="6"/>
      <c r="S2411" s="6"/>
      <c r="T2411" s="6"/>
    </row>
    <row r="2412" spans="1:20">
      <c r="A2412" s="6" t="s">
        <v>2579</v>
      </c>
      <c r="B2412" s="6" t="s">
        <v>67</v>
      </c>
      <c r="C2412" s="6" t="s">
        <v>92</v>
      </c>
      <c r="D2412" s="6" t="s">
        <v>567</v>
      </c>
      <c r="E2412" s="6" t="s">
        <v>120</v>
      </c>
      <c r="F2412" s="7">
        <v>15</v>
      </c>
      <c r="G2412" s="7">
        <v>1875</v>
      </c>
      <c r="H2412" s="16">
        <v>45212</v>
      </c>
      <c r="I2412" s="6">
        <v>41</v>
      </c>
      <c r="J2412" s="6" t="s">
        <v>2151</v>
      </c>
      <c r="K2412" s="6" t="s">
        <v>2526</v>
      </c>
      <c r="L2412" s="11">
        <f>F2412*Controls!$B$6</f>
        <v>15</v>
      </c>
      <c r="M2412" s="11">
        <f>G2412*Controls!$B$6</f>
        <v>1875</v>
      </c>
      <c r="N2412" s="12">
        <f>IF(L2412=0,0,SUMIFS('PSI Plan'!$N$6:$N$173,'PSI Plan'!$B$6:$B$173,B2412,'PSI Plan'!$C$6:$C$173,I2412))</f>
        <v>0</v>
      </c>
      <c r="O2412" s="11">
        <f t="shared" si="74"/>
        <v>0</v>
      </c>
      <c r="P2412" s="11">
        <f t="shared" si="75"/>
        <v>0</v>
      </c>
      <c r="Q2412" s="6"/>
      <c r="R2412" s="6"/>
      <c r="S2412" s="6"/>
      <c r="T2412" s="6"/>
    </row>
    <row r="2413" spans="1:20">
      <c r="A2413" s="6" t="s">
        <v>2580</v>
      </c>
      <c r="B2413" s="6" t="s">
        <v>69</v>
      </c>
      <c r="C2413" s="6" t="s">
        <v>92</v>
      </c>
      <c r="D2413" s="6" t="s">
        <v>567</v>
      </c>
      <c r="E2413" s="6" t="s">
        <v>120</v>
      </c>
      <c r="F2413" s="7">
        <v>38</v>
      </c>
      <c r="G2413" s="7">
        <v>4750</v>
      </c>
      <c r="H2413" s="16">
        <v>45232</v>
      </c>
      <c r="I2413" s="6">
        <v>44</v>
      </c>
      <c r="J2413" s="6" t="s">
        <v>2151</v>
      </c>
      <c r="K2413" s="6" t="s">
        <v>2526</v>
      </c>
      <c r="L2413" s="11">
        <f>F2413*Controls!$B$6</f>
        <v>38</v>
      </c>
      <c r="M2413" s="11">
        <f>G2413*Controls!$B$6</f>
        <v>4750</v>
      </c>
      <c r="N2413" s="12">
        <f>IF(L2413=0,0,SUMIFS('PSI Plan'!$N$6:$N$173,'PSI Plan'!$B$6:$B$173,B2413,'PSI Plan'!$C$6:$C$173,I2413))</f>
        <v>0</v>
      </c>
      <c r="O2413" s="11">
        <f t="shared" si="74"/>
        <v>0</v>
      </c>
      <c r="P2413" s="11">
        <f t="shared" si="75"/>
        <v>0</v>
      </c>
      <c r="Q2413" s="6"/>
      <c r="R2413" s="6"/>
      <c r="S2413" s="6"/>
      <c r="T2413" s="6"/>
    </row>
    <row r="2414" spans="1:20">
      <c r="A2414" s="6" t="s">
        <v>2581</v>
      </c>
      <c r="B2414" s="6" t="s">
        <v>66</v>
      </c>
      <c r="C2414" s="6" t="s">
        <v>99</v>
      </c>
      <c r="D2414" s="6" t="s">
        <v>319</v>
      </c>
      <c r="E2414" s="6" t="s">
        <v>120</v>
      </c>
      <c r="F2414" s="7">
        <v>12</v>
      </c>
      <c r="G2414" s="7">
        <v>1500</v>
      </c>
      <c r="H2414" s="16">
        <v>45260</v>
      </c>
      <c r="I2414" s="6">
        <v>48</v>
      </c>
      <c r="J2414" s="6" t="s">
        <v>121</v>
      </c>
      <c r="K2414" s="6" t="s">
        <v>374</v>
      </c>
      <c r="L2414" s="11">
        <f>F2414*Controls!$B$6</f>
        <v>12</v>
      </c>
      <c r="M2414" s="11">
        <f>G2414*Controls!$B$6</f>
        <v>1500</v>
      </c>
      <c r="N2414" s="12">
        <f>IF(L2414=0,0,SUMIFS('PSI Plan'!$N$6:$N$173,'PSI Plan'!$B$6:$B$173,B2414,'PSI Plan'!$C$6:$C$173,I2414))</f>
        <v>0</v>
      </c>
      <c r="O2414" s="11">
        <f t="shared" si="74"/>
        <v>0</v>
      </c>
      <c r="P2414" s="11">
        <f t="shared" si="75"/>
        <v>0</v>
      </c>
      <c r="Q2414" s="6"/>
      <c r="R2414" s="6"/>
      <c r="S2414" s="6"/>
      <c r="T2414" s="6"/>
    </row>
    <row r="2415" spans="1:20">
      <c r="A2415" s="6" t="s">
        <v>2582</v>
      </c>
      <c r="B2415" s="6" t="s">
        <v>76</v>
      </c>
      <c r="C2415" s="6" t="s">
        <v>99</v>
      </c>
      <c r="D2415" s="6" t="s">
        <v>319</v>
      </c>
      <c r="E2415" s="6" t="s">
        <v>120</v>
      </c>
      <c r="F2415" s="7">
        <v>12</v>
      </c>
      <c r="G2415" s="7">
        <v>1500</v>
      </c>
      <c r="H2415" s="16">
        <v>45263</v>
      </c>
      <c r="I2415" s="6">
        <v>49</v>
      </c>
      <c r="J2415" s="6" t="s">
        <v>121</v>
      </c>
      <c r="K2415" s="6" t="s">
        <v>374</v>
      </c>
      <c r="L2415" s="11">
        <f>F2415*Controls!$B$6</f>
        <v>12</v>
      </c>
      <c r="M2415" s="11">
        <f>G2415*Controls!$B$6</f>
        <v>1500</v>
      </c>
      <c r="N2415" s="12">
        <f>IF(L2415=0,0,SUMIFS('PSI Plan'!$N$6:$N$173,'PSI Plan'!$B$6:$B$173,B2415,'PSI Plan'!$C$6:$C$173,I2415))</f>
        <v>0</v>
      </c>
      <c r="O2415" s="11">
        <f t="shared" si="74"/>
        <v>0</v>
      </c>
      <c r="P2415" s="11">
        <f t="shared" si="75"/>
        <v>0</v>
      </c>
      <c r="Q2415" s="6"/>
      <c r="R2415" s="6"/>
      <c r="S2415" s="6"/>
      <c r="T2415" s="6"/>
    </row>
    <row r="2416" spans="1:20">
      <c r="A2416" s="6" t="s">
        <v>2583</v>
      </c>
      <c r="B2416" s="6" t="s">
        <v>69</v>
      </c>
      <c r="C2416" s="6" t="s">
        <v>99</v>
      </c>
      <c r="D2416" s="6" t="s">
        <v>319</v>
      </c>
      <c r="E2416" s="6" t="s">
        <v>120</v>
      </c>
      <c r="F2416" s="7">
        <v>14</v>
      </c>
      <c r="G2416" s="7">
        <v>1750</v>
      </c>
      <c r="H2416" s="16">
        <v>45236</v>
      </c>
      <c r="I2416" s="6">
        <v>45</v>
      </c>
      <c r="J2416" s="6" t="s">
        <v>121</v>
      </c>
      <c r="K2416" s="6" t="s">
        <v>374</v>
      </c>
      <c r="L2416" s="11">
        <f>F2416*Controls!$B$6</f>
        <v>14</v>
      </c>
      <c r="M2416" s="11">
        <f>G2416*Controls!$B$6</f>
        <v>1750</v>
      </c>
      <c r="N2416" s="12">
        <f>IF(L2416=0,0,SUMIFS('PSI Plan'!$N$6:$N$173,'PSI Plan'!$B$6:$B$173,B2416,'PSI Plan'!$C$6:$C$173,I2416))</f>
        <v>0</v>
      </c>
      <c r="O2416" s="11">
        <f t="shared" si="74"/>
        <v>0</v>
      </c>
      <c r="P2416" s="11">
        <f t="shared" si="75"/>
        <v>0</v>
      </c>
      <c r="Q2416" s="6"/>
      <c r="R2416" s="6"/>
      <c r="S2416" s="6"/>
      <c r="T2416" s="6"/>
    </row>
    <row r="2417" spans="1:20">
      <c r="A2417" s="6" t="s">
        <v>2584</v>
      </c>
      <c r="B2417" s="6" t="s">
        <v>66</v>
      </c>
      <c r="C2417" s="6" t="s">
        <v>101</v>
      </c>
      <c r="D2417" s="6" t="s">
        <v>1895</v>
      </c>
      <c r="E2417" s="6" t="s">
        <v>120</v>
      </c>
      <c r="F2417" s="7">
        <v>30</v>
      </c>
      <c r="G2417" s="7">
        <v>3750</v>
      </c>
      <c r="H2417" s="16">
        <v>45216</v>
      </c>
      <c r="I2417" s="6">
        <v>42</v>
      </c>
      <c r="J2417" s="6" t="s">
        <v>1791</v>
      </c>
      <c r="K2417" s="6" t="s">
        <v>1896</v>
      </c>
      <c r="L2417" s="11">
        <f>F2417*Controls!$B$6</f>
        <v>30</v>
      </c>
      <c r="M2417" s="11">
        <f>G2417*Controls!$B$6</f>
        <v>3750</v>
      </c>
      <c r="N2417" s="12">
        <f>IF(L2417=0,0,SUMIFS('PSI Plan'!$N$6:$N$173,'PSI Plan'!$B$6:$B$173,B2417,'PSI Plan'!$C$6:$C$173,I2417))</f>
        <v>0.59807073954983925</v>
      </c>
      <c r="O2417" s="11">
        <f t="shared" si="74"/>
        <v>17.942122186495176</v>
      </c>
      <c r="P2417" s="11">
        <f t="shared" si="75"/>
        <v>2242.7652733118971</v>
      </c>
      <c r="Q2417" s="6"/>
      <c r="R2417" s="6"/>
      <c r="S2417" s="6"/>
      <c r="T2417" s="6"/>
    </row>
    <row r="2418" spans="1:20">
      <c r="A2418" s="6" t="s">
        <v>2585</v>
      </c>
      <c r="B2418" s="6" t="s">
        <v>76</v>
      </c>
      <c r="C2418" s="6" t="s">
        <v>101</v>
      </c>
      <c r="D2418" s="6" t="s">
        <v>1895</v>
      </c>
      <c r="E2418" s="6" t="s">
        <v>120</v>
      </c>
      <c r="F2418" s="7">
        <v>10</v>
      </c>
      <c r="G2418" s="7">
        <v>1250</v>
      </c>
      <c r="H2418" s="16">
        <v>45257</v>
      </c>
      <c r="I2418" s="6">
        <v>48</v>
      </c>
      <c r="J2418" s="6" t="s">
        <v>1791</v>
      </c>
      <c r="K2418" s="6" t="s">
        <v>1896</v>
      </c>
      <c r="L2418" s="11">
        <f>F2418*Controls!$B$6</f>
        <v>10</v>
      </c>
      <c r="M2418" s="11">
        <f>G2418*Controls!$B$6</f>
        <v>1250</v>
      </c>
      <c r="N2418" s="12">
        <f>IF(L2418=0,0,SUMIFS('PSI Plan'!$N$6:$N$173,'PSI Plan'!$B$6:$B$173,B2418,'PSI Plan'!$C$6:$C$173,I2418))</f>
        <v>0</v>
      </c>
      <c r="O2418" s="11">
        <f t="shared" si="74"/>
        <v>0</v>
      </c>
      <c r="P2418" s="11">
        <f t="shared" si="75"/>
        <v>0</v>
      </c>
      <c r="Q2418" s="6"/>
      <c r="R2418" s="6"/>
      <c r="S2418" s="6"/>
      <c r="T2418" s="6"/>
    </row>
    <row r="2419" spans="1:20">
      <c r="A2419" s="6" t="s">
        <v>2586</v>
      </c>
      <c r="B2419" s="6" t="s">
        <v>67</v>
      </c>
      <c r="C2419" s="6" t="s">
        <v>101</v>
      </c>
      <c r="D2419" s="6" t="s">
        <v>1895</v>
      </c>
      <c r="E2419" s="6" t="s">
        <v>120</v>
      </c>
      <c r="F2419" s="7">
        <v>30</v>
      </c>
      <c r="G2419" s="7">
        <v>3750</v>
      </c>
      <c r="H2419" s="16">
        <v>45259</v>
      </c>
      <c r="I2419" s="6">
        <v>48</v>
      </c>
      <c r="J2419" s="6" t="s">
        <v>1791</v>
      </c>
      <c r="K2419" s="6" t="s">
        <v>1896</v>
      </c>
      <c r="L2419" s="11">
        <f>F2419*Controls!$B$6</f>
        <v>30</v>
      </c>
      <c r="M2419" s="11">
        <f>G2419*Controls!$B$6</f>
        <v>3750</v>
      </c>
      <c r="N2419" s="12">
        <f>IF(L2419=0,0,SUMIFS('PSI Plan'!$N$6:$N$173,'PSI Plan'!$B$6:$B$173,B2419,'PSI Plan'!$C$6:$C$173,I2419))</f>
        <v>0</v>
      </c>
      <c r="O2419" s="11">
        <f t="shared" si="74"/>
        <v>0</v>
      </c>
      <c r="P2419" s="11">
        <f t="shared" si="75"/>
        <v>0</v>
      </c>
      <c r="Q2419" s="6"/>
      <c r="R2419" s="6"/>
      <c r="S2419" s="6"/>
      <c r="T2419" s="6"/>
    </row>
    <row r="2420" spans="1:20">
      <c r="A2420" s="6" t="s">
        <v>2587</v>
      </c>
      <c r="B2420" s="6" t="s">
        <v>77</v>
      </c>
      <c r="C2420" s="6" t="s">
        <v>90</v>
      </c>
      <c r="D2420" s="6" t="s">
        <v>119</v>
      </c>
      <c r="E2420" s="6" t="s">
        <v>120</v>
      </c>
      <c r="F2420" s="7">
        <v>41</v>
      </c>
      <c r="G2420" s="7">
        <v>5125</v>
      </c>
      <c r="H2420" s="16">
        <v>45277</v>
      </c>
      <c r="I2420" s="6">
        <v>51</v>
      </c>
      <c r="J2420" s="6" t="s">
        <v>121</v>
      </c>
      <c r="K2420" s="6" t="s">
        <v>122</v>
      </c>
      <c r="L2420" s="11">
        <f>F2420*Controls!$B$6</f>
        <v>41</v>
      </c>
      <c r="M2420" s="11">
        <f>G2420*Controls!$B$6</f>
        <v>5125</v>
      </c>
      <c r="N2420" s="12">
        <f>IF(L2420=0,0,SUMIFS('PSI Plan'!$N$6:$N$173,'PSI Plan'!$B$6:$B$173,B2420,'PSI Plan'!$C$6:$C$173,I2420))</f>
        <v>0</v>
      </c>
      <c r="O2420" s="11">
        <f t="shared" si="74"/>
        <v>0</v>
      </c>
      <c r="P2420" s="11">
        <f t="shared" si="75"/>
        <v>0</v>
      </c>
      <c r="Q2420" s="6"/>
      <c r="R2420" s="6"/>
      <c r="S2420" s="6"/>
      <c r="T2420" s="6"/>
    </row>
    <row r="2421" spans="1:20">
      <c r="A2421" s="6" t="s">
        <v>2588</v>
      </c>
      <c r="B2421" s="6" t="s">
        <v>76</v>
      </c>
      <c r="C2421" s="6" t="s">
        <v>90</v>
      </c>
      <c r="D2421" s="6" t="s">
        <v>119</v>
      </c>
      <c r="E2421" s="6" t="s">
        <v>120</v>
      </c>
      <c r="F2421" s="7">
        <v>26</v>
      </c>
      <c r="G2421" s="7">
        <v>3250</v>
      </c>
      <c r="H2421" s="16">
        <v>45207</v>
      </c>
      <c r="I2421" s="6">
        <v>41</v>
      </c>
      <c r="J2421" s="6" t="s">
        <v>121</v>
      </c>
      <c r="K2421" s="6" t="s">
        <v>122</v>
      </c>
      <c r="L2421" s="11">
        <f>F2421*Controls!$B$6</f>
        <v>26</v>
      </c>
      <c r="M2421" s="11">
        <f>G2421*Controls!$B$6</f>
        <v>3250</v>
      </c>
      <c r="N2421" s="12">
        <f>IF(L2421=0,0,SUMIFS('PSI Plan'!$N$6:$N$173,'PSI Plan'!$B$6:$B$173,B2421,'PSI Plan'!$C$6:$C$173,I2421))</f>
        <v>0</v>
      </c>
      <c r="O2421" s="11">
        <f t="shared" si="74"/>
        <v>0</v>
      </c>
      <c r="P2421" s="11">
        <f t="shared" si="75"/>
        <v>0</v>
      </c>
      <c r="Q2421" s="6"/>
      <c r="R2421" s="6"/>
      <c r="S2421" s="6"/>
      <c r="T2421" s="6"/>
    </row>
    <row r="2422" spans="1:20">
      <c r="A2422" s="6" t="s">
        <v>2589</v>
      </c>
      <c r="B2422" s="6" t="s">
        <v>66</v>
      </c>
      <c r="C2422" s="6" t="s">
        <v>90</v>
      </c>
      <c r="D2422" s="6" t="s">
        <v>119</v>
      </c>
      <c r="E2422" s="6" t="s">
        <v>120</v>
      </c>
      <c r="F2422" s="7">
        <v>6</v>
      </c>
      <c r="G2422" s="7">
        <v>750</v>
      </c>
      <c r="H2422" s="16">
        <v>45243</v>
      </c>
      <c r="I2422" s="6">
        <v>46</v>
      </c>
      <c r="J2422" s="6" t="s">
        <v>121</v>
      </c>
      <c r="K2422" s="6" t="s">
        <v>139</v>
      </c>
      <c r="L2422" s="11">
        <f>F2422*Controls!$B$6</f>
        <v>6</v>
      </c>
      <c r="M2422" s="11">
        <f>G2422*Controls!$B$6</f>
        <v>750</v>
      </c>
      <c r="N2422" s="12">
        <f>IF(L2422=0,0,SUMIFS('PSI Plan'!$N$6:$N$173,'PSI Plan'!$B$6:$B$173,B2422,'PSI Plan'!$C$6:$C$173,I2422))</f>
        <v>0</v>
      </c>
      <c r="O2422" s="11">
        <f t="shared" si="74"/>
        <v>0</v>
      </c>
      <c r="P2422" s="11">
        <f t="shared" si="75"/>
        <v>0</v>
      </c>
      <c r="Q2422" s="6"/>
      <c r="R2422" s="6"/>
      <c r="S2422" s="6"/>
      <c r="T2422" s="6"/>
    </row>
    <row r="2423" spans="1:20">
      <c r="A2423" s="6" t="s">
        <v>2590</v>
      </c>
      <c r="B2423" s="6" t="s">
        <v>77</v>
      </c>
      <c r="C2423" s="6" t="s">
        <v>90</v>
      </c>
      <c r="D2423" s="6" t="s">
        <v>119</v>
      </c>
      <c r="E2423" s="6" t="s">
        <v>120</v>
      </c>
      <c r="F2423" s="7">
        <v>5</v>
      </c>
      <c r="G2423" s="7">
        <v>625</v>
      </c>
      <c r="H2423" s="16">
        <v>45247</v>
      </c>
      <c r="I2423" s="6">
        <v>46</v>
      </c>
      <c r="J2423" s="6" t="s">
        <v>121</v>
      </c>
      <c r="K2423" s="6" t="s">
        <v>139</v>
      </c>
      <c r="L2423" s="11">
        <f>F2423*Controls!$B$6</f>
        <v>5</v>
      </c>
      <c r="M2423" s="11">
        <f>G2423*Controls!$B$6</f>
        <v>625</v>
      </c>
      <c r="N2423" s="12">
        <f>IF(L2423=0,0,SUMIFS('PSI Plan'!$N$6:$N$173,'PSI Plan'!$B$6:$B$173,B2423,'PSI Plan'!$C$6:$C$173,I2423))</f>
        <v>0</v>
      </c>
      <c r="O2423" s="11">
        <f t="shared" si="74"/>
        <v>0</v>
      </c>
      <c r="P2423" s="11">
        <f t="shared" si="75"/>
        <v>0</v>
      </c>
      <c r="Q2423" s="6"/>
      <c r="R2423" s="6"/>
      <c r="S2423" s="6"/>
      <c r="T2423" s="6"/>
    </row>
    <row r="2424" spans="1:20">
      <c r="A2424" s="6" t="s">
        <v>2591</v>
      </c>
      <c r="B2424" s="6" t="s">
        <v>76</v>
      </c>
      <c r="C2424" s="6" t="s">
        <v>90</v>
      </c>
      <c r="D2424" s="6" t="s">
        <v>119</v>
      </c>
      <c r="E2424" s="6" t="s">
        <v>120</v>
      </c>
      <c r="F2424" s="7">
        <v>12</v>
      </c>
      <c r="G2424" s="7">
        <v>1500</v>
      </c>
      <c r="H2424" s="16">
        <v>45246</v>
      </c>
      <c r="I2424" s="6">
        <v>46</v>
      </c>
      <c r="J2424" s="6" t="s">
        <v>121</v>
      </c>
      <c r="K2424" s="6" t="s">
        <v>139</v>
      </c>
      <c r="L2424" s="11">
        <f>F2424*Controls!$B$6</f>
        <v>12</v>
      </c>
      <c r="M2424" s="11">
        <f>G2424*Controls!$B$6</f>
        <v>1500</v>
      </c>
      <c r="N2424" s="12">
        <f>IF(L2424=0,0,SUMIFS('PSI Plan'!$N$6:$N$173,'PSI Plan'!$B$6:$B$173,B2424,'PSI Plan'!$C$6:$C$173,I2424))</f>
        <v>0</v>
      </c>
      <c r="O2424" s="11">
        <f t="shared" si="74"/>
        <v>0</v>
      </c>
      <c r="P2424" s="11">
        <f t="shared" si="75"/>
        <v>0</v>
      </c>
      <c r="Q2424" s="6"/>
      <c r="R2424" s="6"/>
      <c r="S2424" s="6"/>
      <c r="T2424" s="6"/>
    </row>
    <row r="2425" spans="1:20">
      <c r="A2425" s="6" t="s">
        <v>2592</v>
      </c>
      <c r="B2425" s="6" t="s">
        <v>66</v>
      </c>
      <c r="C2425" s="6" t="s">
        <v>99</v>
      </c>
      <c r="D2425" s="6" t="s">
        <v>319</v>
      </c>
      <c r="E2425" s="6" t="s">
        <v>120</v>
      </c>
      <c r="F2425" s="7">
        <v>20</v>
      </c>
      <c r="G2425" s="7">
        <v>2500</v>
      </c>
      <c r="H2425" s="16">
        <v>45222</v>
      </c>
      <c r="I2425" s="6">
        <v>43</v>
      </c>
      <c r="J2425" s="6" t="s">
        <v>121</v>
      </c>
      <c r="K2425" s="6" t="s">
        <v>347</v>
      </c>
      <c r="L2425" s="11">
        <f>F2425*Controls!$B$6</f>
        <v>20</v>
      </c>
      <c r="M2425" s="11">
        <f>G2425*Controls!$B$6</f>
        <v>2500</v>
      </c>
      <c r="N2425" s="12">
        <f>IF(L2425=0,0,SUMIFS('PSI Plan'!$N$6:$N$173,'PSI Plan'!$B$6:$B$173,B2425,'PSI Plan'!$C$6:$C$173,I2425))</f>
        <v>0</v>
      </c>
      <c r="O2425" s="11">
        <f t="shared" si="74"/>
        <v>0</v>
      </c>
      <c r="P2425" s="11">
        <f t="shared" si="75"/>
        <v>0</v>
      </c>
      <c r="Q2425" s="6"/>
      <c r="R2425" s="6"/>
      <c r="S2425" s="6"/>
      <c r="T2425" s="6"/>
    </row>
    <row r="2426" spans="1:20">
      <c r="A2426" s="6" t="s">
        <v>2593</v>
      </c>
      <c r="B2426" s="6" t="s">
        <v>77</v>
      </c>
      <c r="C2426" s="6" t="s">
        <v>99</v>
      </c>
      <c r="D2426" s="6" t="s">
        <v>319</v>
      </c>
      <c r="E2426" s="6" t="s">
        <v>120</v>
      </c>
      <c r="F2426" s="7">
        <v>14</v>
      </c>
      <c r="G2426" s="7">
        <v>1750</v>
      </c>
      <c r="H2426" s="16">
        <v>45244</v>
      </c>
      <c r="I2426" s="6">
        <v>46</v>
      </c>
      <c r="J2426" s="6" t="s">
        <v>121</v>
      </c>
      <c r="K2426" s="6" t="s">
        <v>347</v>
      </c>
      <c r="L2426" s="11">
        <f>F2426*Controls!$B$6</f>
        <v>14</v>
      </c>
      <c r="M2426" s="11">
        <f>G2426*Controls!$B$6</f>
        <v>1750</v>
      </c>
      <c r="N2426" s="12">
        <f>IF(L2426=0,0,SUMIFS('PSI Plan'!$N$6:$N$173,'PSI Plan'!$B$6:$B$173,B2426,'PSI Plan'!$C$6:$C$173,I2426))</f>
        <v>0</v>
      </c>
      <c r="O2426" s="11">
        <f t="shared" si="74"/>
        <v>0</v>
      </c>
      <c r="P2426" s="11">
        <f t="shared" si="75"/>
        <v>0</v>
      </c>
      <c r="Q2426" s="6"/>
      <c r="R2426" s="6"/>
      <c r="S2426" s="6"/>
      <c r="T2426" s="6"/>
    </row>
    <row r="2427" spans="1:20">
      <c r="A2427" s="6" t="s">
        <v>2594</v>
      </c>
      <c r="B2427" s="6" t="s">
        <v>76</v>
      </c>
      <c r="C2427" s="6" t="s">
        <v>99</v>
      </c>
      <c r="D2427" s="6" t="s">
        <v>319</v>
      </c>
      <c r="E2427" s="6" t="s">
        <v>120</v>
      </c>
      <c r="F2427" s="7">
        <v>12</v>
      </c>
      <c r="G2427" s="7">
        <v>1500</v>
      </c>
      <c r="H2427" s="16">
        <v>45202</v>
      </c>
      <c r="I2427" s="6">
        <v>40</v>
      </c>
      <c r="J2427" s="6" t="s">
        <v>121</v>
      </c>
      <c r="K2427" s="6" t="s">
        <v>347</v>
      </c>
      <c r="L2427" s="11">
        <f>F2427*Controls!$B$6</f>
        <v>12</v>
      </c>
      <c r="M2427" s="11">
        <f>G2427*Controls!$B$6</f>
        <v>1500</v>
      </c>
      <c r="N2427" s="12">
        <f>IF(L2427=0,0,SUMIFS('PSI Plan'!$N$6:$N$173,'PSI Plan'!$B$6:$B$173,B2427,'PSI Plan'!$C$6:$C$173,I2427))</f>
        <v>0</v>
      </c>
      <c r="O2427" s="11">
        <f t="shared" si="74"/>
        <v>0</v>
      </c>
      <c r="P2427" s="11">
        <f t="shared" si="75"/>
        <v>0</v>
      </c>
      <c r="Q2427" s="6"/>
      <c r="R2427" s="6"/>
      <c r="S2427" s="6"/>
      <c r="T2427" s="6"/>
    </row>
    <row r="2428" spans="1:20">
      <c r="A2428" s="6" t="s">
        <v>2595</v>
      </c>
      <c r="B2428" s="6" t="s">
        <v>69</v>
      </c>
      <c r="C2428" s="6" t="s">
        <v>99</v>
      </c>
      <c r="D2428" s="6" t="s">
        <v>319</v>
      </c>
      <c r="E2428" s="6" t="s">
        <v>120</v>
      </c>
      <c r="F2428" s="7">
        <v>18</v>
      </c>
      <c r="G2428" s="7">
        <v>2250</v>
      </c>
      <c r="H2428" s="16">
        <v>45248</v>
      </c>
      <c r="I2428" s="6">
        <v>46</v>
      </c>
      <c r="J2428" s="6" t="s">
        <v>121</v>
      </c>
      <c r="K2428" s="6" t="s">
        <v>347</v>
      </c>
      <c r="L2428" s="11">
        <f>F2428*Controls!$B$6</f>
        <v>18</v>
      </c>
      <c r="M2428" s="11">
        <f>G2428*Controls!$B$6</f>
        <v>2250</v>
      </c>
      <c r="N2428" s="12">
        <f>IF(L2428=0,0,SUMIFS('PSI Plan'!$N$6:$N$173,'PSI Plan'!$B$6:$B$173,B2428,'PSI Plan'!$C$6:$C$173,I2428))</f>
        <v>0</v>
      </c>
      <c r="O2428" s="11">
        <f t="shared" si="74"/>
        <v>0</v>
      </c>
      <c r="P2428" s="11">
        <f t="shared" si="75"/>
        <v>0</v>
      </c>
      <c r="Q2428" s="6"/>
      <c r="R2428" s="6"/>
      <c r="S2428" s="6"/>
      <c r="T2428" s="6"/>
    </row>
    <row r="2429" spans="1:20">
      <c r="A2429" s="6" t="s">
        <v>2596</v>
      </c>
      <c r="B2429" s="6" t="s">
        <v>66</v>
      </c>
      <c r="C2429" s="6" t="s">
        <v>91</v>
      </c>
      <c r="D2429" s="6" t="s">
        <v>567</v>
      </c>
      <c r="E2429" s="6" t="s">
        <v>120</v>
      </c>
      <c r="F2429" s="7">
        <v>26</v>
      </c>
      <c r="G2429" s="7">
        <v>3250</v>
      </c>
      <c r="H2429" s="16">
        <v>45237</v>
      </c>
      <c r="I2429" s="6">
        <v>45</v>
      </c>
      <c r="J2429" s="6" t="s">
        <v>121</v>
      </c>
      <c r="K2429" s="6" t="s">
        <v>781</v>
      </c>
      <c r="L2429" s="11">
        <f>F2429*Controls!$B$6</f>
        <v>26</v>
      </c>
      <c r="M2429" s="11">
        <f>G2429*Controls!$B$6</f>
        <v>3250</v>
      </c>
      <c r="N2429" s="12">
        <f>IF(L2429=0,0,SUMIFS('PSI Plan'!$N$6:$N$173,'PSI Plan'!$B$6:$B$173,B2429,'PSI Plan'!$C$6:$C$173,I2429))</f>
        <v>0</v>
      </c>
      <c r="O2429" s="11">
        <f t="shared" si="74"/>
        <v>0</v>
      </c>
      <c r="P2429" s="11">
        <f t="shared" si="75"/>
        <v>0</v>
      </c>
      <c r="Q2429" s="6"/>
      <c r="R2429" s="6"/>
      <c r="S2429" s="6"/>
      <c r="T2429" s="6"/>
    </row>
    <row r="2430" spans="1:20">
      <c r="A2430" s="6" t="s">
        <v>2597</v>
      </c>
      <c r="B2430" s="6" t="s">
        <v>77</v>
      </c>
      <c r="C2430" s="6" t="s">
        <v>91</v>
      </c>
      <c r="D2430" s="6" t="s">
        <v>567</v>
      </c>
      <c r="E2430" s="6" t="s">
        <v>120</v>
      </c>
      <c r="F2430" s="7">
        <v>26</v>
      </c>
      <c r="G2430" s="7">
        <v>3250</v>
      </c>
      <c r="H2430" s="16">
        <v>45269</v>
      </c>
      <c r="I2430" s="6">
        <v>49</v>
      </c>
      <c r="J2430" s="6" t="s">
        <v>121</v>
      </c>
      <c r="K2430" s="6" t="s">
        <v>781</v>
      </c>
      <c r="L2430" s="11">
        <f>F2430*Controls!$B$6</f>
        <v>26</v>
      </c>
      <c r="M2430" s="11">
        <f>G2430*Controls!$B$6</f>
        <v>3250</v>
      </c>
      <c r="N2430" s="12">
        <f>IF(L2430=0,0,SUMIFS('PSI Plan'!$N$6:$N$173,'PSI Plan'!$B$6:$B$173,B2430,'PSI Plan'!$C$6:$C$173,I2430))</f>
        <v>0</v>
      </c>
      <c r="O2430" s="11">
        <f t="shared" si="74"/>
        <v>0</v>
      </c>
      <c r="P2430" s="11">
        <f t="shared" si="75"/>
        <v>0</v>
      </c>
      <c r="Q2430" s="6"/>
      <c r="R2430" s="6"/>
      <c r="S2430" s="6"/>
      <c r="T2430" s="6"/>
    </row>
    <row r="2431" spans="1:20">
      <c r="A2431" s="6" t="s">
        <v>2598</v>
      </c>
      <c r="B2431" s="6" t="s">
        <v>76</v>
      </c>
      <c r="C2431" s="6" t="s">
        <v>91</v>
      </c>
      <c r="D2431" s="6" t="s">
        <v>567</v>
      </c>
      <c r="E2431" s="6" t="s">
        <v>120</v>
      </c>
      <c r="F2431" s="7">
        <v>26</v>
      </c>
      <c r="G2431" s="7">
        <v>3250</v>
      </c>
      <c r="H2431" s="16">
        <v>45278</v>
      </c>
      <c r="I2431" s="6">
        <v>51</v>
      </c>
      <c r="J2431" s="6" t="s">
        <v>121</v>
      </c>
      <c r="K2431" s="6" t="s">
        <v>781</v>
      </c>
      <c r="L2431" s="11">
        <f>F2431*Controls!$B$6</f>
        <v>26</v>
      </c>
      <c r="M2431" s="11">
        <f>G2431*Controls!$B$6</f>
        <v>3250</v>
      </c>
      <c r="N2431" s="12">
        <f>IF(L2431=0,0,SUMIFS('PSI Plan'!$N$6:$N$173,'PSI Plan'!$B$6:$B$173,B2431,'PSI Plan'!$C$6:$C$173,I2431))</f>
        <v>0</v>
      </c>
      <c r="O2431" s="11">
        <f t="shared" si="74"/>
        <v>0</v>
      </c>
      <c r="P2431" s="11">
        <f t="shared" si="75"/>
        <v>0</v>
      </c>
      <c r="Q2431" s="6"/>
      <c r="R2431" s="6"/>
      <c r="S2431" s="6"/>
      <c r="T2431" s="6"/>
    </row>
    <row r="2432" spans="1:20">
      <c r="A2432" s="6" t="s">
        <v>2599</v>
      </c>
      <c r="B2432" s="6" t="s">
        <v>67</v>
      </c>
      <c r="C2432" s="6" t="s">
        <v>91</v>
      </c>
      <c r="D2432" s="6" t="s">
        <v>567</v>
      </c>
      <c r="E2432" s="6" t="s">
        <v>120</v>
      </c>
      <c r="F2432" s="7">
        <v>26</v>
      </c>
      <c r="G2432" s="7">
        <v>3250</v>
      </c>
      <c r="H2432" s="16">
        <v>45236</v>
      </c>
      <c r="I2432" s="6">
        <v>45</v>
      </c>
      <c r="J2432" s="6" t="s">
        <v>121</v>
      </c>
      <c r="K2432" s="6" t="s">
        <v>781</v>
      </c>
      <c r="L2432" s="11">
        <f>F2432*Controls!$B$6</f>
        <v>26</v>
      </c>
      <c r="M2432" s="11">
        <f>G2432*Controls!$B$6</f>
        <v>3250</v>
      </c>
      <c r="N2432" s="12">
        <f>IF(L2432=0,0,SUMIFS('PSI Plan'!$N$6:$N$173,'PSI Plan'!$B$6:$B$173,B2432,'PSI Plan'!$C$6:$C$173,I2432))</f>
        <v>0</v>
      </c>
      <c r="O2432" s="11">
        <f t="shared" si="74"/>
        <v>0</v>
      </c>
      <c r="P2432" s="11">
        <f t="shared" si="75"/>
        <v>0</v>
      </c>
      <c r="Q2432" s="6"/>
      <c r="R2432" s="6"/>
      <c r="S2432" s="6"/>
      <c r="T2432" s="6"/>
    </row>
    <row r="2433" spans="1:20">
      <c r="A2433" s="6" t="s">
        <v>2600</v>
      </c>
      <c r="B2433" s="6" t="s">
        <v>69</v>
      </c>
      <c r="C2433" s="6" t="s">
        <v>91</v>
      </c>
      <c r="D2433" s="6" t="s">
        <v>567</v>
      </c>
      <c r="E2433" s="6" t="s">
        <v>120</v>
      </c>
      <c r="F2433" s="7">
        <v>26</v>
      </c>
      <c r="G2433" s="7">
        <v>3250</v>
      </c>
      <c r="H2433" s="16">
        <v>45274</v>
      </c>
      <c r="I2433" s="6">
        <v>50</v>
      </c>
      <c r="J2433" s="6" t="s">
        <v>121</v>
      </c>
      <c r="K2433" s="6" t="s">
        <v>781</v>
      </c>
      <c r="L2433" s="11">
        <f>F2433*Controls!$B$6</f>
        <v>26</v>
      </c>
      <c r="M2433" s="11">
        <f>G2433*Controls!$B$6</f>
        <v>3250</v>
      </c>
      <c r="N2433" s="12">
        <f>IF(L2433=0,0,SUMIFS('PSI Plan'!$N$6:$N$173,'PSI Plan'!$B$6:$B$173,B2433,'PSI Plan'!$C$6:$C$173,I2433))</f>
        <v>0</v>
      </c>
      <c r="O2433" s="11">
        <f t="shared" si="74"/>
        <v>0</v>
      </c>
      <c r="P2433" s="11">
        <f t="shared" si="75"/>
        <v>0</v>
      </c>
      <c r="Q2433" s="6"/>
      <c r="R2433" s="6"/>
      <c r="S2433" s="6"/>
      <c r="T2433" s="6"/>
    </row>
    <row r="2434" spans="1:20">
      <c r="A2434" s="6" t="s">
        <v>2601</v>
      </c>
      <c r="B2434" s="6" t="s">
        <v>66</v>
      </c>
      <c r="C2434" s="6" t="s">
        <v>91</v>
      </c>
      <c r="D2434" s="6" t="s">
        <v>567</v>
      </c>
      <c r="E2434" s="6" t="s">
        <v>120</v>
      </c>
      <c r="F2434" s="7">
        <v>20</v>
      </c>
      <c r="G2434" s="7">
        <v>2500</v>
      </c>
      <c r="H2434" s="16">
        <v>45221</v>
      </c>
      <c r="I2434" s="6">
        <v>43</v>
      </c>
      <c r="J2434" s="6" t="s">
        <v>121</v>
      </c>
      <c r="K2434" s="6" t="s">
        <v>1777</v>
      </c>
      <c r="L2434" s="11">
        <f>F2434*Controls!$B$6</f>
        <v>20</v>
      </c>
      <c r="M2434" s="11">
        <f>G2434*Controls!$B$6</f>
        <v>2500</v>
      </c>
      <c r="N2434" s="12">
        <f>IF(L2434=0,0,SUMIFS('PSI Plan'!$N$6:$N$173,'PSI Plan'!$B$6:$B$173,B2434,'PSI Plan'!$C$6:$C$173,I2434))</f>
        <v>0</v>
      </c>
      <c r="O2434" s="11">
        <f t="shared" ref="O2434:O2497" si="76">L2434*N2434</f>
        <v>0</v>
      </c>
      <c r="P2434" s="11">
        <f t="shared" ref="P2434:P2497" si="77">M2434*N2434</f>
        <v>0</v>
      </c>
      <c r="Q2434" s="6"/>
      <c r="R2434" s="6"/>
      <c r="S2434" s="6"/>
      <c r="T2434" s="6"/>
    </row>
    <row r="2435" spans="1:20">
      <c r="A2435" s="6" t="s">
        <v>2602</v>
      </c>
      <c r="B2435" s="6" t="s">
        <v>77</v>
      </c>
      <c r="C2435" s="6" t="s">
        <v>91</v>
      </c>
      <c r="D2435" s="6" t="s">
        <v>567</v>
      </c>
      <c r="E2435" s="6" t="s">
        <v>120</v>
      </c>
      <c r="F2435" s="7">
        <v>40</v>
      </c>
      <c r="G2435" s="7">
        <v>5000</v>
      </c>
      <c r="H2435" s="16">
        <v>45260</v>
      </c>
      <c r="I2435" s="6">
        <v>48</v>
      </c>
      <c r="J2435" s="6" t="s">
        <v>121</v>
      </c>
      <c r="K2435" s="6" t="s">
        <v>1777</v>
      </c>
      <c r="L2435" s="11">
        <f>F2435*Controls!$B$6</f>
        <v>40</v>
      </c>
      <c r="M2435" s="11">
        <f>G2435*Controls!$B$6</f>
        <v>5000</v>
      </c>
      <c r="N2435" s="12">
        <f>IF(L2435=0,0,SUMIFS('PSI Plan'!$N$6:$N$173,'PSI Plan'!$B$6:$B$173,B2435,'PSI Plan'!$C$6:$C$173,I2435))</f>
        <v>0</v>
      </c>
      <c r="O2435" s="11">
        <f t="shared" si="76"/>
        <v>0</v>
      </c>
      <c r="P2435" s="11">
        <f t="shared" si="77"/>
        <v>0</v>
      </c>
      <c r="Q2435" s="6"/>
      <c r="R2435" s="6"/>
      <c r="S2435" s="6"/>
      <c r="T2435" s="6"/>
    </row>
    <row r="2436" spans="1:20">
      <c r="A2436" s="6" t="s">
        <v>2603</v>
      </c>
      <c r="B2436" s="6" t="s">
        <v>76</v>
      </c>
      <c r="C2436" s="6" t="s">
        <v>91</v>
      </c>
      <c r="D2436" s="6" t="s">
        <v>567</v>
      </c>
      <c r="E2436" s="6" t="s">
        <v>120</v>
      </c>
      <c r="F2436" s="7">
        <v>20</v>
      </c>
      <c r="G2436" s="7">
        <v>2500</v>
      </c>
      <c r="H2436" s="16">
        <v>45247</v>
      </c>
      <c r="I2436" s="6">
        <v>46</v>
      </c>
      <c r="J2436" s="6" t="s">
        <v>121</v>
      </c>
      <c r="K2436" s="6" t="s">
        <v>1777</v>
      </c>
      <c r="L2436" s="11">
        <f>F2436*Controls!$B$6</f>
        <v>20</v>
      </c>
      <c r="M2436" s="11">
        <f>G2436*Controls!$B$6</f>
        <v>2500</v>
      </c>
      <c r="N2436" s="12">
        <f>IF(L2436=0,0,SUMIFS('PSI Plan'!$N$6:$N$173,'PSI Plan'!$B$6:$B$173,B2436,'PSI Plan'!$C$6:$C$173,I2436))</f>
        <v>0</v>
      </c>
      <c r="O2436" s="11">
        <f t="shared" si="76"/>
        <v>0</v>
      </c>
      <c r="P2436" s="11">
        <f t="shared" si="77"/>
        <v>0</v>
      </c>
      <c r="Q2436" s="6"/>
      <c r="R2436" s="6"/>
      <c r="S2436" s="6"/>
      <c r="T2436" s="6"/>
    </row>
    <row r="2437" spans="1:20">
      <c r="A2437" s="6" t="s">
        <v>2604</v>
      </c>
      <c r="B2437" s="6" t="s">
        <v>67</v>
      </c>
      <c r="C2437" s="6" t="s">
        <v>91</v>
      </c>
      <c r="D2437" s="6" t="s">
        <v>567</v>
      </c>
      <c r="E2437" s="6" t="s">
        <v>120</v>
      </c>
      <c r="F2437" s="7">
        <v>20</v>
      </c>
      <c r="G2437" s="7">
        <v>2500</v>
      </c>
      <c r="H2437" s="16">
        <v>45256</v>
      </c>
      <c r="I2437" s="6">
        <v>48</v>
      </c>
      <c r="J2437" s="6" t="s">
        <v>121</v>
      </c>
      <c r="K2437" s="6" t="s">
        <v>1777</v>
      </c>
      <c r="L2437" s="11">
        <f>F2437*Controls!$B$6</f>
        <v>20</v>
      </c>
      <c r="M2437" s="11">
        <f>G2437*Controls!$B$6</f>
        <v>2500</v>
      </c>
      <c r="N2437" s="12">
        <f>IF(L2437=0,0,SUMIFS('PSI Plan'!$N$6:$N$173,'PSI Plan'!$B$6:$B$173,B2437,'PSI Plan'!$C$6:$C$173,I2437))</f>
        <v>0</v>
      </c>
      <c r="O2437" s="11">
        <f t="shared" si="76"/>
        <v>0</v>
      </c>
      <c r="P2437" s="11">
        <f t="shared" si="77"/>
        <v>0</v>
      </c>
      <c r="Q2437" s="6"/>
      <c r="R2437" s="6"/>
      <c r="S2437" s="6"/>
      <c r="T2437" s="6"/>
    </row>
    <row r="2438" spans="1:20">
      <c r="A2438" s="6" t="s">
        <v>2605</v>
      </c>
      <c r="B2438" s="6" t="s">
        <v>69</v>
      </c>
      <c r="C2438" s="6" t="s">
        <v>91</v>
      </c>
      <c r="D2438" s="6" t="s">
        <v>567</v>
      </c>
      <c r="E2438" s="6" t="s">
        <v>120</v>
      </c>
      <c r="F2438" s="7">
        <v>20</v>
      </c>
      <c r="G2438" s="7">
        <v>2500</v>
      </c>
      <c r="H2438" s="16">
        <v>45203</v>
      </c>
      <c r="I2438" s="6">
        <v>40</v>
      </c>
      <c r="J2438" s="6" t="s">
        <v>121</v>
      </c>
      <c r="K2438" s="6" t="s">
        <v>1777</v>
      </c>
      <c r="L2438" s="11">
        <f>F2438*Controls!$B$6</f>
        <v>20</v>
      </c>
      <c r="M2438" s="11">
        <f>G2438*Controls!$B$6</f>
        <v>2500</v>
      </c>
      <c r="N2438" s="12">
        <f>IF(L2438=0,0,SUMIFS('PSI Plan'!$N$6:$N$173,'PSI Plan'!$B$6:$B$173,B2438,'PSI Plan'!$C$6:$C$173,I2438))</f>
        <v>0</v>
      </c>
      <c r="O2438" s="11">
        <f t="shared" si="76"/>
        <v>0</v>
      </c>
      <c r="P2438" s="11">
        <f t="shared" si="77"/>
        <v>0</v>
      </c>
      <c r="Q2438" s="6"/>
      <c r="R2438" s="6"/>
      <c r="S2438" s="6"/>
      <c r="T2438" s="6"/>
    </row>
    <row r="2439" spans="1:20">
      <c r="A2439" s="6" t="s">
        <v>2606</v>
      </c>
      <c r="B2439" s="6" t="s">
        <v>66</v>
      </c>
      <c r="C2439" s="6" t="s">
        <v>91</v>
      </c>
      <c r="D2439" s="6" t="s">
        <v>567</v>
      </c>
      <c r="E2439" s="6" t="s">
        <v>120</v>
      </c>
      <c r="F2439" s="7">
        <v>30</v>
      </c>
      <c r="G2439" s="7">
        <v>3750</v>
      </c>
      <c r="H2439" s="16">
        <v>45201</v>
      </c>
      <c r="I2439" s="6">
        <v>40</v>
      </c>
      <c r="J2439" s="6" t="s">
        <v>121</v>
      </c>
      <c r="K2439" s="6" t="s">
        <v>1740</v>
      </c>
      <c r="L2439" s="11">
        <f>F2439*Controls!$B$6</f>
        <v>30</v>
      </c>
      <c r="M2439" s="11">
        <f>G2439*Controls!$B$6</f>
        <v>3750</v>
      </c>
      <c r="N2439" s="12">
        <f>IF(L2439=0,0,SUMIFS('PSI Plan'!$N$6:$N$173,'PSI Plan'!$B$6:$B$173,B2439,'PSI Plan'!$C$6:$C$173,I2439))</f>
        <v>0</v>
      </c>
      <c r="O2439" s="11">
        <f t="shared" si="76"/>
        <v>0</v>
      </c>
      <c r="P2439" s="11">
        <f t="shared" si="77"/>
        <v>0</v>
      </c>
      <c r="Q2439" s="6"/>
      <c r="R2439" s="6"/>
      <c r="S2439" s="6"/>
      <c r="T2439" s="6"/>
    </row>
    <row r="2440" spans="1:20">
      <c r="A2440" s="6" t="s">
        <v>2607</v>
      </c>
      <c r="B2440" s="6" t="s">
        <v>77</v>
      </c>
      <c r="C2440" s="6" t="s">
        <v>91</v>
      </c>
      <c r="D2440" s="6" t="s">
        <v>567</v>
      </c>
      <c r="E2440" s="6" t="s">
        <v>120</v>
      </c>
      <c r="F2440" s="7">
        <v>18</v>
      </c>
      <c r="G2440" s="7">
        <v>2250</v>
      </c>
      <c r="H2440" s="16">
        <v>45256</v>
      </c>
      <c r="I2440" s="6">
        <v>48</v>
      </c>
      <c r="J2440" s="6" t="s">
        <v>121</v>
      </c>
      <c r="K2440" s="6" t="s">
        <v>1740</v>
      </c>
      <c r="L2440" s="11">
        <f>F2440*Controls!$B$6</f>
        <v>18</v>
      </c>
      <c r="M2440" s="11">
        <f>G2440*Controls!$B$6</f>
        <v>2250</v>
      </c>
      <c r="N2440" s="12">
        <f>IF(L2440=0,0,SUMIFS('PSI Plan'!$N$6:$N$173,'PSI Plan'!$B$6:$B$173,B2440,'PSI Plan'!$C$6:$C$173,I2440))</f>
        <v>0</v>
      </c>
      <c r="O2440" s="11">
        <f t="shared" si="76"/>
        <v>0</v>
      </c>
      <c r="P2440" s="11">
        <f t="shared" si="77"/>
        <v>0</v>
      </c>
      <c r="Q2440" s="6"/>
      <c r="R2440" s="6"/>
      <c r="S2440" s="6"/>
      <c r="T2440" s="6"/>
    </row>
    <row r="2441" spans="1:20">
      <c r="A2441" s="6" t="s">
        <v>2608</v>
      </c>
      <c r="B2441" s="6" t="s">
        <v>67</v>
      </c>
      <c r="C2441" s="6" t="s">
        <v>91</v>
      </c>
      <c r="D2441" s="6" t="s">
        <v>567</v>
      </c>
      <c r="E2441" s="6" t="s">
        <v>120</v>
      </c>
      <c r="F2441" s="7">
        <v>24</v>
      </c>
      <c r="G2441" s="7">
        <v>3000</v>
      </c>
      <c r="H2441" s="16">
        <v>45239</v>
      </c>
      <c r="I2441" s="6">
        <v>45</v>
      </c>
      <c r="J2441" s="6" t="s">
        <v>121</v>
      </c>
      <c r="K2441" s="6" t="s">
        <v>1740</v>
      </c>
      <c r="L2441" s="11">
        <f>F2441*Controls!$B$6</f>
        <v>24</v>
      </c>
      <c r="M2441" s="11">
        <f>G2441*Controls!$B$6</f>
        <v>3000</v>
      </c>
      <c r="N2441" s="12">
        <f>IF(L2441=0,0,SUMIFS('PSI Plan'!$N$6:$N$173,'PSI Plan'!$B$6:$B$173,B2441,'PSI Plan'!$C$6:$C$173,I2441))</f>
        <v>0</v>
      </c>
      <c r="O2441" s="11">
        <f t="shared" si="76"/>
        <v>0</v>
      </c>
      <c r="P2441" s="11">
        <f t="shared" si="77"/>
        <v>0</v>
      </c>
      <c r="Q2441" s="6"/>
      <c r="R2441" s="6"/>
      <c r="S2441" s="6"/>
      <c r="T2441" s="6"/>
    </row>
    <row r="2442" spans="1:20">
      <c r="A2442" s="6" t="s">
        <v>2609</v>
      </c>
      <c r="B2442" s="6" t="s">
        <v>69</v>
      </c>
      <c r="C2442" s="6" t="s">
        <v>91</v>
      </c>
      <c r="D2442" s="6" t="s">
        <v>567</v>
      </c>
      <c r="E2442" s="6" t="s">
        <v>120</v>
      </c>
      <c r="F2442" s="7">
        <v>30</v>
      </c>
      <c r="G2442" s="7">
        <v>3750</v>
      </c>
      <c r="H2442" s="16">
        <v>45276</v>
      </c>
      <c r="I2442" s="6">
        <v>50</v>
      </c>
      <c r="J2442" s="6" t="s">
        <v>121</v>
      </c>
      <c r="K2442" s="6" t="s">
        <v>1740</v>
      </c>
      <c r="L2442" s="11">
        <f>F2442*Controls!$B$6</f>
        <v>30</v>
      </c>
      <c r="M2442" s="11">
        <f>G2442*Controls!$B$6</f>
        <v>3750</v>
      </c>
      <c r="N2442" s="12">
        <f>IF(L2442=0,0,SUMIFS('PSI Plan'!$N$6:$N$173,'PSI Plan'!$B$6:$B$173,B2442,'PSI Plan'!$C$6:$C$173,I2442))</f>
        <v>0</v>
      </c>
      <c r="O2442" s="11">
        <f t="shared" si="76"/>
        <v>0</v>
      </c>
      <c r="P2442" s="11">
        <f t="shared" si="77"/>
        <v>0</v>
      </c>
      <c r="Q2442" s="6"/>
      <c r="R2442" s="6"/>
      <c r="S2442" s="6"/>
      <c r="T2442" s="6"/>
    </row>
    <row r="2443" spans="1:20">
      <c r="A2443" s="6" t="s">
        <v>2610</v>
      </c>
      <c r="B2443" s="6" t="s">
        <v>66</v>
      </c>
      <c r="C2443" s="6" t="s">
        <v>90</v>
      </c>
      <c r="D2443" s="6" t="s">
        <v>119</v>
      </c>
      <c r="E2443" s="6" t="s">
        <v>120</v>
      </c>
      <c r="F2443" s="7">
        <v>18</v>
      </c>
      <c r="G2443" s="7">
        <v>2250</v>
      </c>
      <c r="H2443" s="16">
        <v>45252</v>
      </c>
      <c r="I2443" s="6">
        <v>47</v>
      </c>
      <c r="J2443" s="6" t="s">
        <v>121</v>
      </c>
      <c r="K2443" s="6" t="s">
        <v>122</v>
      </c>
      <c r="L2443" s="11">
        <f>F2443*Controls!$B$6</f>
        <v>18</v>
      </c>
      <c r="M2443" s="11">
        <f>G2443*Controls!$B$6</f>
        <v>2250</v>
      </c>
      <c r="N2443" s="12">
        <f>IF(L2443=0,0,SUMIFS('PSI Plan'!$N$6:$N$173,'PSI Plan'!$B$6:$B$173,B2443,'PSI Plan'!$C$6:$C$173,I2443))</f>
        <v>0</v>
      </c>
      <c r="O2443" s="11">
        <f t="shared" si="76"/>
        <v>0</v>
      </c>
      <c r="P2443" s="11">
        <f t="shared" si="77"/>
        <v>0</v>
      </c>
      <c r="Q2443" s="6"/>
      <c r="R2443" s="6"/>
      <c r="S2443" s="6"/>
      <c r="T2443" s="6"/>
    </row>
    <row r="2444" spans="1:20">
      <c r="A2444" s="6" t="s">
        <v>2611</v>
      </c>
      <c r="B2444" s="6" t="s">
        <v>77</v>
      </c>
      <c r="C2444" s="6" t="s">
        <v>90</v>
      </c>
      <c r="D2444" s="6" t="s">
        <v>119</v>
      </c>
      <c r="E2444" s="6" t="s">
        <v>120</v>
      </c>
      <c r="F2444" s="7">
        <v>8</v>
      </c>
      <c r="G2444" s="7">
        <v>1000</v>
      </c>
      <c r="H2444" s="16">
        <v>45245</v>
      </c>
      <c r="I2444" s="6">
        <v>46</v>
      </c>
      <c r="J2444" s="6" t="s">
        <v>121</v>
      </c>
      <c r="K2444" s="6" t="s">
        <v>122</v>
      </c>
      <c r="L2444" s="11">
        <f>F2444*Controls!$B$6</f>
        <v>8</v>
      </c>
      <c r="M2444" s="11">
        <f>G2444*Controls!$B$6</f>
        <v>1000</v>
      </c>
      <c r="N2444" s="12">
        <f>IF(L2444=0,0,SUMIFS('PSI Plan'!$N$6:$N$173,'PSI Plan'!$B$6:$B$173,B2444,'PSI Plan'!$C$6:$C$173,I2444))</f>
        <v>0</v>
      </c>
      <c r="O2444" s="11">
        <f t="shared" si="76"/>
        <v>0</v>
      </c>
      <c r="P2444" s="11">
        <f t="shared" si="77"/>
        <v>0</v>
      </c>
      <c r="Q2444" s="6"/>
      <c r="R2444" s="6"/>
      <c r="S2444" s="6"/>
      <c r="T2444" s="6"/>
    </row>
    <row r="2445" spans="1:20">
      <c r="A2445" s="6" t="s">
        <v>2612</v>
      </c>
      <c r="B2445" s="6" t="s">
        <v>76</v>
      </c>
      <c r="C2445" s="6" t="s">
        <v>90</v>
      </c>
      <c r="D2445" s="6" t="s">
        <v>119</v>
      </c>
      <c r="E2445" s="6" t="s">
        <v>120</v>
      </c>
      <c r="F2445" s="7">
        <v>52</v>
      </c>
      <c r="G2445" s="7">
        <v>6500</v>
      </c>
      <c r="H2445" s="16">
        <v>45270</v>
      </c>
      <c r="I2445" s="6">
        <v>50</v>
      </c>
      <c r="J2445" s="6" t="s">
        <v>121</v>
      </c>
      <c r="K2445" s="6" t="s">
        <v>122</v>
      </c>
      <c r="L2445" s="11">
        <f>F2445*Controls!$B$6</f>
        <v>52</v>
      </c>
      <c r="M2445" s="11">
        <f>G2445*Controls!$B$6</f>
        <v>6500</v>
      </c>
      <c r="N2445" s="12">
        <f>IF(L2445=0,0,SUMIFS('PSI Plan'!$N$6:$N$173,'PSI Plan'!$B$6:$B$173,B2445,'PSI Plan'!$C$6:$C$173,I2445))</f>
        <v>0</v>
      </c>
      <c r="O2445" s="11">
        <f t="shared" si="76"/>
        <v>0</v>
      </c>
      <c r="P2445" s="11">
        <f t="shared" si="77"/>
        <v>0</v>
      </c>
      <c r="Q2445" s="6"/>
      <c r="R2445" s="6"/>
      <c r="S2445" s="6"/>
      <c r="T2445" s="6"/>
    </row>
    <row r="2446" spans="1:20">
      <c r="A2446" s="6" t="s">
        <v>2613</v>
      </c>
      <c r="B2446" s="6" t="s">
        <v>69</v>
      </c>
      <c r="C2446" s="6" t="s">
        <v>90</v>
      </c>
      <c r="D2446" s="6" t="s">
        <v>119</v>
      </c>
      <c r="E2446" s="6" t="s">
        <v>120</v>
      </c>
      <c r="F2446" s="7">
        <v>10</v>
      </c>
      <c r="G2446" s="7">
        <v>1250</v>
      </c>
      <c r="H2446" s="16">
        <v>45226</v>
      </c>
      <c r="I2446" s="6">
        <v>43</v>
      </c>
      <c r="J2446" s="6" t="s">
        <v>121</v>
      </c>
      <c r="K2446" s="6" t="s">
        <v>122</v>
      </c>
      <c r="L2446" s="11">
        <f>F2446*Controls!$B$6</f>
        <v>10</v>
      </c>
      <c r="M2446" s="11">
        <f>G2446*Controls!$B$6</f>
        <v>1250</v>
      </c>
      <c r="N2446" s="12">
        <f>IF(L2446=0,0,SUMIFS('PSI Plan'!$N$6:$N$173,'PSI Plan'!$B$6:$B$173,B2446,'PSI Plan'!$C$6:$C$173,I2446))</f>
        <v>0</v>
      </c>
      <c r="O2446" s="11">
        <f t="shared" si="76"/>
        <v>0</v>
      </c>
      <c r="P2446" s="11">
        <f t="shared" si="77"/>
        <v>0</v>
      </c>
      <c r="Q2446" s="6"/>
      <c r="R2446" s="6"/>
      <c r="S2446" s="6"/>
      <c r="T2446" s="6"/>
    </row>
    <row r="2447" spans="1:20">
      <c r="A2447" s="6" t="s">
        <v>2614</v>
      </c>
      <c r="B2447" s="6" t="s">
        <v>76</v>
      </c>
      <c r="C2447" s="6" t="s">
        <v>91</v>
      </c>
      <c r="D2447" s="6" t="s">
        <v>567</v>
      </c>
      <c r="E2447" s="6" t="s">
        <v>120</v>
      </c>
      <c r="F2447" s="7">
        <v>38</v>
      </c>
      <c r="G2447" s="7">
        <v>4750</v>
      </c>
      <c r="H2447" s="16">
        <v>45254</v>
      </c>
      <c r="I2447" s="6">
        <v>47</v>
      </c>
      <c r="J2447" s="6" t="s">
        <v>2151</v>
      </c>
      <c r="K2447" s="6" t="s">
        <v>2526</v>
      </c>
      <c r="L2447" s="11">
        <f>F2447*Controls!$B$6</f>
        <v>38</v>
      </c>
      <c r="M2447" s="11">
        <f>G2447*Controls!$B$6</f>
        <v>4750</v>
      </c>
      <c r="N2447" s="12">
        <f>IF(L2447=0,0,SUMIFS('PSI Plan'!$N$6:$N$173,'PSI Plan'!$B$6:$B$173,B2447,'PSI Plan'!$C$6:$C$173,I2447))</f>
        <v>0</v>
      </c>
      <c r="O2447" s="11">
        <f t="shared" si="76"/>
        <v>0</v>
      </c>
      <c r="P2447" s="11">
        <f t="shared" si="77"/>
        <v>0</v>
      </c>
      <c r="Q2447" s="6"/>
      <c r="R2447" s="6"/>
      <c r="S2447" s="6"/>
      <c r="T2447" s="6"/>
    </row>
    <row r="2448" spans="1:20">
      <c r="A2448" s="6" t="s">
        <v>2615</v>
      </c>
      <c r="B2448" s="6" t="s">
        <v>67</v>
      </c>
      <c r="C2448" s="6" t="s">
        <v>91</v>
      </c>
      <c r="D2448" s="6" t="s">
        <v>567</v>
      </c>
      <c r="E2448" s="6" t="s">
        <v>120</v>
      </c>
      <c r="F2448" s="7">
        <v>30</v>
      </c>
      <c r="G2448" s="7">
        <v>3750</v>
      </c>
      <c r="H2448" s="16">
        <v>45244</v>
      </c>
      <c r="I2448" s="6">
        <v>46</v>
      </c>
      <c r="J2448" s="6" t="s">
        <v>2151</v>
      </c>
      <c r="K2448" s="6" t="s">
        <v>2526</v>
      </c>
      <c r="L2448" s="11">
        <f>F2448*Controls!$B$6</f>
        <v>30</v>
      </c>
      <c r="M2448" s="11">
        <f>G2448*Controls!$B$6</f>
        <v>3750</v>
      </c>
      <c r="N2448" s="12">
        <f>IF(L2448=0,0,SUMIFS('PSI Plan'!$N$6:$N$173,'PSI Plan'!$B$6:$B$173,B2448,'PSI Plan'!$C$6:$C$173,I2448))</f>
        <v>0</v>
      </c>
      <c r="O2448" s="11">
        <f t="shared" si="76"/>
        <v>0</v>
      </c>
      <c r="P2448" s="11">
        <f t="shared" si="77"/>
        <v>0</v>
      </c>
      <c r="Q2448" s="6"/>
      <c r="R2448" s="6"/>
      <c r="S2448" s="6"/>
      <c r="T2448" s="6"/>
    </row>
    <row r="2449" spans="1:20">
      <c r="A2449" s="6" t="s">
        <v>2616</v>
      </c>
      <c r="B2449" s="6" t="s">
        <v>66</v>
      </c>
      <c r="C2449" s="6" t="s">
        <v>91</v>
      </c>
      <c r="D2449" s="6" t="s">
        <v>567</v>
      </c>
      <c r="E2449" s="6" t="s">
        <v>120</v>
      </c>
      <c r="F2449" s="7">
        <v>45</v>
      </c>
      <c r="G2449" s="7">
        <v>5625</v>
      </c>
      <c r="H2449" s="16">
        <v>45266</v>
      </c>
      <c r="I2449" s="6">
        <v>49</v>
      </c>
      <c r="J2449" s="6" t="s">
        <v>2151</v>
      </c>
      <c r="K2449" s="6" t="s">
        <v>2526</v>
      </c>
      <c r="L2449" s="11">
        <f>F2449*Controls!$B$6</f>
        <v>45</v>
      </c>
      <c r="M2449" s="11">
        <f>G2449*Controls!$B$6</f>
        <v>5625</v>
      </c>
      <c r="N2449" s="12">
        <f>IF(L2449=0,0,SUMIFS('PSI Plan'!$N$6:$N$173,'PSI Plan'!$B$6:$B$173,B2449,'PSI Plan'!$C$6:$C$173,I2449))</f>
        <v>0</v>
      </c>
      <c r="O2449" s="11">
        <f t="shared" si="76"/>
        <v>0</v>
      </c>
      <c r="P2449" s="11">
        <f t="shared" si="77"/>
        <v>0</v>
      </c>
      <c r="Q2449" s="6"/>
      <c r="R2449" s="6"/>
      <c r="S2449" s="6"/>
      <c r="T2449" s="6"/>
    </row>
    <row r="2450" spans="1:20">
      <c r="A2450" s="6" t="s">
        <v>2617</v>
      </c>
      <c r="B2450" s="6" t="s">
        <v>66</v>
      </c>
      <c r="C2450" s="6" t="s">
        <v>91</v>
      </c>
      <c r="D2450" s="6" t="s">
        <v>567</v>
      </c>
      <c r="E2450" s="6" t="s">
        <v>120</v>
      </c>
      <c r="F2450" s="7">
        <v>38</v>
      </c>
      <c r="G2450" s="7">
        <v>4750</v>
      </c>
      <c r="H2450" s="16">
        <v>45213</v>
      </c>
      <c r="I2450" s="6">
        <v>41</v>
      </c>
      <c r="J2450" s="6" t="s">
        <v>2151</v>
      </c>
      <c r="K2450" s="6" t="s">
        <v>2526</v>
      </c>
      <c r="L2450" s="11">
        <f>F2450*Controls!$B$6</f>
        <v>38</v>
      </c>
      <c r="M2450" s="11">
        <f>G2450*Controls!$B$6</f>
        <v>4750</v>
      </c>
      <c r="N2450" s="12">
        <f>IF(L2450=0,0,SUMIFS('PSI Plan'!$N$6:$N$173,'PSI Plan'!$B$6:$B$173,B2450,'PSI Plan'!$C$6:$C$173,I2450))</f>
        <v>0.22897465437788017</v>
      </c>
      <c r="O2450" s="11">
        <f t="shared" si="76"/>
        <v>8.7010368663594466</v>
      </c>
      <c r="P2450" s="11">
        <f t="shared" si="77"/>
        <v>1087.6296082949309</v>
      </c>
      <c r="Q2450" s="6"/>
      <c r="R2450" s="6"/>
      <c r="S2450" s="6"/>
      <c r="T2450" s="6"/>
    </row>
    <row r="2451" spans="1:20">
      <c r="A2451" s="6" t="s">
        <v>2618</v>
      </c>
      <c r="B2451" s="6" t="s">
        <v>69</v>
      </c>
      <c r="C2451" s="6" t="s">
        <v>91</v>
      </c>
      <c r="D2451" s="6" t="s">
        <v>567</v>
      </c>
      <c r="E2451" s="6" t="s">
        <v>120</v>
      </c>
      <c r="F2451" s="7">
        <v>60</v>
      </c>
      <c r="G2451" s="7">
        <v>7500</v>
      </c>
      <c r="H2451" s="16">
        <v>45258</v>
      </c>
      <c r="I2451" s="6">
        <v>48</v>
      </c>
      <c r="J2451" s="6" t="s">
        <v>2151</v>
      </c>
      <c r="K2451" s="6" t="s">
        <v>2526</v>
      </c>
      <c r="L2451" s="11">
        <f>F2451*Controls!$B$6</f>
        <v>60</v>
      </c>
      <c r="M2451" s="11">
        <f>G2451*Controls!$B$6</f>
        <v>7500</v>
      </c>
      <c r="N2451" s="12">
        <f>IF(L2451=0,0,SUMIFS('PSI Plan'!$N$6:$N$173,'PSI Plan'!$B$6:$B$173,B2451,'PSI Plan'!$C$6:$C$173,I2451))</f>
        <v>0</v>
      </c>
      <c r="O2451" s="11">
        <f t="shared" si="76"/>
        <v>0</v>
      </c>
      <c r="P2451" s="11">
        <f t="shared" si="77"/>
        <v>0</v>
      </c>
      <c r="Q2451" s="6"/>
      <c r="R2451" s="6"/>
      <c r="S2451" s="6"/>
      <c r="T2451" s="6"/>
    </row>
    <row r="2452" spans="1:20">
      <c r="A2452" s="6" t="s">
        <v>2619</v>
      </c>
      <c r="B2452" s="6" t="s">
        <v>66</v>
      </c>
      <c r="C2452" s="6" t="s">
        <v>91</v>
      </c>
      <c r="D2452" s="6" t="s">
        <v>567</v>
      </c>
      <c r="E2452" s="6" t="s">
        <v>120</v>
      </c>
      <c r="F2452" s="7">
        <v>12</v>
      </c>
      <c r="G2452" s="7">
        <v>1500</v>
      </c>
      <c r="H2452" s="16">
        <v>45268</v>
      </c>
      <c r="I2452" s="6">
        <v>49</v>
      </c>
      <c r="J2452" s="6" t="s">
        <v>2151</v>
      </c>
      <c r="K2452" s="6" t="s">
        <v>2526</v>
      </c>
      <c r="L2452" s="11">
        <f>F2452*Controls!$B$6</f>
        <v>12</v>
      </c>
      <c r="M2452" s="11">
        <f>G2452*Controls!$B$6</f>
        <v>1500</v>
      </c>
      <c r="N2452" s="12">
        <f>IF(L2452=0,0,SUMIFS('PSI Plan'!$N$6:$N$173,'PSI Plan'!$B$6:$B$173,B2452,'PSI Plan'!$C$6:$C$173,I2452))</f>
        <v>0</v>
      </c>
      <c r="O2452" s="11">
        <f t="shared" si="76"/>
        <v>0</v>
      </c>
      <c r="P2452" s="11">
        <f t="shared" si="77"/>
        <v>0</v>
      </c>
      <c r="Q2452" s="6"/>
      <c r="R2452" s="6"/>
      <c r="S2452" s="6"/>
      <c r="T2452" s="6"/>
    </row>
    <row r="2453" spans="1:20">
      <c r="A2453" s="6" t="s">
        <v>2620</v>
      </c>
      <c r="B2453" s="6" t="s">
        <v>66</v>
      </c>
      <c r="C2453" s="6" t="s">
        <v>91</v>
      </c>
      <c r="D2453" s="6" t="s">
        <v>567</v>
      </c>
      <c r="E2453" s="6" t="s">
        <v>120</v>
      </c>
      <c r="F2453" s="7">
        <v>48</v>
      </c>
      <c r="G2453" s="7">
        <v>6000</v>
      </c>
      <c r="H2453" s="16">
        <v>45269</v>
      </c>
      <c r="I2453" s="6">
        <v>49</v>
      </c>
      <c r="J2453" s="6" t="s">
        <v>2151</v>
      </c>
      <c r="K2453" s="6" t="s">
        <v>2526</v>
      </c>
      <c r="L2453" s="11">
        <f>F2453*Controls!$B$6</f>
        <v>48</v>
      </c>
      <c r="M2453" s="11">
        <f>G2453*Controls!$B$6</f>
        <v>6000</v>
      </c>
      <c r="N2453" s="12">
        <f>IF(L2453=0,0,SUMIFS('PSI Plan'!$N$6:$N$173,'PSI Plan'!$B$6:$B$173,B2453,'PSI Plan'!$C$6:$C$173,I2453))</f>
        <v>0</v>
      </c>
      <c r="O2453" s="11">
        <f t="shared" si="76"/>
        <v>0</v>
      </c>
      <c r="P2453" s="11">
        <f t="shared" si="77"/>
        <v>0</v>
      </c>
      <c r="Q2453" s="6"/>
      <c r="R2453" s="6"/>
      <c r="S2453" s="6"/>
      <c r="T2453" s="6"/>
    </row>
    <row r="2454" spans="1:20">
      <c r="A2454" s="6" t="s">
        <v>2621</v>
      </c>
      <c r="B2454" s="6" t="s">
        <v>69</v>
      </c>
      <c r="C2454" s="6" t="s">
        <v>91</v>
      </c>
      <c r="D2454" s="6" t="s">
        <v>567</v>
      </c>
      <c r="E2454" s="6" t="s">
        <v>120</v>
      </c>
      <c r="F2454" s="7">
        <v>40</v>
      </c>
      <c r="G2454" s="7">
        <v>5000</v>
      </c>
      <c r="H2454" s="16">
        <v>45200</v>
      </c>
      <c r="I2454" s="6">
        <v>40</v>
      </c>
      <c r="J2454" s="6" t="s">
        <v>2151</v>
      </c>
      <c r="K2454" s="6" t="s">
        <v>2526</v>
      </c>
      <c r="L2454" s="11">
        <f>F2454*Controls!$B$6</f>
        <v>40</v>
      </c>
      <c r="M2454" s="11">
        <f>G2454*Controls!$B$6</f>
        <v>5000</v>
      </c>
      <c r="N2454" s="12">
        <f>IF(L2454=0,0,SUMIFS('PSI Plan'!$N$6:$N$173,'PSI Plan'!$B$6:$B$173,B2454,'PSI Plan'!$C$6:$C$173,I2454))</f>
        <v>0</v>
      </c>
      <c r="O2454" s="11">
        <f t="shared" si="76"/>
        <v>0</v>
      </c>
      <c r="P2454" s="11">
        <f t="shared" si="77"/>
        <v>0</v>
      </c>
      <c r="Q2454" s="6"/>
      <c r="R2454" s="6"/>
      <c r="S2454" s="6"/>
      <c r="T2454" s="6"/>
    </row>
    <row r="2455" spans="1:20">
      <c r="A2455" s="6" t="s">
        <v>2622</v>
      </c>
      <c r="B2455" s="6" t="s">
        <v>66</v>
      </c>
      <c r="C2455" s="6" t="s">
        <v>90</v>
      </c>
      <c r="D2455" s="6" t="s">
        <v>119</v>
      </c>
      <c r="E2455" s="6" t="s">
        <v>120</v>
      </c>
      <c r="F2455" s="7">
        <v>117</v>
      </c>
      <c r="G2455" s="7">
        <v>14625</v>
      </c>
      <c r="H2455" s="16">
        <v>45278</v>
      </c>
      <c r="I2455" s="6">
        <v>51</v>
      </c>
      <c r="J2455" s="6" t="s">
        <v>1791</v>
      </c>
      <c r="K2455" s="6" t="s">
        <v>1890</v>
      </c>
      <c r="L2455" s="11">
        <f>F2455*Controls!$B$6</f>
        <v>117</v>
      </c>
      <c r="M2455" s="11">
        <f>G2455*Controls!$B$6</f>
        <v>14625</v>
      </c>
      <c r="N2455" s="12">
        <f>IF(L2455=0,0,SUMIFS('PSI Plan'!$N$6:$N$173,'PSI Plan'!$B$6:$B$173,B2455,'PSI Plan'!$C$6:$C$173,I2455))</f>
        <v>0</v>
      </c>
      <c r="O2455" s="11">
        <f t="shared" si="76"/>
        <v>0</v>
      </c>
      <c r="P2455" s="11">
        <f t="shared" si="77"/>
        <v>0</v>
      </c>
      <c r="Q2455" s="6"/>
      <c r="R2455" s="6"/>
      <c r="S2455" s="6"/>
      <c r="T2455" s="6"/>
    </row>
    <row r="2456" spans="1:20">
      <c r="A2456" s="6" t="s">
        <v>2623</v>
      </c>
      <c r="B2456" s="6" t="s">
        <v>66</v>
      </c>
      <c r="C2456" s="6" t="s">
        <v>90</v>
      </c>
      <c r="D2456" s="6" t="s">
        <v>119</v>
      </c>
      <c r="E2456" s="6" t="s">
        <v>120</v>
      </c>
      <c r="F2456" s="7">
        <v>117</v>
      </c>
      <c r="G2456" s="7">
        <v>14625</v>
      </c>
      <c r="H2456" s="16">
        <v>45226</v>
      </c>
      <c r="I2456" s="6">
        <v>43</v>
      </c>
      <c r="J2456" s="6" t="s">
        <v>1791</v>
      </c>
      <c r="K2456" s="6" t="s">
        <v>1890</v>
      </c>
      <c r="L2456" s="11">
        <f>F2456*Controls!$B$6</f>
        <v>117</v>
      </c>
      <c r="M2456" s="11">
        <f>G2456*Controls!$B$6</f>
        <v>14625</v>
      </c>
      <c r="N2456" s="12">
        <f>IF(L2456=0,0,SUMIFS('PSI Plan'!$N$6:$N$173,'PSI Plan'!$B$6:$B$173,B2456,'PSI Plan'!$C$6:$C$173,I2456))</f>
        <v>0</v>
      </c>
      <c r="O2456" s="11">
        <f t="shared" si="76"/>
        <v>0</v>
      </c>
      <c r="P2456" s="11">
        <f t="shared" si="77"/>
        <v>0</v>
      </c>
      <c r="Q2456" s="6"/>
      <c r="R2456" s="6"/>
      <c r="S2456" s="6"/>
      <c r="T2456" s="6"/>
    </row>
    <row r="2457" spans="1:20">
      <c r="A2457" s="6" t="s">
        <v>2624</v>
      </c>
      <c r="B2457" s="6" t="s">
        <v>76</v>
      </c>
      <c r="C2457" s="6" t="s">
        <v>90</v>
      </c>
      <c r="D2457" s="6" t="s">
        <v>119</v>
      </c>
      <c r="E2457" s="6" t="s">
        <v>120</v>
      </c>
      <c r="F2457" s="7">
        <v>117</v>
      </c>
      <c r="G2457" s="7">
        <v>14625</v>
      </c>
      <c r="H2457" s="16">
        <v>45211</v>
      </c>
      <c r="I2457" s="6">
        <v>41</v>
      </c>
      <c r="J2457" s="6" t="s">
        <v>1791</v>
      </c>
      <c r="K2457" s="6" t="s">
        <v>1890</v>
      </c>
      <c r="L2457" s="11">
        <f>F2457*Controls!$B$6</f>
        <v>117</v>
      </c>
      <c r="M2457" s="11">
        <f>G2457*Controls!$B$6</f>
        <v>14625</v>
      </c>
      <c r="N2457" s="12">
        <f>IF(L2457=0,0,SUMIFS('PSI Plan'!$N$6:$N$173,'PSI Plan'!$B$6:$B$173,B2457,'PSI Plan'!$C$6:$C$173,I2457))</f>
        <v>0</v>
      </c>
      <c r="O2457" s="11">
        <f t="shared" si="76"/>
        <v>0</v>
      </c>
      <c r="P2457" s="11">
        <f t="shared" si="77"/>
        <v>0</v>
      </c>
      <c r="Q2457" s="6"/>
      <c r="R2457" s="6"/>
      <c r="S2457" s="6"/>
      <c r="T2457" s="6"/>
    </row>
    <row r="2458" spans="1:20">
      <c r="A2458" s="6" t="s">
        <v>2625</v>
      </c>
      <c r="B2458" s="6" t="s">
        <v>67</v>
      </c>
      <c r="C2458" s="6" t="s">
        <v>90</v>
      </c>
      <c r="D2458" s="6" t="s">
        <v>119</v>
      </c>
      <c r="E2458" s="6" t="s">
        <v>120</v>
      </c>
      <c r="F2458" s="7">
        <v>117</v>
      </c>
      <c r="G2458" s="7">
        <v>14625</v>
      </c>
      <c r="H2458" s="16">
        <v>45273</v>
      </c>
      <c r="I2458" s="6">
        <v>50</v>
      </c>
      <c r="J2458" s="6" t="s">
        <v>1791</v>
      </c>
      <c r="K2458" s="6" t="s">
        <v>1890</v>
      </c>
      <c r="L2458" s="11">
        <f>F2458*Controls!$B$6</f>
        <v>117</v>
      </c>
      <c r="M2458" s="11">
        <f>G2458*Controls!$B$6</f>
        <v>14625</v>
      </c>
      <c r="N2458" s="12">
        <f>IF(L2458=0,0,SUMIFS('PSI Plan'!$N$6:$N$173,'PSI Plan'!$B$6:$B$173,B2458,'PSI Plan'!$C$6:$C$173,I2458))</f>
        <v>0</v>
      </c>
      <c r="O2458" s="11">
        <f t="shared" si="76"/>
        <v>0</v>
      </c>
      <c r="P2458" s="11">
        <f t="shared" si="77"/>
        <v>0</v>
      </c>
      <c r="Q2458" s="6"/>
      <c r="R2458" s="6"/>
      <c r="S2458" s="6"/>
      <c r="T2458" s="6"/>
    </row>
    <row r="2459" spans="1:20">
      <c r="A2459" s="6" t="s">
        <v>2626</v>
      </c>
      <c r="B2459" s="6" t="s">
        <v>69</v>
      </c>
      <c r="C2459" s="6" t="s">
        <v>90</v>
      </c>
      <c r="D2459" s="6" t="s">
        <v>119</v>
      </c>
      <c r="E2459" s="6" t="s">
        <v>120</v>
      </c>
      <c r="F2459" s="7">
        <v>26</v>
      </c>
      <c r="G2459" s="7">
        <v>3250</v>
      </c>
      <c r="H2459" s="16">
        <v>45245</v>
      </c>
      <c r="I2459" s="6">
        <v>46</v>
      </c>
      <c r="J2459" s="6" t="s">
        <v>121</v>
      </c>
      <c r="K2459" s="6" t="s">
        <v>725</v>
      </c>
      <c r="L2459" s="11">
        <f>F2459*Controls!$B$6</f>
        <v>26</v>
      </c>
      <c r="M2459" s="11">
        <f>G2459*Controls!$B$6</f>
        <v>3250</v>
      </c>
      <c r="N2459" s="12">
        <f>IF(L2459=0,0,SUMIFS('PSI Plan'!$N$6:$N$173,'PSI Plan'!$B$6:$B$173,B2459,'PSI Plan'!$C$6:$C$173,I2459))</f>
        <v>0</v>
      </c>
      <c r="O2459" s="11">
        <f t="shared" si="76"/>
        <v>0</v>
      </c>
      <c r="P2459" s="11">
        <f t="shared" si="77"/>
        <v>0</v>
      </c>
      <c r="Q2459" s="6"/>
      <c r="R2459" s="6"/>
      <c r="S2459" s="6"/>
      <c r="T2459" s="6"/>
    </row>
    <row r="2460" spans="1:20">
      <c r="A2460" s="6" t="s">
        <v>2627</v>
      </c>
      <c r="B2460" s="6" t="s">
        <v>77</v>
      </c>
      <c r="C2460" s="6" t="s">
        <v>90</v>
      </c>
      <c r="D2460" s="6" t="s">
        <v>119</v>
      </c>
      <c r="E2460" s="6" t="s">
        <v>120</v>
      </c>
      <c r="F2460" s="7">
        <v>22</v>
      </c>
      <c r="G2460" s="7">
        <v>2750</v>
      </c>
      <c r="H2460" s="16">
        <v>45225</v>
      </c>
      <c r="I2460" s="6">
        <v>43</v>
      </c>
      <c r="J2460" s="6" t="s">
        <v>121</v>
      </c>
      <c r="K2460" s="6" t="s">
        <v>122</v>
      </c>
      <c r="L2460" s="11">
        <f>F2460*Controls!$B$6</f>
        <v>22</v>
      </c>
      <c r="M2460" s="11">
        <f>G2460*Controls!$B$6</f>
        <v>2750</v>
      </c>
      <c r="N2460" s="12">
        <f>IF(L2460=0,0,SUMIFS('PSI Plan'!$N$6:$N$173,'PSI Plan'!$B$6:$B$173,B2460,'PSI Plan'!$C$6:$C$173,I2460))</f>
        <v>0</v>
      </c>
      <c r="O2460" s="11">
        <f t="shared" si="76"/>
        <v>0</v>
      </c>
      <c r="P2460" s="11">
        <f t="shared" si="77"/>
        <v>0</v>
      </c>
      <c r="Q2460" s="6"/>
      <c r="R2460" s="6"/>
      <c r="S2460" s="6"/>
      <c r="T2460" s="6"/>
    </row>
    <row r="2461" spans="1:20">
      <c r="A2461" s="6" t="s">
        <v>2628</v>
      </c>
      <c r="B2461" s="6" t="s">
        <v>76</v>
      </c>
      <c r="C2461" s="6" t="s">
        <v>90</v>
      </c>
      <c r="D2461" s="6" t="s">
        <v>119</v>
      </c>
      <c r="E2461" s="6" t="s">
        <v>120</v>
      </c>
      <c r="F2461" s="7">
        <v>15</v>
      </c>
      <c r="G2461" s="7">
        <v>1875</v>
      </c>
      <c r="H2461" s="16">
        <v>45252</v>
      </c>
      <c r="I2461" s="6">
        <v>47</v>
      </c>
      <c r="J2461" s="6" t="s">
        <v>121</v>
      </c>
      <c r="K2461" s="6" t="s">
        <v>122</v>
      </c>
      <c r="L2461" s="11">
        <f>F2461*Controls!$B$6</f>
        <v>15</v>
      </c>
      <c r="M2461" s="11">
        <f>G2461*Controls!$B$6</f>
        <v>1875</v>
      </c>
      <c r="N2461" s="12">
        <f>IF(L2461=0,0,SUMIFS('PSI Plan'!$N$6:$N$173,'PSI Plan'!$B$6:$B$173,B2461,'PSI Plan'!$C$6:$C$173,I2461))</f>
        <v>0</v>
      </c>
      <c r="O2461" s="11">
        <f t="shared" si="76"/>
        <v>0</v>
      </c>
      <c r="P2461" s="11">
        <f t="shared" si="77"/>
        <v>0</v>
      </c>
      <c r="Q2461" s="6"/>
      <c r="R2461" s="6"/>
      <c r="S2461" s="6"/>
      <c r="T2461" s="6"/>
    </row>
    <row r="2462" spans="1:20">
      <c r="A2462" s="6" t="s">
        <v>2629</v>
      </c>
      <c r="B2462" s="6" t="s">
        <v>69</v>
      </c>
      <c r="C2462" s="6" t="s">
        <v>90</v>
      </c>
      <c r="D2462" s="6" t="s">
        <v>119</v>
      </c>
      <c r="E2462" s="6" t="s">
        <v>120</v>
      </c>
      <c r="F2462" s="7">
        <v>14</v>
      </c>
      <c r="G2462" s="7">
        <v>1750</v>
      </c>
      <c r="H2462" s="16">
        <v>45233</v>
      </c>
      <c r="I2462" s="6">
        <v>44</v>
      </c>
      <c r="J2462" s="6" t="s">
        <v>121</v>
      </c>
      <c r="K2462" s="6" t="s">
        <v>139</v>
      </c>
      <c r="L2462" s="11">
        <f>F2462*Controls!$B$6</f>
        <v>14</v>
      </c>
      <c r="M2462" s="11">
        <f>G2462*Controls!$B$6</f>
        <v>1750</v>
      </c>
      <c r="N2462" s="12">
        <f>IF(L2462=0,0,SUMIFS('PSI Plan'!$N$6:$N$173,'PSI Plan'!$B$6:$B$173,B2462,'PSI Plan'!$C$6:$C$173,I2462))</f>
        <v>0</v>
      </c>
      <c r="O2462" s="11">
        <f t="shared" si="76"/>
        <v>0</v>
      </c>
      <c r="P2462" s="11">
        <f t="shared" si="77"/>
        <v>0</v>
      </c>
      <c r="Q2462" s="6"/>
      <c r="R2462" s="6"/>
      <c r="S2462" s="6"/>
      <c r="T2462" s="6"/>
    </row>
    <row r="2463" spans="1:20">
      <c r="A2463" s="6" t="s">
        <v>2630</v>
      </c>
      <c r="B2463" s="6" t="s">
        <v>77</v>
      </c>
      <c r="C2463" s="6" t="s">
        <v>90</v>
      </c>
      <c r="D2463" s="6" t="s">
        <v>119</v>
      </c>
      <c r="E2463" s="6" t="s">
        <v>120</v>
      </c>
      <c r="F2463" s="7">
        <v>26</v>
      </c>
      <c r="G2463" s="7">
        <v>3250</v>
      </c>
      <c r="H2463" s="16">
        <v>45289</v>
      </c>
      <c r="I2463" s="6">
        <v>52</v>
      </c>
      <c r="J2463" s="6" t="s">
        <v>121</v>
      </c>
      <c r="K2463" s="6" t="s">
        <v>171</v>
      </c>
      <c r="L2463" s="11">
        <f>F2463*Controls!$B$6</f>
        <v>26</v>
      </c>
      <c r="M2463" s="11">
        <f>G2463*Controls!$B$6</f>
        <v>3250</v>
      </c>
      <c r="N2463" s="12">
        <f>IF(L2463=0,0,SUMIFS('PSI Plan'!$N$6:$N$173,'PSI Plan'!$B$6:$B$173,B2463,'PSI Plan'!$C$6:$C$173,I2463))</f>
        <v>0</v>
      </c>
      <c r="O2463" s="11">
        <f t="shared" si="76"/>
        <v>0</v>
      </c>
      <c r="P2463" s="11">
        <f t="shared" si="77"/>
        <v>0</v>
      </c>
      <c r="Q2463" s="6"/>
      <c r="R2463" s="6"/>
      <c r="S2463" s="6"/>
      <c r="T2463" s="6"/>
    </row>
    <row r="2464" spans="1:20">
      <c r="A2464" s="6" t="s">
        <v>2631</v>
      </c>
      <c r="B2464" s="6" t="s">
        <v>69</v>
      </c>
      <c r="C2464" s="6" t="s">
        <v>90</v>
      </c>
      <c r="D2464" s="6" t="s">
        <v>119</v>
      </c>
      <c r="E2464" s="6" t="s">
        <v>120</v>
      </c>
      <c r="F2464" s="7">
        <v>26</v>
      </c>
      <c r="G2464" s="7">
        <v>3250</v>
      </c>
      <c r="H2464" s="16">
        <v>45215</v>
      </c>
      <c r="I2464" s="6">
        <v>42</v>
      </c>
      <c r="J2464" s="6" t="s">
        <v>121</v>
      </c>
      <c r="K2464" s="6" t="s">
        <v>171</v>
      </c>
      <c r="L2464" s="11">
        <f>F2464*Controls!$B$6</f>
        <v>26</v>
      </c>
      <c r="M2464" s="11">
        <f>G2464*Controls!$B$6</f>
        <v>3250</v>
      </c>
      <c r="N2464" s="12">
        <f>IF(L2464=0,0,SUMIFS('PSI Plan'!$N$6:$N$173,'PSI Plan'!$B$6:$B$173,B2464,'PSI Plan'!$C$6:$C$173,I2464))</f>
        <v>0</v>
      </c>
      <c r="O2464" s="11">
        <f t="shared" si="76"/>
        <v>0</v>
      </c>
      <c r="P2464" s="11">
        <f t="shared" si="77"/>
        <v>0</v>
      </c>
      <c r="Q2464" s="6"/>
      <c r="R2464" s="6"/>
      <c r="S2464" s="6"/>
      <c r="T2464" s="6"/>
    </row>
    <row r="2465" spans="1:20">
      <c r="A2465" s="6" t="s">
        <v>2632</v>
      </c>
      <c r="B2465" s="6" t="s">
        <v>66</v>
      </c>
      <c r="C2465" s="6" t="s">
        <v>93</v>
      </c>
      <c r="D2465" s="6" t="s">
        <v>567</v>
      </c>
      <c r="E2465" s="6" t="s">
        <v>120</v>
      </c>
      <c r="F2465" s="7">
        <v>26</v>
      </c>
      <c r="G2465" s="7">
        <v>3250</v>
      </c>
      <c r="H2465" s="16">
        <v>45233</v>
      </c>
      <c r="I2465" s="6">
        <v>44</v>
      </c>
      <c r="J2465" s="6" t="s">
        <v>1791</v>
      </c>
      <c r="K2465" s="6" t="s">
        <v>1792</v>
      </c>
      <c r="L2465" s="11">
        <f>F2465*Controls!$B$6</f>
        <v>26</v>
      </c>
      <c r="M2465" s="11">
        <f>G2465*Controls!$B$6</f>
        <v>3250</v>
      </c>
      <c r="N2465" s="12">
        <f>IF(L2465=0,0,SUMIFS('PSI Plan'!$N$6:$N$173,'PSI Plan'!$B$6:$B$173,B2465,'PSI Plan'!$C$6:$C$173,I2465))</f>
        <v>0</v>
      </c>
      <c r="O2465" s="11">
        <f t="shared" si="76"/>
        <v>0</v>
      </c>
      <c r="P2465" s="11">
        <f t="shared" si="77"/>
        <v>0</v>
      </c>
      <c r="Q2465" s="6"/>
      <c r="R2465" s="6"/>
      <c r="S2465" s="6"/>
      <c r="T2465" s="6"/>
    </row>
    <row r="2466" spans="1:20">
      <c r="A2466" s="6" t="s">
        <v>2633</v>
      </c>
      <c r="B2466" s="6" t="s">
        <v>66</v>
      </c>
      <c r="C2466" s="6" t="s">
        <v>93</v>
      </c>
      <c r="D2466" s="6" t="s">
        <v>567</v>
      </c>
      <c r="E2466" s="6" t="s">
        <v>120</v>
      </c>
      <c r="F2466" s="7">
        <v>26</v>
      </c>
      <c r="G2466" s="7">
        <v>3250</v>
      </c>
      <c r="H2466" s="16">
        <v>45217</v>
      </c>
      <c r="I2466" s="6">
        <v>42</v>
      </c>
      <c r="J2466" s="6" t="s">
        <v>1791</v>
      </c>
      <c r="K2466" s="6" t="s">
        <v>1792</v>
      </c>
      <c r="L2466" s="11">
        <f>F2466*Controls!$B$6</f>
        <v>26</v>
      </c>
      <c r="M2466" s="11">
        <f>G2466*Controls!$B$6</f>
        <v>3250</v>
      </c>
      <c r="N2466" s="12">
        <f>IF(L2466=0,0,SUMIFS('PSI Plan'!$N$6:$N$173,'PSI Plan'!$B$6:$B$173,B2466,'PSI Plan'!$C$6:$C$173,I2466))</f>
        <v>0.59807073954983925</v>
      </c>
      <c r="O2466" s="11">
        <f t="shared" si="76"/>
        <v>15.54983922829582</v>
      </c>
      <c r="P2466" s="11">
        <f t="shared" si="77"/>
        <v>1943.7299035369776</v>
      </c>
      <c r="Q2466" s="6"/>
      <c r="R2466" s="6"/>
      <c r="S2466" s="6"/>
      <c r="T2466" s="6"/>
    </row>
    <row r="2467" spans="1:20">
      <c r="A2467" s="6" t="s">
        <v>2634</v>
      </c>
      <c r="B2467" s="6" t="s">
        <v>76</v>
      </c>
      <c r="C2467" s="6" t="s">
        <v>93</v>
      </c>
      <c r="D2467" s="6" t="s">
        <v>567</v>
      </c>
      <c r="E2467" s="6" t="s">
        <v>120</v>
      </c>
      <c r="F2467" s="7">
        <v>26</v>
      </c>
      <c r="G2467" s="7">
        <v>3250</v>
      </c>
      <c r="H2467" s="16">
        <v>45261</v>
      </c>
      <c r="I2467" s="6">
        <v>48</v>
      </c>
      <c r="J2467" s="6" t="s">
        <v>1791</v>
      </c>
      <c r="K2467" s="6" t="s">
        <v>1792</v>
      </c>
      <c r="L2467" s="11">
        <f>F2467*Controls!$B$6</f>
        <v>26</v>
      </c>
      <c r="M2467" s="11">
        <f>G2467*Controls!$B$6</f>
        <v>3250</v>
      </c>
      <c r="N2467" s="12">
        <f>IF(L2467=0,0,SUMIFS('PSI Plan'!$N$6:$N$173,'PSI Plan'!$B$6:$B$173,B2467,'PSI Plan'!$C$6:$C$173,I2467))</f>
        <v>0</v>
      </c>
      <c r="O2467" s="11">
        <f t="shared" si="76"/>
        <v>0</v>
      </c>
      <c r="P2467" s="11">
        <f t="shared" si="77"/>
        <v>0</v>
      </c>
      <c r="Q2467" s="6"/>
      <c r="R2467" s="6"/>
      <c r="S2467" s="6"/>
      <c r="T2467" s="6"/>
    </row>
    <row r="2468" spans="1:20">
      <c r="A2468" s="6" t="s">
        <v>2635</v>
      </c>
      <c r="B2468" s="6" t="s">
        <v>67</v>
      </c>
      <c r="C2468" s="6" t="s">
        <v>93</v>
      </c>
      <c r="D2468" s="6" t="s">
        <v>567</v>
      </c>
      <c r="E2468" s="6" t="s">
        <v>120</v>
      </c>
      <c r="F2468" s="7">
        <v>13</v>
      </c>
      <c r="G2468" s="7">
        <v>1625</v>
      </c>
      <c r="H2468" s="16">
        <v>45252</v>
      </c>
      <c r="I2468" s="6">
        <v>47</v>
      </c>
      <c r="J2468" s="6" t="s">
        <v>1791</v>
      </c>
      <c r="K2468" s="6" t="s">
        <v>1792</v>
      </c>
      <c r="L2468" s="11">
        <f>F2468*Controls!$B$6</f>
        <v>13</v>
      </c>
      <c r="M2468" s="11">
        <f>G2468*Controls!$B$6</f>
        <v>1625</v>
      </c>
      <c r="N2468" s="12">
        <f>IF(L2468=0,0,SUMIFS('PSI Plan'!$N$6:$N$173,'PSI Plan'!$B$6:$B$173,B2468,'PSI Plan'!$C$6:$C$173,I2468))</f>
        <v>0</v>
      </c>
      <c r="O2468" s="11">
        <f t="shared" si="76"/>
        <v>0</v>
      </c>
      <c r="P2468" s="11">
        <f t="shared" si="77"/>
        <v>0</v>
      </c>
      <c r="Q2468" s="6"/>
      <c r="R2468" s="6"/>
      <c r="S2468" s="6"/>
      <c r="T2468" s="6"/>
    </row>
    <row r="2469" spans="1:20">
      <c r="A2469" s="6" t="s">
        <v>2636</v>
      </c>
      <c r="B2469" s="6" t="s">
        <v>69</v>
      </c>
      <c r="C2469" s="6" t="s">
        <v>93</v>
      </c>
      <c r="D2469" s="6" t="s">
        <v>567</v>
      </c>
      <c r="E2469" s="6" t="s">
        <v>120</v>
      </c>
      <c r="F2469" s="7">
        <v>26</v>
      </c>
      <c r="G2469" s="7">
        <v>3250</v>
      </c>
      <c r="H2469" s="16">
        <v>45254</v>
      </c>
      <c r="I2469" s="6">
        <v>47</v>
      </c>
      <c r="J2469" s="6" t="s">
        <v>1791</v>
      </c>
      <c r="K2469" s="6" t="s">
        <v>1792</v>
      </c>
      <c r="L2469" s="11">
        <f>F2469*Controls!$B$6</f>
        <v>26</v>
      </c>
      <c r="M2469" s="11">
        <f>G2469*Controls!$B$6</f>
        <v>3250</v>
      </c>
      <c r="N2469" s="12">
        <f>IF(L2469=0,0,SUMIFS('PSI Plan'!$N$6:$N$173,'PSI Plan'!$B$6:$B$173,B2469,'PSI Plan'!$C$6:$C$173,I2469))</f>
        <v>0</v>
      </c>
      <c r="O2469" s="11">
        <f t="shared" si="76"/>
        <v>0</v>
      </c>
      <c r="P2469" s="11">
        <f t="shared" si="77"/>
        <v>0</v>
      </c>
      <c r="Q2469" s="6"/>
      <c r="R2469" s="6"/>
      <c r="S2469" s="6"/>
      <c r="T2469" s="6"/>
    </row>
    <row r="2470" spans="1:20">
      <c r="A2470" s="6" t="s">
        <v>2637</v>
      </c>
      <c r="B2470" s="6" t="s">
        <v>66</v>
      </c>
      <c r="C2470" s="6" t="s">
        <v>99</v>
      </c>
      <c r="D2470" s="6" t="s">
        <v>319</v>
      </c>
      <c r="E2470" s="6" t="s">
        <v>120</v>
      </c>
      <c r="F2470" s="7">
        <v>12</v>
      </c>
      <c r="G2470" s="7">
        <v>1500</v>
      </c>
      <c r="H2470" s="16">
        <v>45201</v>
      </c>
      <c r="I2470" s="6">
        <v>40</v>
      </c>
      <c r="J2470" s="6" t="s">
        <v>121</v>
      </c>
      <c r="K2470" s="6" t="s">
        <v>1576</v>
      </c>
      <c r="L2470" s="11">
        <f>F2470*Controls!$B$6</f>
        <v>12</v>
      </c>
      <c r="M2470" s="11">
        <f>G2470*Controls!$B$6</f>
        <v>1500</v>
      </c>
      <c r="N2470" s="12">
        <f>IF(L2470=0,0,SUMIFS('PSI Plan'!$N$6:$N$173,'PSI Plan'!$B$6:$B$173,B2470,'PSI Plan'!$C$6:$C$173,I2470))</f>
        <v>0</v>
      </c>
      <c r="O2470" s="11">
        <f t="shared" si="76"/>
        <v>0</v>
      </c>
      <c r="P2470" s="11">
        <f t="shared" si="77"/>
        <v>0</v>
      </c>
      <c r="Q2470" s="6"/>
      <c r="R2470" s="6"/>
      <c r="S2470" s="6"/>
      <c r="T2470" s="6"/>
    </row>
    <row r="2471" spans="1:20">
      <c r="A2471" s="6" t="s">
        <v>2638</v>
      </c>
      <c r="B2471" s="6" t="s">
        <v>77</v>
      </c>
      <c r="C2471" s="6" t="s">
        <v>99</v>
      </c>
      <c r="D2471" s="6" t="s">
        <v>319</v>
      </c>
      <c r="E2471" s="6" t="s">
        <v>120</v>
      </c>
      <c r="F2471" s="7">
        <v>18</v>
      </c>
      <c r="G2471" s="7">
        <v>2250</v>
      </c>
      <c r="H2471" s="16">
        <v>45281</v>
      </c>
      <c r="I2471" s="6">
        <v>51</v>
      </c>
      <c r="J2471" s="6" t="s">
        <v>121</v>
      </c>
      <c r="K2471" s="6" t="s">
        <v>1576</v>
      </c>
      <c r="L2471" s="11">
        <f>F2471*Controls!$B$6</f>
        <v>18</v>
      </c>
      <c r="M2471" s="11">
        <f>G2471*Controls!$B$6</f>
        <v>2250</v>
      </c>
      <c r="N2471" s="12">
        <f>IF(L2471=0,0,SUMIFS('PSI Plan'!$N$6:$N$173,'PSI Plan'!$B$6:$B$173,B2471,'PSI Plan'!$C$6:$C$173,I2471))</f>
        <v>0</v>
      </c>
      <c r="O2471" s="11">
        <f t="shared" si="76"/>
        <v>0</v>
      </c>
      <c r="P2471" s="11">
        <f t="shared" si="77"/>
        <v>0</v>
      </c>
      <c r="Q2471" s="6"/>
      <c r="R2471" s="6"/>
      <c r="S2471" s="6"/>
      <c r="T2471" s="6"/>
    </row>
    <row r="2472" spans="1:20">
      <c r="A2472" s="6" t="s">
        <v>2639</v>
      </c>
      <c r="B2472" s="6" t="s">
        <v>69</v>
      </c>
      <c r="C2472" s="6" t="s">
        <v>99</v>
      </c>
      <c r="D2472" s="6" t="s">
        <v>319</v>
      </c>
      <c r="E2472" s="6" t="s">
        <v>120</v>
      </c>
      <c r="F2472" s="7">
        <v>2</v>
      </c>
      <c r="G2472" s="7">
        <v>250</v>
      </c>
      <c r="H2472" s="16">
        <v>45251</v>
      </c>
      <c r="I2472" s="6">
        <v>47</v>
      </c>
      <c r="J2472" s="6" t="s">
        <v>121</v>
      </c>
      <c r="K2472" s="6" t="s">
        <v>1576</v>
      </c>
      <c r="L2472" s="11">
        <f>F2472*Controls!$B$6</f>
        <v>2</v>
      </c>
      <c r="M2472" s="11">
        <f>G2472*Controls!$B$6</f>
        <v>250</v>
      </c>
      <c r="N2472" s="12">
        <f>IF(L2472=0,0,SUMIFS('PSI Plan'!$N$6:$N$173,'PSI Plan'!$B$6:$B$173,B2472,'PSI Plan'!$C$6:$C$173,I2472))</f>
        <v>0</v>
      </c>
      <c r="O2472" s="11">
        <f t="shared" si="76"/>
        <v>0</v>
      </c>
      <c r="P2472" s="11">
        <f t="shared" si="77"/>
        <v>0</v>
      </c>
      <c r="Q2472" s="6"/>
      <c r="R2472" s="6"/>
      <c r="S2472" s="6"/>
      <c r="T2472" s="6"/>
    </row>
    <row r="2473" spans="1:20">
      <c r="A2473" s="6" t="s">
        <v>2640</v>
      </c>
      <c r="B2473" s="6" t="s">
        <v>77</v>
      </c>
      <c r="C2473" s="6" t="s">
        <v>90</v>
      </c>
      <c r="D2473" s="6" t="s">
        <v>119</v>
      </c>
      <c r="E2473" s="6" t="s">
        <v>120</v>
      </c>
      <c r="F2473" s="7">
        <v>5</v>
      </c>
      <c r="G2473" s="7">
        <v>625</v>
      </c>
      <c r="H2473" s="16">
        <v>45259</v>
      </c>
      <c r="I2473" s="6">
        <v>48</v>
      </c>
      <c r="J2473" s="6" t="s">
        <v>121</v>
      </c>
      <c r="K2473" s="6" t="s">
        <v>298</v>
      </c>
      <c r="L2473" s="11">
        <f>F2473*Controls!$B$6</f>
        <v>5</v>
      </c>
      <c r="M2473" s="11">
        <f>G2473*Controls!$B$6</f>
        <v>625</v>
      </c>
      <c r="N2473" s="12">
        <f>IF(L2473=0,0,SUMIFS('PSI Plan'!$N$6:$N$173,'PSI Plan'!$B$6:$B$173,B2473,'PSI Plan'!$C$6:$C$173,I2473))</f>
        <v>0</v>
      </c>
      <c r="O2473" s="11">
        <f t="shared" si="76"/>
        <v>0</v>
      </c>
      <c r="P2473" s="11">
        <f t="shared" si="77"/>
        <v>0</v>
      </c>
      <c r="Q2473" s="6"/>
      <c r="R2473" s="6"/>
      <c r="S2473" s="6"/>
      <c r="T2473" s="6"/>
    </row>
    <row r="2474" spans="1:20">
      <c r="A2474" s="6" t="s">
        <v>2641</v>
      </c>
      <c r="B2474" s="6" t="s">
        <v>76</v>
      </c>
      <c r="C2474" s="6" t="s">
        <v>90</v>
      </c>
      <c r="D2474" s="6" t="s">
        <v>119</v>
      </c>
      <c r="E2474" s="6" t="s">
        <v>120</v>
      </c>
      <c r="F2474" s="7">
        <v>7</v>
      </c>
      <c r="G2474" s="7">
        <v>875</v>
      </c>
      <c r="H2474" s="16">
        <v>45213</v>
      </c>
      <c r="I2474" s="6">
        <v>41</v>
      </c>
      <c r="J2474" s="6" t="s">
        <v>121</v>
      </c>
      <c r="K2474" s="6" t="s">
        <v>298</v>
      </c>
      <c r="L2474" s="11">
        <f>F2474*Controls!$B$6</f>
        <v>7</v>
      </c>
      <c r="M2474" s="11">
        <f>G2474*Controls!$B$6</f>
        <v>875</v>
      </c>
      <c r="N2474" s="12">
        <f>IF(L2474=0,0,SUMIFS('PSI Plan'!$N$6:$N$173,'PSI Plan'!$B$6:$B$173,B2474,'PSI Plan'!$C$6:$C$173,I2474))</f>
        <v>0</v>
      </c>
      <c r="O2474" s="11">
        <f t="shared" si="76"/>
        <v>0</v>
      </c>
      <c r="P2474" s="11">
        <f t="shared" si="77"/>
        <v>0</v>
      </c>
      <c r="Q2474" s="6"/>
      <c r="R2474" s="6"/>
      <c r="S2474" s="6"/>
      <c r="T2474" s="6"/>
    </row>
    <row r="2475" spans="1:20">
      <c r="A2475" s="6" t="s">
        <v>2642</v>
      </c>
      <c r="B2475" s="6" t="s">
        <v>66</v>
      </c>
      <c r="C2475" s="6" t="s">
        <v>90</v>
      </c>
      <c r="D2475" s="6" t="s">
        <v>119</v>
      </c>
      <c r="E2475" s="6" t="s">
        <v>120</v>
      </c>
      <c r="F2475" s="7">
        <v>13</v>
      </c>
      <c r="G2475" s="7">
        <v>1625</v>
      </c>
      <c r="H2475" s="16">
        <v>45262</v>
      </c>
      <c r="I2475" s="6">
        <v>48</v>
      </c>
      <c r="J2475" s="6" t="s">
        <v>121</v>
      </c>
      <c r="K2475" s="6" t="s">
        <v>1639</v>
      </c>
      <c r="L2475" s="11">
        <f>F2475*Controls!$B$6</f>
        <v>13</v>
      </c>
      <c r="M2475" s="11">
        <f>G2475*Controls!$B$6</f>
        <v>1625</v>
      </c>
      <c r="N2475" s="12">
        <f>IF(L2475=0,0,SUMIFS('PSI Plan'!$N$6:$N$173,'PSI Plan'!$B$6:$B$173,B2475,'PSI Plan'!$C$6:$C$173,I2475))</f>
        <v>0</v>
      </c>
      <c r="O2475" s="11">
        <f t="shared" si="76"/>
        <v>0</v>
      </c>
      <c r="P2475" s="11">
        <f t="shared" si="77"/>
        <v>0</v>
      </c>
      <c r="Q2475" s="6"/>
      <c r="R2475" s="6"/>
      <c r="S2475" s="6"/>
      <c r="T2475" s="6"/>
    </row>
    <row r="2476" spans="1:20">
      <c r="A2476" s="6" t="s">
        <v>2643</v>
      </c>
      <c r="B2476" s="6" t="s">
        <v>77</v>
      </c>
      <c r="C2476" s="6" t="s">
        <v>90</v>
      </c>
      <c r="D2476" s="6" t="s">
        <v>119</v>
      </c>
      <c r="E2476" s="6" t="s">
        <v>120</v>
      </c>
      <c r="F2476" s="7">
        <v>13</v>
      </c>
      <c r="G2476" s="7">
        <v>1625</v>
      </c>
      <c r="H2476" s="16">
        <v>45244</v>
      </c>
      <c r="I2476" s="6">
        <v>46</v>
      </c>
      <c r="J2476" s="6" t="s">
        <v>121</v>
      </c>
      <c r="K2476" s="6" t="s">
        <v>1639</v>
      </c>
      <c r="L2476" s="11">
        <f>F2476*Controls!$B$6</f>
        <v>13</v>
      </c>
      <c r="M2476" s="11">
        <f>G2476*Controls!$B$6</f>
        <v>1625</v>
      </c>
      <c r="N2476" s="12">
        <f>IF(L2476=0,0,SUMIFS('PSI Plan'!$N$6:$N$173,'PSI Plan'!$B$6:$B$173,B2476,'PSI Plan'!$C$6:$C$173,I2476))</f>
        <v>0</v>
      </c>
      <c r="O2476" s="11">
        <f t="shared" si="76"/>
        <v>0</v>
      </c>
      <c r="P2476" s="11">
        <f t="shared" si="77"/>
        <v>0</v>
      </c>
      <c r="Q2476" s="6"/>
      <c r="R2476" s="6"/>
      <c r="S2476" s="6"/>
      <c r="T2476" s="6"/>
    </row>
    <row r="2477" spans="1:20">
      <c r="A2477" s="6" t="s">
        <v>2644</v>
      </c>
      <c r="B2477" s="6" t="s">
        <v>76</v>
      </c>
      <c r="C2477" s="6" t="s">
        <v>90</v>
      </c>
      <c r="D2477" s="6" t="s">
        <v>119</v>
      </c>
      <c r="E2477" s="6" t="s">
        <v>120</v>
      </c>
      <c r="F2477" s="7">
        <v>13</v>
      </c>
      <c r="G2477" s="7">
        <v>1625</v>
      </c>
      <c r="H2477" s="16">
        <v>45218</v>
      </c>
      <c r="I2477" s="6">
        <v>42</v>
      </c>
      <c r="J2477" s="6" t="s">
        <v>121</v>
      </c>
      <c r="K2477" s="6" t="s">
        <v>1639</v>
      </c>
      <c r="L2477" s="11">
        <f>F2477*Controls!$B$6</f>
        <v>13</v>
      </c>
      <c r="M2477" s="11">
        <f>G2477*Controls!$B$6</f>
        <v>1625</v>
      </c>
      <c r="N2477" s="12">
        <f>IF(L2477=0,0,SUMIFS('PSI Plan'!$N$6:$N$173,'PSI Plan'!$B$6:$B$173,B2477,'PSI Plan'!$C$6:$C$173,I2477))</f>
        <v>0</v>
      </c>
      <c r="O2477" s="11">
        <f t="shared" si="76"/>
        <v>0</v>
      </c>
      <c r="P2477" s="11">
        <f t="shared" si="77"/>
        <v>0</v>
      </c>
      <c r="Q2477" s="6"/>
      <c r="R2477" s="6"/>
      <c r="S2477" s="6"/>
      <c r="T2477" s="6"/>
    </row>
    <row r="2478" spans="1:20">
      <c r="A2478" s="6" t="s">
        <v>2645</v>
      </c>
      <c r="B2478" s="6" t="s">
        <v>69</v>
      </c>
      <c r="C2478" s="6" t="s">
        <v>90</v>
      </c>
      <c r="D2478" s="6" t="s">
        <v>119</v>
      </c>
      <c r="E2478" s="6" t="s">
        <v>120</v>
      </c>
      <c r="F2478" s="7">
        <v>13</v>
      </c>
      <c r="G2478" s="7">
        <v>1625</v>
      </c>
      <c r="H2478" s="16">
        <v>45264</v>
      </c>
      <c r="I2478" s="6">
        <v>49</v>
      </c>
      <c r="J2478" s="6" t="s">
        <v>121</v>
      </c>
      <c r="K2478" s="6" t="s">
        <v>1639</v>
      </c>
      <c r="L2478" s="11">
        <f>F2478*Controls!$B$6</f>
        <v>13</v>
      </c>
      <c r="M2478" s="11">
        <f>G2478*Controls!$B$6</f>
        <v>1625</v>
      </c>
      <c r="N2478" s="12">
        <f>IF(L2478=0,0,SUMIFS('PSI Plan'!$N$6:$N$173,'PSI Plan'!$B$6:$B$173,B2478,'PSI Plan'!$C$6:$C$173,I2478))</f>
        <v>0</v>
      </c>
      <c r="O2478" s="11">
        <f t="shared" si="76"/>
        <v>0</v>
      </c>
      <c r="P2478" s="11">
        <f t="shared" si="77"/>
        <v>0</v>
      </c>
      <c r="Q2478" s="6"/>
      <c r="R2478" s="6"/>
      <c r="S2478" s="6"/>
      <c r="T2478" s="6"/>
    </row>
    <row r="2479" spans="1:20">
      <c r="A2479" s="6" t="s">
        <v>2646</v>
      </c>
      <c r="B2479" s="6" t="s">
        <v>66</v>
      </c>
      <c r="C2479" s="6" t="s">
        <v>90</v>
      </c>
      <c r="D2479" s="6" t="s">
        <v>119</v>
      </c>
      <c r="E2479" s="6" t="s">
        <v>120</v>
      </c>
      <c r="F2479" s="7">
        <v>9</v>
      </c>
      <c r="G2479" s="7">
        <v>1125</v>
      </c>
      <c r="H2479" s="16">
        <v>45231</v>
      </c>
      <c r="I2479" s="6">
        <v>44</v>
      </c>
      <c r="J2479" s="6" t="s">
        <v>121</v>
      </c>
      <c r="K2479" s="6" t="s">
        <v>122</v>
      </c>
      <c r="L2479" s="11">
        <f>F2479*Controls!$B$6</f>
        <v>9</v>
      </c>
      <c r="M2479" s="11">
        <f>G2479*Controls!$B$6</f>
        <v>1125</v>
      </c>
      <c r="N2479" s="12">
        <f>IF(L2479=0,0,SUMIFS('PSI Plan'!$N$6:$N$173,'PSI Plan'!$B$6:$B$173,B2479,'PSI Plan'!$C$6:$C$173,I2479))</f>
        <v>0</v>
      </c>
      <c r="O2479" s="11">
        <f t="shared" si="76"/>
        <v>0</v>
      </c>
      <c r="P2479" s="11">
        <f t="shared" si="77"/>
        <v>0</v>
      </c>
      <c r="Q2479" s="6"/>
      <c r="R2479" s="6"/>
      <c r="S2479" s="6"/>
      <c r="T2479" s="6"/>
    </row>
    <row r="2480" spans="1:20">
      <c r="A2480" s="6" t="s">
        <v>2647</v>
      </c>
      <c r="B2480" s="6" t="s">
        <v>76</v>
      </c>
      <c r="C2480" s="6" t="s">
        <v>90</v>
      </c>
      <c r="D2480" s="6" t="s">
        <v>119</v>
      </c>
      <c r="E2480" s="6" t="s">
        <v>120</v>
      </c>
      <c r="F2480" s="7">
        <v>5</v>
      </c>
      <c r="G2480" s="7">
        <v>625</v>
      </c>
      <c r="H2480" s="16">
        <v>45203</v>
      </c>
      <c r="I2480" s="6">
        <v>40</v>
      </c>
      <c r="J2480" s="6" t="s">
        <v>121</v>
      </c>
      <c r="K2480" s="6" t="s">
        <v>122</v>
      </c>
      <c r="L2480" s="11">
        <f>F2480*Controls!$B$6</f>
        <v>5</v>
      </c>
      <c r="M2480" s="11">
        <f>G2480*Controls!$B$6</f>
        <v>625</v>
      </c>
      <c r="N2480" s="12">
        <f>IF(L2480=0,0,SUMIFS('PSI Plan'!$N$6:$N$173,'PSI Plan'!$B$6:$B$173,B2480,'PSI Plan'!$C$6:$C$173,I2480))</f>
        <v>0</v>
      </c>
      <c r="O2480" s="11">
        <f t="shared" si="76"/>
        <v>0</v>
      </c>
      <c r="P2480" s="11">
        <f t="shared" si="77"/>
        <v>0</v>
      </c>
      <c r="Q2480" s="6"/>
      <c r="R2480" s="6"/>
      <c r="S2480" s="6"/>
      <c r="T2480" s="6"/>
    </row>
    <row r="2481" spans="1:20">
      <c r="A2481" s="6" t="s">
        <v>2648</v>
      </c>
      <c r="B2481" s="6" t="s">
        <v>69</v>
      </c>
      <c r="C2481" s="6" t="s">
        <v>90</v>
      </c>
      <c r="D2481" s="6" t="s">
        <v>119</v>
      </c>
      <c r="E2481" s="6" t="s">
        <v>120</v>
      </c>
      <c r="F2481" s="7">
        <v>52</v>
      </c>
      <c r="G2481" s="7">
        <v>6500</v>
      </c>
      <c r="H2481" s="16">
        <v>45250</v>
      </c>
      <c r="I2481" s="6">
        <v>47</v>
      </c>
      <c r="J2481" s="6" t="s">
        <v>121</v>
      </c>
      <c r="K2481" s="6" t="s">
        <v>122</v>
      </c>
      <c r="L2481" s="11">
        <f>F2481*Controls!$B$6</f>
        <v>52</v>
      </c>
      <c r="M2481" s="11">
        <f>G2481*Controls!$B$6</f>
        <v>6500</v>
      </c>
      <c r="N2481" s="12">
        <f>IF(L2481=0,0,SUMIFS('PSI Plan'!$N$6:$N$173,'PSI Plan'!$B$6:$B$173,B2481,'PSI Plan'!$C$6:$C$173,I2481))</f>
        <v>0</v>
      </c>
      <c r="O2481" s="11">
        <f t="shared" si="76"/>
        <v>0</v>
      </c>
      <c r="P2481" s="11">
        <f t="shared" si="77"/>
        <v>0</v>
      </c>
      <c r="Q2481" s="6"/>
      <c r="R2481" s="6"/>
      <c r="S2481" s="6"/>
      <c r="T2481" s="6"/>
    </row>
    <row r="2482" spans="1:20">
      <c r="A2482" s="6" t="s">
        <v>2649</v>
      </c>
      <c r="B2482" s="6" t="s">
        <v>66</v>
      </c>
      <c r="C2482" s="6" t="s">
        <v>90</v>
      </c>
      <c r="D2482" s="6" t="s">
        <v>119</v>
      </c>
      <c r="E2482" s="6" t="s">
        <v>120</v>
      </c>
      <c r="F2482" s="7">
        <v>26</v>
      </c>
      <c r="G2482" s="7">
        <v>3250</v>
      </c>
      <c r="H2482" s="16">
        <v>45277</v>
      </c>
      <c r="I2482" s="6">
        <v>51</v>
      </c>
      <c r="J2482" s="6" t="s">
        <v>121</v>
      </c>
      <c r="K2482" s="6" t="s">
        <v>855</v>
      </c>
      <c r="L2482" s="11">
        <f>F2482*Controls!$B$6</f>
        <v>26</v>
      </c>
      <c r="M2482" s="11">
        <f>G2482*Controls!$B$6</f>
        <v>3250</v>
      </c>
      <c r="N2482" s="12">
        <f>IF(L2482=0,0,SUMIFS('PSI Plan'!$N$6:$N$173,'PSI Plan'!$B$6:$B$173,B2482,'PSI Plan'!$C$6:$C$173,I2482))</f>
        <v>0</v>
      </c>
      <c r="O2482" s="11">
        <f t="shared" si="76"/>
        <v>0</v>
      </c>
      <c r="P2482" s="11">
        <f t="shared" si="77"/>
        <v>0</v>
      </c>
      <c r="Q2482" s="6"/>
      <c r="R2482" s="6"/>
      <c r="S2482" s="6"/>
      <c r="T2482" s="6"/>
    </row>
    <row r="2483" spans="1:20">
      <c r="A2483" s="6" t="s">
        <v>2650</v>
      </c>
      <c r="B2483" s="6" t="s">
        <v>77</v>
      </c>
      <c r="C2483" s="6" t="s">
        <v>90</v>
      </c>
      <c r="D2483" s="6" t="s">
        <v>119</v>
      </c>
      <c r="E2483" s="6" t="s">
        <v>120</v>
      </c>
      <c r="F2483" s="7">
        <v>26</v>
      </c>
      <c r="G2483" s="7">
        <v>3250</v>
      </c>
      <c r="H2483" s="16">
        <v>45220</v>
      </c>
      <c r="I2483" s="6">
        <v>42</v>
      </c>
      <c r="J2483" s="6" t="s">
        <v>121</v>
      </c>
      <c r="K2483" s="6" t="s">
        <v>855</v>
      </c>
      <c r="L2483" s="11">
        <f>F2483*Controls!$B$6</f>
        <v>26</v>
      </c>
      <c r="M2483" s="11">
        <f>G2483*Controls!$B$6</f>
        <v>3250</v>
      </c>
      <c r="N2483" s="12">
        <f>IF(L2483=0,0,SUMIFS('PSI Plan'!$N$6:$N$173,'PSI Plan'!$B$6:$B$173,B2483,'PSI Plan'!$C$6:$C$173,I2483))</f>
        <v>0</v>
      </c>
      <c r="O2483" s="11">
        <f t="shared" si="76"/>
        <v>0</v>
      </c>
      <c r="P2483" s="11">
        <f t="shared" si="77"/>
        <v>0</v>
      </c>
      <c r="Q2483" s="6"/>
      <c r="R2483" s="6"/>
      <c r="S2483" s="6"/>
      <c r="T2483" s="6"/>
    </row>
    <row r="2484" spans="1:20">
      <c r="A2484" s="6" t="s">
        <v>2651</v>
      </c>
      <c r="B2484" s="6" t="s">
        <v>76</v>
      </c>
      <c r="C2484" s="6" t="s">
        <v>90</v>
      </c>
      <c r="D2484" s="6" t="s">
        <v>119</v>
      </c>
      <c r="E2484" s="6" t="s">
        <v>120</v>
      </c>
      <c r="F2484" s="7">
        <v>26</v>
      </c>
      <c r="G2484" s="7">
        <v>3250</v>
      </c>
      <c r="H2484" s="16">
        <v>45238</v>
      </c>
      <c r="I2484" s="6">
        <v>45</v>
      </c>
      <c r="J2484" s="6" t="s">
        <v>121</v>
      </c>
      <c r="K2484" s="6" t="s">
        <v>855</v>
      </c>
      <c r="L2484" s="11">
        <f>F2484*Controls!$B$6</f>
        <v>26</v>
      </c>
      <c r="M2484" s="11">
        <f>G2484*Controls!$B$6</f>
        <v>3250</v>
      </c>
      <c r="N2484" s="12">
        <f>IF(L2484=0,0,SUMIFS('PSI Plan'!$N$6:$N$173,'PSI Plan'!$B$6:$B$173,B2484,'PSI Plan'!$C$6:$C$173,I2484))</f>
        <v>0</v>
      </c>
      <c r="O2484" s="11">
        <f t="shared" si="76"/>
        <v>0</v>
      </c>
      <c r="P2484" s="11">
        <f t="shared" si="77"/>
        <v>0</v>
      </c>
      <c r="Q2484" s="6"/>
      <c r="R2484" s="6"/>
      <c r="S2484" s="6"/>
      <c r="T2484" s="6"/>
    </row>
    <row r="2485" spans="1:20">
      <c r="A2485" s="6" t="s">
        <v>2652</v>
      </c>
      <c r="B2485" s="6" t="s">
        <v>69</v>
      </c>
      <c r="C2485" s="6" t="s">
        <v>90</v>
      </c>
      <c r="D2485" s="6" t="s">
        <v>119</v>
      </c>
      <c r="E2485" s="6" t="s">
        <v>120</v>
      </c>
      <c r="F2485" s="7">
        <v>26</v>
      </c>
      <c r="G2485" s="7">
        <v>3250</v>
      </c>
      <c r="H2485" s="16">
        <v>45241</v>
      </c>
      <c r="I2485" s="6">
        <v>45</v>
      </c>
      <c r="J2485" s="6" t="s">
        <v>121</v>
      </c>
      <c r="K2485" s="6" t="s">
        <v>855</v>
      </c>
      <c r="L2485" s="11">
        <f>F2485*Controls!$B$6</f>
        <v>26</v>
      </c>
      <c r="M2485" s="11">
        <f>G2485*Controls!$B$6</f>
        <v>3250</v>
      </c>
      <c r="N2485" s="12">
        <f>IF(L2485=0,0,SUMIFS('PSI Plan'!$N$6:$N$173,'PSI Plan'!$B$6:$B$173,B2485,'PSI Plan'!$C$6:$C$173,I2485))</f>
        <v>0</v>
      </c>
      <c r="O2485" s="11">
        <f t="shared" si="76"/>
        <v>0</v>
      </c>
      <c r="P2485" s="11">
        <f t="shared" si="77"/>
        <v>0</v>
      </c>
      <c r="Q2485" s="6"/>
      <c r="R2485" s="6"/>
      <c r="S2485" s="6"/>
      <c r="T2485" s="6"/>
    </row>
    <row r="2486" spans="1:20">
      <c r="A2486" s="6" t="s">
        <v>2653</v>
      </c>
      <c r="B2486" s="6" t="s">
        <v>66</v>
      </c>
      <c r="C2486" s="6" t="s">
        <v>90</v>
      </c>
      <c r="D2486" s="6" t="s">
        <v>119</v>
      </c>
      <c r="E2486" s="6" t="s">
        <v>120</v>
      </c>
      <c r="F2486" s="7">
        <v>39</v>
      </c>
      <c r="G2486" s="7">
        <v>4875</v>
      </c>
      <c r="H2486" s="16">
        <v>45248</v>
      </c>
      <c r="I2486" s="6">
        <v>46</v>
      </c>
      <c r="J2486" s="6" t="s">
        <v>121</v>
      </c>
      <c r="K2486" s="6" t="s">
        <v>171</v>
      </c>
      <c r="L2486" s="11">
        <f>F2486*Controls!$B$6</f>
        <v>39</v>
      </c>
      <c r="M2486" s="11">
        <f>G2486*Controls!$B$6</f>
        <v>4875</v>
      </c>
      <c r="N2486" s="12">
        <f>IF(L2486=0,0,SUMIFS('PSI Plan'!$N$6:$N$173,'PSI Plan'!$B$6:$B$173,B2486,'PSI Plan'!$C$6:$C$173,I2486))</f>
        <v>0</v>
      </c>
      <c r="O2486" s="11">
        <f t="shared" si="76"/>
        <v>0</v>
      </c>
      <c r="P2486" s="11">
        <f t="shared" si="77"/>
        <v>0</v>
      </c>
      <c r="Q2486" s="6"/>
      <c r="R2486" s="6"/>
      <c r="S2486" s="6"/>
      <c r="T2486" s="6"/>
    </row>
    <row r="2487" spans="1:20">
      <c r="A2487" s="6" t="s">
        <v>2654</v>
      </c>
      <c r="B2487" s="6" t="s">
        <v>77</v>
      </c>
      <c r="C2487" s="6" t="s">
        <v>90</v>
      </c>
      <c r="D2487" s="6" t="s">
        <v>119</v>
      </c>
      <c r="E2487" s="6" t="s">
        <v>120</v>
      </c>
      <c r="F2487" s="7">
        <v>26</v>
      </c>
      <c r="G2487" s="7">
        <v>3250</v>
      </c>
      <c r="H2487" s="16">
        <v>45285</v>
      </c>
      <c r="I2487" s="6">
        <v>52</v>
      </c>
      <c r="J2487" s="6" t="s">
        <v>121</v>
      </c>
      <c r="K2487" s="6" t="s">
        <v>171</v>
      </c>
      <c r="L2487" s="11">
        <f>F2487*Controls!$B$6</f>
        <v>26</v>
      </c>
      <c r="M2487" s="11">
        <f>G2487*Controls!$B$6</f>
        <v>3250</v>
      </c>
      <c r="N2487" s="12">
        <f>IF(L2487=0,0,SUMIFS('PSI Plan'!$N$6:$N$173,'PSI Plan'!$B$6:$B$173,B2487,'PSI Plan'!$C$6:$C$173,I2487))</f>
        <v>0</v>
      </c>
      <c r="O2487" s="11">
        <f t="shared" si="76"/>
        <v>0</v>
      </c>
      <c r="P2487" s="11">
        <f t="shared" si="77"/>
        <v>0</v>
      </c>
      <c r="Q2487" s="6"/>
      <c r="R2487" s="6"/>
      <c r="S2487" s="6"/>
      <c r="T2487" s="6"/>
    </row>
    <row r="2488" spans="1:20">
      <c r="A2488" s="6" t="s">
        <v>2655</v>
      </c>
      <c r="B2488" s="6" t="s">
        <v>69</v>
      </c>
      <c r="C2488" s="6" t="s">
        <v>90</v>
      </c>
      <c r="D2488" s="6" t="s">
        <v>119</v>
      </c>
      <c r="E2488" s="6" t="s">
        <v>120</v>
      </c>
      <c r="F2488" s="7">
        <v>26</v>
      </c>
      <c r="G2488" s="7">
        <v>3250</v>
      </c>
      <c r="H2488" s="16">
        <v>45222</v>
      </c>
      <c r="I2488" s="6">
        <v>43</v>
      </c>
      <c r="J2488" s="6" t="s">
        <v>121</v>
      </c>
      <c r="K2488" s="6" t="s">
        <v>171</v>
      </c>
      <c r="L2488" s="11">
        <f>F2488*Controls!$B$6</f>
        <v>26</v>
      </c>
      <c r="M2488" s="11">
        <f>G2488*Controls!$B$6</f>
        <v>3250</v>
      </c>
      <c r="N2488" s="12">
        <f>IF(L2488=0,0,SUMIFS('PSI Plan'!$N$6:$N$173,'PSI Plan'!$B$6:$B$173,B2488,'PSI Plan'!$C$6:$C$173,I2488))</f>
        <v>0</v>
      </c>
      <c r="O2488" s="11">
        <f t="shared" si="76"/>
        <v>0</v>
      </c>
      <c r="P2488" s="11">
        <f t="shared" si="77"/>
        <v>0</v>
      </c>
      <c r="Q2488" s="6"/>
      <c r="R2488" s="6"/>
      <c r="S2488" s="6"/>
      <c r="T2488" s="6"/>
    </row>
    <row r="2489" spans="1:20">
      <c r="A2489" s="6" t="s">
        <v>2656</v>
      </c>
      <c r="B2489" s="6" t="s">
        <v>66</v>
      </c>
      <c r="C2489" s="6" t="s">
        <v>99</v>
      </c>
      <c r="D2489" s="6" t="s">
        <v>319</v>
      </c>
      <c r="E2489" s="6" t="s">
        <v>120</v>
      </c>
      <c r="F2489" s="7">
        <v>12</v>
      </c>
      <c r="G2489" s="7">
        <v>1500</v>
      </c>
      <c r="H2489" s="16">
        <v>45221</v>
      </c>
      <c r="I2489" s="6">
        <v>43</v>
      </c>
      <c r="J2489" s="6" t="s">
        <v>121</v>
      </c>
      <c r="K2489" s="6" t="s">
        <v>347</v>
      </c>
      <c r="L2489" s="11">
        <f>F2489*Controls!$B$6</f>
        <v>12</v>
      </c>
      <c r="M2489" s="11">
        <f>G2489*Controls!$B$6</f>
        <v>1500</v>
      </c>
      <c r="N2489" s="12">
        <f>IF(L2489=0,0,SUMIFS('PSI Plan'!$N$6:$N$173,'PSI Plan'!$B$6:$B$173,B2489,'PSI Plan'!$C$6:$C$173,I2489))</f>
        <v>0</v>
      </c>
      <c r="O2489" s="11">
        <f t="shared" si="76"/>
        <v>0</v>
      </c>
      <c r="P2489" s="11">
        <f t="shared" si="77"/>
        <v>0</v>
      </c>
      <c r="Q2489" s="6"/>
      <c r="R2489" s="6"/>
      <c r="S2489" s="6"/>
      <c r="T2489" s="6"/>
    </row>
    <row r="2490" spans="1:20">
      <c r="A2490" s="6" t="s">
        <v>2657</v>
      </c>
      <c r="B2490" s="6" t="s">
        <v>77</v>
      </c>
      <c r="C2490" s="6" t="s">
        <v>99</v>
      </c>
      <c r="D2490" s="6" t="s">
        <v>319</v>
      </c>
      <c r="E2490" s="6" t="s">
        <v>120</v>
      </c>
      <c r="F2490" s="7">
        <v>2</v>
      </c>
      <c r="G2490" s="7">
        <v>250</v>
      </c>
      <c r="H2490" s="16">
        <v>45274</v>
      </c>
      <c r="I2490" s="6">
        <v>50</v>
      </c>
      <c r="J2490" s="6" t="s">
        <v>121</v>
      </c>
      <c r="K2490" s="6" t="s">
        <v>347</v>
      </c>
      <c r="L2490" s="11">
        <f>F2490*Controls!$B$6</f>
        <v>2</v>
      </c>
      <c r="M2490" s="11">
        <f>G2490*Controls!$B$6</f>
        <v>250</v>
      </c>
      <c r="N2490" s="12">
        <f>IF(L2490=0,0,SUMIFS('PSI Plan'!$N$6:$N$173,'PSI Plan'!$B$6:$B$173,B2490,'PSI Plan'!$C$6:$C$173,I2490))</f>
        <v>0</v>
      </c>
      <c r="O2490" s="11">
        <f t="shared" si="76"/>
        <v>0</v>
      </c>
      <c r="P2490" s="11">
        <f t="shared" si="77"/>
        <v>0</v>
      </c>
      <c r="Q2490" s="6"/>
      <c r="R2490" s="6"/>
      <c r="S2490" s="6"/>
      <c r="T2490" s="6"/>
    </row>
    <row r="2491" spans="1:20">
      <c r="A2491" s="6" t="s">
        <v>2658</v>
      </c>
      <c r="B2491" s="6" t="s">
        <v>76</v>
      </c>
      <c r="C2491" s="6" t="s">
        <v>99</v>
      </c>
      <c r="D2491" s="6" t="s">
        <v>319</v>
      </c>
      <c r="E2491" s="6" t="s">
        <v>120</v>
      </c>
      <c r="F2491" s="7">
        <v>8</v>
      </c>
      <c r="G2491" s="7">
        <v>1000</v>
      </c>
      <c r="H2491" s="16">
        <v>45234</v>
      </c>
      <c r="I2491" s="6">
        <v>44</v>
      </c>
      <c r="J2491" s="6" t="s">
        <v>121</v>
      </c>
      <c r="K2491" s="6" t="s">
        <v>347</v>
      </c>
      <c r="L2491" s="11">
        <f>F2491*Controls!$B$6</f>
        <v>8</v>
      </c>
      <c r="M2491" s="11">
        <f>G2491*Controls!$B$6</f>
        <v>1000</v>
      </c>
      <c r="N2491" s="12">
        <f>IF(L2491=0,0,SUMIFS('PSI Plan'!$N$6:$N$173,'PSI Plan'!$B$6:$B$173,B2491,'PSI Plan'!$C$6:$C$173,I2491))</f>
        <v>0</v>
      </c>
      <c r="O2491" s="11">
        <f t="shared" si="76"/>
        <v>0</v>
      </c>
      <c r="P2491" s="11">
        <f t="shared" si="77"/>
        <v>0</v>
      </c>
      <c r="Q2491" s="6"/>
      <c r="R2491" s="6"/>
      <c r="S2491" s="6"/>
      <c r="T2491" s="6"/>
    </row>
    <row r="2492" spans="1:20">
      <c r="A2492" s="6" t="s">
        <v>2659</v>
      </c>
      <c r="B2492" s="6" t="s">
        <v>69</v>
      </c>
      <c r="C2492" s="6" t="s">
        <v>99</v>
      </c>
      <c r="D2492" s="6" t="s">
        <v>319</v>
      </c>
      <c r="E2492" s="6" t="s">
        <v>120</v>
      </c>
      <c r="F2492" s="7">
        <v>8</v>
      </c>
      <c r="G2492" s="7">
        <v>1000</v>
      </c>
      <c r="H2492" s="16">
        <v>45242</v>
      </c>
      <c r="I2492" s="6">
        <v>46</v>
      </c>
      <c r="J2492" s="6" t="s">
        <v>121</v>
      </c>
      <c r="K2492" s="6" t="s">
        <v>347</v>
      </c>
      <c r="L2492" s="11">
        <f>F2492*Controls!$B$6</f>
        <v>8</v>
      </c>
      <c r="M2492" s="11">
        <f>G2492*Controls!$B$6</f>
        <v>1000</v>
      </c>
      <c r="N2492" s="12">
        <f>IF(L2492=0,0,SUMIFS('PSI Plan'!$N$6:$N$173,'PSI Plan'!$B$6:$B$173,B2492,'PSI Plan'!$C$6:$C$173,I2492))</f>
        <v>0</v>
      </c>
      <c r="O2492" s="11">
        <f t="shared" si="76"/>
        <v>0</v>
      </c>
      <c r="P2492" s="11">
        <f t="shared" si="77"/>
        <v>0</v>
      </c>
      <c r="Q2492" s="6"/>
      <c r="R2492" s="6"/>
      <c r="S2492" s="6"/>
      <c r="T2492" s="6"/>
    </row>
    <row r="2493" spans="1:20">
      <c r="A2493" s="6" t="s">
        <v>2660</v>
      </c>
      <c r="B2493" s="6" t="s">
        <v>66</v>
      </c>
      <c r="C2493" s="6" t="s">
        <v>100</v>
      </c>
      <c r="D2493" s="6" t="s">
        <v>567</v>
      </c>
      <c r="E2493" s="6" t="s">
        <v>120</v>
      </c>
      <c r="F2493" s="7">
        <v>12</v>
      </c>
      <c r="G2493" s="7">
        <v>1500</v>
      </c>
      <c r="H2493" s="16">
        <v>45229</v>
      </c>
      <c r="I2493" s="6">
        <v>44</v>
      </c>
      <c r="J2493" s="6" t="s">
        <v>121</v>
      </c>
      <c r="K2493" s="6" t="s">
        <v>568</v>
      </c>
      <c r="L2493" s="11">
        <f>F2493*Controls!$B$6</f>
        <v>12</v>
      </c>
      <c r="M2493" s="11">
        <f>G2493*Controls!$B$6</f>
        <v>1500</v>
      </c>
      <c r="N2493" s="12">
        <f>IF(L2493=0,0,SUMIFS('PSI Plan'!$N$6:$N$173,'PSI Plan'!$B$6:$B$173,B2493,'PSI Plan'!$C$6:$C$173,I2493))</f>
        <v>0</v>
      </c>
      <c r="O2493" s="11">
        <f t="shared" si="76"/>
        <v>0</v>
      </c>
      <c r="P2493" s="11">
        <f t="shared" si="77"/>
        <v>0</v>
      </c>
      <c r="Q2493" s="6"/>
      <c r="R2493" s="6"/>
      <c r="S2493" s="6"/>
      <c r="T2493" s="6"/>
    </row>
    <row r="2494" spans="1:20">
      <c r="A2494" s="6" t="s">
        <v>2661</v>
      </c>
      <c r="B2494" s="6" t="s">
        <v>77</v>
      </c>
      <c r="C2494" s="6" t="s">
        <v>100</v>
      </c>
      <c r="D2494" s="6" t="s">
        <v>567</v>
      </c>
      <c r="E2494" s="6" t="s">
        <v>120</v>
      </c>
      <c r="F2494" s="7">
        <v>12</v>
      </c>
      <c r="G2494" s="7">
        <v>1500</v>
      </c>
      <c r="H2494" s="16">
        <v>45247</v>
      </c>
      <c r="I2494" s="6">
        <v>46</v>
      </c>
      <c r="J2494" s="6" t="s">
        <v>121</v>
      </c>
      <c r="K2494" s="6" t="s">
        <v>568</v>
      </c>
      <c r="L2494" s="11">
        <f>F2494*Controls!$B$6</f>
        <v>12</v>
      </c>
      <c r="M2494" s="11">
        <f>G2494*Controls!$B$6</f>
        <v>1500</v>
      </c>
      <c r="N2494" s="12">
        <f>IF(L2494=0,0,SUMIFS('PSI Plan'!$N$6:$N$173,'PSI Plan'!$B$6:$B$173,B2494,'PSI Plan'!$C$6:$C$173,I2494))</f>
        <v>0</v>
      </c>
      <c r="O2494" s="11">
        <f t="shared" si="76"/>
        <v>0</v>
      </c>
      <c r="P2494" s="11">
        <f t="shared" si="77"/>
        <v>0</v>
      </c>
      <c r="Q2494" s="6"/>
      <c r="R2494" s="6"/>
      <c r="S2494" s="6"/>
      <c r="T2494" s="6"/>
    </row>
    <row r="2495" spans="1:20">
      <c r="A2495" s="6" t="s">
        <v>2662</v>
      </c>
      <c r="B2495" s="6" t="s">
        <v>76</v>
      </c>
      <c r="C2495" s="6" t="s">
        <v>100</v>
      </c>
      <c r="D2495" s="6" t="s">
        <v>567</v>
      </c>
      <c r="E2495" s="6" t="s">
        <v>120</v>
      </c>
      <c r="F2495" s="7">
        <v>16</v>
      </c>
      <c r="G2495" s="7">
        <v>2000</v>
      </c>
      <c r="H2495" s="16">
        <v>45228</v>
      </c>
      <c r="I2495" s="6">
        <v>44</v>
      </c>
      <c r="J2495" s="6" t="s">
        <v>121</v>
      </c>
      <c r="K2495" s="6" t="s">
        <v>568</v>
      </c>
      <c r="L2495" s="11">
        <f>F2495*Controls!$B$6</f>
        <v>16</v>
      </c>
      <c r="M2495" s="11">
        <f>G2495*Controls!$B$6</f>
        <v>2000</v>
      </c>
      <c r="N2495" s="12">
        <f>IF(L2495=0,0,SUMIFS('PSI Plan'!$N$6:$N$173,'PSI Plan'!$B$6:$B$173,B2495,'PSI Plan'!$C$6:$C$173,I2495))</f>
        <v>0</v>
      </c>
      <c r="O2495" s="11">
        <f t="shared" si="76"/>
        <v>0</v>
      </c>
      <c r="P2495" s="11">
        <f t="shared" si="77"/>
        <v>0</v>
      </c>
      <c r="Q2495" s="6"/>
      <c r="R2495" s="6"/>
      <c r="S2495" s="6"/>
      <c r="T2495" s="6"/>
    </row>
    <row r="2496" spans="1:20">
      <c r="A2496" s="6" t="s">
        <v>2663</v>
      </c>
      <c r="B2496" s="6" t="s">
        <v>67</v>
      </c>
      <c r="C2496" s="6" t="s">
        <v>100</v>
      </c>
      <c r="D2496" s="6" t="s">
        <v>567</v>
      </c>
      <c r="E2496" s="6" t="s">
        <v>120</v>
      </c>
      <c r="F2496" s="7">
        <v>4</v>
      </c>
      <c r="G2496" s="7">
        <v>500</v>
      </c>
      <c r="H2496" s="16">
        <v>45229</v>
      </c>
      <c r="I2496" s="6">
        <v>44</v>
      </c>
      <c r="J2496" s="6" t="s">
        <v>121</v>
      </c>
      <c r="K2496" s="6" t="s">
        <v>568</v>
      </c>
      <c r="L2496" s="11">
        <f>F2496*Controls!$B$6</f>
        <v>4</v>
      </c>
      <c r="M2496" s="11">
        <f>G2496*Controls!$B$6</f>
        <v>500</v>
      </c>
      <c r="N2496" s="12">
        <f>IF(L2496=0,0,SUMIFS('PSI Plan'!$N$6:$N$173,'PSI Plan'!$B$6:$B$173,B2496,'PSI Plan'!$C$6:$C$173,I2496))</f>
        <v>0</v>
      </c>
      <c r="O2496" s="11">
        <f t="shared" si="76"/>
        <v>0</v>
      </c>
      <c r="P2496" s="11">
        <f t="shared" si="77"/>
        <v>0</v>
      </c>
      <c r="Q2496" s="6"/>
      <c r="R2496" s="6"/>
      <c r="S2496" s="6"/>
      <c r="T2496" s="6"/>
    </row>
    <row r="2497" spans="1:20">
      <c r="A2497" s="6" t="s">
        <v>2664</v>
      </c>
      <c r="B2497" s="6" t="s">
        <v>69</v>
      </c>
      <c r="C2497" s="6" t="s">
        <v>100</v>
      </c>
      <c r="D2497" s="6" t="s">
        <v>567</v>
      </c>
      <c r="E2497" s="6" t="s">
        <v>120</v>
      </c>
      <c r="F2497" s="7">
        <v>12</v>
      </c>
      <c r="G2497" s="7">
        <v>1500</v>
      </c>
      <c r="H2497" s="16">
        <v>45241</v>
      </c>
      <c r="I2497" s="6">
        <v>45</v>
      </c>
      <c r="J2497" s="6" t="s">
        <v>121</v>
      </c>
      <c r="K2497" s="6" t="s">
        <v>568</v>
      </c>
      <c r="L2497" s="11">
        <f>F2497*Controls!$B$6</f>
        <v>12</v>
      </c>
      <c r="M2497" s="11">
        <f>G2497*Controls!$B$6</f>
        <v>1500</v>
      </c>
      <c r="N2497" s="12">
        <f>IF(L2497=0,0,SUMIFS('PSI Plan'!$N$6:$N$173,'PSI Plan'!$B$6:$B$173,B2497,'PSI Plan'!$C$6:$C$173,I2497))</f>
        <v>0</v>
      </c>
      <c r="O2497" s="11">
        <f t="shared" si="76"/>
        <v>0</v>
      </c>
      <c r="P2497" s="11">
        <f t="shared" si="77"/>
        <v>0</v>
      </c>
      <c r="Q2497" s="6"/>
      <c r="R2497" s="6"/>
      <c r="S2497" s="6"/>
      <c r="T2497" s="6"/>
    </row>
    <row r="2498" spans="1:20">
      <c r="A2498" s="6" t="s">
        <v>2665</v>
      </c>
      <c r="B2498" s="6" t="s">
        <v>76</v>
      </c>
      <c r="C2498" s="6" t="s">
        <v>91</v>
      </c>
      <c r="D2498" s="6" t="s">
        <v>567</v>
      </c>
      <c r="E2498" s="6" t="s">
        <v>120</v>
      </c>
      <c r="F2498" s="7">
        <v>60</v>
      </c>
      <c r="G2498" s="7">
        <v>7500</v>
      </c>
      <c r="H2498" s="16">
        <v>45244</v>
      </c>
      <c r="I2498" s="6">
        <v>46</v>
      </c>
      <c r="J2498" s="6" t="s">
        <v>2151</v>
      </c>
      <c r="K2498" s="6" t="s">
        <v>2526</v>
      </c>
      <c r="L2498" s="11">
        <f>F2498*Controls!$B$6</f>
        <v>60</v>
      </c>
      <c r="M2498" s="11">
        <f>G2498*Controls!$B$6</f>
        <v>7500</v>
      </c>
      <c r="N2498" s="12">
        <f>IF(L2498=0,0,SUMIFS('PSI Plan'!$N$6:$N$173,'PSI Plan'!$B$6:$B$173,B2498,'PSI Plan'!$C$6:$C$173,I2498))</f>
        <v>0</v>
      </c>
      <c r="O2498" s="11">
        <f t="shared" ref="O2498:O2561" si="78">L2498*N2498</f>
        <v>0</v>
      </c>
      <c r="P2498" s="11">
        <f t="shared" ref="P2498:P2561" si="79">M2498*N2498</f>
        <v>0</v>
      </c>
      <c r="Q2498" s="6"/>
      <c r="R2498" s="6"/>
      <c r="S2498" s="6"/>
      <c r="T2498" s="6"/>
    </row>
    <row r="2499" spans="1:20">
      <c r="A2499" s="6" t="s">
        <v>2666</v>
      </c>
      <c r="B2499" s="6" t="s">
        <v>67</v>
      </c>
      <c r="C2499" s="6" t="s">
        <v>91</v>
      </c>
      <c r="D2499" s="6" t="s">
        <v>567</v>
      </c>
      <c r="E2499" s="6" t="s">
        <v>120</v>
      </c>
      <c r="F2499" s="7">
        <v>60</v>
      </c>
      <c r="G2499" s="7">
        <v>7500</v>
      </c>
      <c r="H2499" s="16">
        <v>45284</v>
      </c>
      <c r="I2499" s="6">
        <v>52</v>
      </c>
      <c r="J2499" s="6" t="s">
        <v>2151</v>
      </c>
      <c r="K2499" s="6" t="s">
        <v>2526</v>
      </c>
      <c r="L2499" s="11">
        <f>F2499*Controls!$B$6</f>
        <v>60</v>
      </c>
      <c r="M2499" s="11">
        <f>G2499*Controls!$B$6</f>
        <v>7500</v>
      </c>
      <c r="N2499" s="12">
        <f>IF(L2499=0,0,SUMIFS('PSI Plan'!$N$6:$N$173,'PSI Plan'!$B$6:$B$173,B2499,'PSI Plan'!$C$6:$C$173,I2499))</f>
        <v>0</v>
      </c>
      <c r="O2499" s="11">
        <f t="shared" si="78"/>
        <v>0</v>
      </c>
      <c r="P2499" s="11">
        <f t="shared" si="79"/>
        <v>0</v>
      </c>
      <c r="Q2499" s="6"/>
      <c r="R2499" s="6"/>
      <c r="S2499" s="6"/>
      <c r="T2499" s="6"/>
    </row>
    <row r="2500" spans="1:20">
      <c r="A2500" s="6" t="s">
        <v>2667</v>
      </c>
      <c r="B2500" s="6" t="s">
        <v>77</v>
      </c>
      <c r="C2500" s="6" t="s">
        <v>90</v>
      </c>
      <c r="D2500" s="6" t="s">
        <v>119</v>
      </c>
      <c r="E2500" s="6" t="s">
        <v>120</v>
      </c>
      <c r="F2500" s="7">
        <v>78</v>
      </c>
      <c r="G2500" s="7">
        <v>9750</v>
      </c>
      <c r="H2500" s="16">
        <v>45218</v>
      </c>
      <c r="I2500" s="6">
        <v>42</v>
      </c>
      <c r="J2500" s="6" t="s">
        <v>121</v>
      </c>
      <c r="K2500" s="6" t="s">
        <v>725</v>
      </c>
      <c r="L2500" s="11">
        <f>F2500*Controls!$B$6</f>
        <v>78</v>
      </c>
      <c r="M2500" s="11">
        <f>G2500*Controls!$B$6</f>
        <v>9750</v>
      </c>
      <c r="N2500" s="12">
        <f>IF(L2500=0,0,SUMIFS('PSI Plan'!$N$6:$N$173,'PSI Plan'!$B$6:$B$173,B2500,'PSI Plan'!$C$6:$C$173,I2500))</f>
        <v>0</v>
      </c>
      <c r="O2500" s="11">
        <f t="shared" si="78"/>
        <v>0</v>
      </c>
      <c r="P2500" s="11">
        <f t="shared" si="79"/>
        <v>0</v>
      </c>
      <c r="Q2500" s="6"/>
      <c r="R2500" s="6"/>
      <c r="S2500" s="6"/>
      <c r="T2500" s="6"/>
    </row>
    <row r="2501" spans="1:20">
      <c r="A2501" s="6" t="s">
        <v>2668</v>
      </c>
      <c r="B2501" s="6" t="s">
        <v>69</v>
      </c>
      <c r="C2501" s="6" t="s">
        <v>90</v>
      </c>
      <c r="D2501" s="6" t="s">
        <v>119</v>
      </c>
      <c r="E2501" s="6" t="s">
        <v>120</v>
      </c>
      <c r="F2501" s="7">
        <v>130</v>
      </c>
      <c r="G2501" s="7">
        <v>16250</v>
      </c>
      <c r="H2501" s="16">
        <v>45251</v>
      </c>
      <c r="I2501" s="6">
        <v>47</v>
      </c>
      <c r="J2501" s="6" t="s">
        <v>121</v>
      </c>
      <c r="K2501" s="6" t="s">
        <v>725</v>
      </c>
      <c r="L2501" s="11">
        <f>F2501*Controls!$B$6</f>
        <v>130</v>
      </c>
      <c r="M2501" s="11">
        <f>G2501*Controls!$B$6</f>
        <v>16250</v>
      </c>
      <c r="N2501" s="12">
        <f>IF(L2501=0,0,SUMIFS('PSI Plan'!$N$6:$N$173,'PSI Plan'!$B$6:$B$173,B2501,'PSI Plan'!$C$6:$C$173,I2501))</f>
        <v>0</v>
      </c>
      <c r="O2501" s="11">
        <f t="shared" si="78"/>
        <v>0</v>
      </c>
      <c r="P2501" s="11">
        <f t="shared" si="79"/>
        <v>0</v>
      </c>
      <c r="Q2501" s="6"/>
      <c r="R2501" s="6"/>
      <c r="S2501" s="6"/>
      <c r="T2501" s="6"/>
    </row>
    <row r="2502" spans="1:20">
      <c r="A2502" s="6" t="s">
        <v>2669</v>
      </c>
      <c r="B2502" s="6" t="s">
        <v>67</v>
      </c>
      <c r="C2502" s="6" t="s">
        <v>90</v>
      </c>
      <c r="D2502" s="6" t="s">
        <v>119</v>
      </c>
      <c r="E2502" s="6" t="s">
        <v>120</v>
      </c>
      <c r="F2502" s="7">
        <v>17</v>
      </c>
      <c r="G2502" s="7">
        <v>2125</v>
      </c>
      <c r="H2502" s="16">
        <v>45261</v>
      </c>
      <c r="I2502" s="6">
        <v>48</v>
      </c>
      <c r="J2502" s="6" t="s">
        <v>121</v>
      </c>
      <c r="K2502" s="6" t="s">
        <v>122</v>
      </c>
      <c r="L2502" s="11">
        <f>F2502*Controls!$B$6</f>
        <v>17</v>
      </c>
      <c r="M2502" s="11">
        <f>G2502*Controls!$B$6</f>
        <v>2125</v>
      </c>
      <c r="N2502" s="12">
        <f>IF(L2502=0,0,SUMIFS('PSI Plan'!$N$6:$N$173,'PSI Plan'!$B$6:$B$173,B2502,'PSI Plan'!$C$6:$C$173,I2502))</f>
        <v>0</v>
      </c>
      <c r="O2502" s="11">
        <f t="shared" si="78"/>
        <v>0</v>
      </c>
      <c r="P2502" s="11">
        <f t="shared" si="79"/>
        <v>0</v>
      </c>
      <c r="Q2502" s="6"/>
      <c r="R2502" s="6"/>
      <c r="S2502" s="6"/>
      <c r="T2502" s="6"/>
    </row>
    <row r="2503" spans="1:20">
      <c r="A2503" s="6" t="s">
        <v>2670</v>
      </c>
      <c r="B2503" s="6" t="s">
        <v>69</v>
      </c>
      <c r="C2503" s="6" t="s">
        <v>90</v>
      </c>
      <c r="D2503" s="6" t="s">
        <v>119</v>
      </c>
      <c r="E2503" s="6" t="s">
        <v>120</v>
      </c>
      <c r="F2503" s="7">
        <v>35</v>
      </c>
      <c r="G2503" s="7">
        <v>4375</v>
      </c>
      <c r="H2503" s="16">
        <v>45212</v>
      </c>
      <c r="I2503" s="6">
        <v>41</v>
      </c>
      <c r="J2503" s="6" t="s">
        <v>121</v>
      </c>
      <c r="K2503" s="6" t="s">
        <v>122</v>
      </c>
      <c r="L2503" s="11">
        <f>F2503*Controls!$B$6</f>
        <v>35</v>
      </c>
      <c r="M2503" s="11">
        <f>G2503*Controls!$B$6</f>
        <v>4375</v>
      </c>
      <c r="N2503" s="12">
        <f>IF(L2503=0,0,SUMIFS('PSI Plan'!$N$6:$N$173,'PSI Plan'!$B$6:$B$173,B2503,'PSI Plan'!$C$6:$C$173,I2503))</f>
        <v>0</v>
      </c>
      <c r="O2503" s="11">
        <f t="shared" si="78"/>
        <v>0</v>
      </c>
      <c r="P2503" s="11">
        <f t="shared" si="79"/>
        <v>0</v>
      </c>
      <c r="Q2503" s="6"/>
      <c r="R2503" s="6"/>
      <c r="S2503" s="6"/>
      <c r="T2503" s="6"/>
    </row>
    <row r="2504" spans="1:20">
      <c r="A2504" s="6" t="s">
        <v>2671</v>
      </c>
      <c r="B2504" s="6" t="s">
        <v>66</v>
      </c>
      <c r="C2504" s="6" t="s">
        <v>90</v>
      </c>
      <c r="D2504" s="6" t="s">
        <v>119</v>
      </c>
      <c r="E2504" s="6" t="s">
        <v>120</v>
      </c>
      <c r="F2504" s="7">
        <v>26</v>
      </c>
      <c r="G2504" s="7">
        <v>3250</v>
      </c>
      <c r="H2504" s="16">
        <v>45229</v>
      </c>
      <c r="I2504" s="6">
        <v>44</v>
      </c>
      <c r="J2504" s="6" t="s">
        <v>121</v>
      </c>
      <c r="K2504" s="6" t="s">
        <v>1695</v>
      </c>
      <c r="L2504" s="11">
        <f>F2504*Controls!$B$6</f>
        <v>26</v>
      </c>
      <c r="M2504" s="11">
        <f>G2504*Controls!$B$6</f>
        <v>3250</v>
      </c>
      <c r="N2504" s="12">
        <f>IF(L2504=0,0,SUMIFS('PSI Plan'!$N$6:$N$173,'PSI Plan'!$B$6:$B$173,B2504,'PSI Plan'!$C$6:$C$173,I2504))</f>
        <v>0</v>
      </c>
      <c r="O2504" s="11">
        <f t="shared" si="78"/>
        <v>0</v>
      </c>
      <c r="P2504" s="11">
        <f t="shared" si="79"/>
        <v>0</v>
      </c>
      <c r="Q2504" s="6"/>
      <c r="R2504" s="6"/>
      <c r="S2504" s="6"/>
      <c r="T2504" s="6"/>
    </row>
    <row r="2505" spans="1:20">
      <c r="A2505" s="6" t="s">
        <v>2672</v>
      </c>
      <c r="B2505" s="6" t="s">
        <v>77</v>
      </c>
      <c r="C2505" s="6" t="s">
        <v>90</v>
      </c>
      <c r="D2505" s="6" t="s">
        <v>119</v>
      </c>
      <c r="E2505" s="6" t="s">
        <v>120</v>
      </c>
      <c r="F2505" s="7">
        <v>26</v>
      </c>
      <c r="G2505" s="7">
        <v>3250</v>
      </c>
      <c r="H2505" s="16">
        <v>45211</v>
      </c>
      <c r="I2505" s="6">
        <v>41</v>
      </c>
      <c r="J2505" s="6" t="s">
        <v>121</v>
      </c>
      <c r="K2505" s="6" t="s">
        <v>1695</v>
      </c>
      <c r="L2505" s="11">
        <f>F2505*Controls!$B$6</f>
        <v>26</v>
      </c>
      <c r="M2505" s="11">
        <f>G2505*Controls!$B$6</f>
        <v>3250</v>
      </c>
      <c r="N2505" s="12">
        <f>IF(L2505=0,0,SUMIFS('PSI Plan'!$N$6:$N$173,'PSI Plan'!$B$6:$B$173,B2505,'PSI Plan'!$C$6:$C$173,I2505))</f>
        <v>0</v>
      </c>
      <c r="O2505" s="11">
        <f t="shared" si="78"/>
        <v>0</v>
      </c>
      <c r="P2505" s="11">
        <f t="shared" si="79"/>
        <v>0</v>
      </c>
      <c r="Q2505" s="6"/>
      <c r="R2505" s="6"/>
      <c r="S2505" s="6"/>
      <c r="T2505" s="6"/>
    </row>
    <row r="2506" spans="1:20">
      <c r="A2506" s="6" t="s">
        <v>2673</v>
      </c>
      <c r="B2506" s="6" t="s">
        <v>76</v>
      </c>
      <c r="C2506" s="6" t="s">
        <v>90</v>
      </c>
      <c r="D2506" s="6" t="s">
        <v>119</v>
      </c>
      <c r="E2506" s="6" t="s">
        <v>120</v>
      </c>
      <c r="F2506" s="7">
        <v>26</v>
      </c>
      <c r="G2506" s="7">
        <v>3250</v>
      </c>
      <c r="H2506" s="16">
        <v>45223</v>
      </c>
      <c r="I2506" s="6">
        <v>43</v>
      </c>
      <c r="J2506" s="6" t="s">
        <v>121</v>
      </c>
      <c r="K2506" s="6" t="s">
        <v>1695</v>
      </c>
      <c r="L2506" s="11">
        <f>F2506*Controls!$B$6</f>
        <v>26</v>
      </c>
      <c r="M2506" s="11">
        <f>G2506*Controls!$B$6</f>
        <v>3250</v>
      </c>
      <c r="N2506" s="12">
        <f>IF(L2506=0,0,SUMIFS('PSI Plan'!$N$6:$N$173,'PSI Plan'!$B$6:$B$173,B2506,'PSI Plan'!$C$6:$C$173,I2506))</f>
        <v>0</v>
      </c>
      <c r="O2506" s="11">
        <f t="shared" si="78"/>
        <v>0</v>
      </c>
      <c r="P2506" s="11">
        <f t="shared" si="79"/>
        <v>0</v>
      </c>
      <c r="Q2506" s="6"/>
      <c r="R2506" s="6"/>
      <c r="S2506" s="6"/>
      <c r="T2506" s="6"/>
    </row>
    <row r="2507" spans="1:20">
      <c r="A2507" s="6" t="s">
        <v>2674</v>
      </c>
      <c r="B2507" s="6" t="s">
        <v>69</v>
      </c>
      <c r="C2507" s="6" t="s">
        <v>90</v>
      </c>
      <c r="D2507" s="6" t="s">
        <v>119</v>
      </c>
      <c r="E2507" s="6" t="s">
        <v>120</v>
      </c>
      <c r="F2507" s="7">
        <v>26</v>
      </c>
      <c r="G2507" s="7">
        <v>3250</v>
      </c>
      <c r="H2507" s="16">
        <v>45250</v>
      </c>
      <c r="I2507" s="6">
        <v>47</v>
      </c>
      <c r="J2507" s="6" t="s">
        <v>121</v>
      </c>
      <c r="K2507" s="6" t="s">
        <v>1695</v>
      </c>
      <c r="L2507" s="11">
        <f>F2507*Controls!$B$6</f>
        <v>26</v>
      </c>
      <c r="M2507" s="11">
        <f>G2507*Controls!$B$6</f>
        <v>3250</v>
      </c>
      <c r="N2507" s="12">
        <f>IF(L2507=0,0,SUMIFS('PSI Plan'!$N$6:$N$173,'PSI Plan'!$B$6:$B$173,B2507,'PSI Plan'!$C$6:$C$173,I2507))</f>
        <v>0</v>
      </c>
      <c r="O2507" s="11">
        <f t="shared" si="78"/>
        <v>0</v>
      </c>
      <c r="P2507" s="11">
        <f t="shared" si="79"/>
        <v>0</v>
      </c>
      <c r="Q2507" s="6"/>
      <c r="R2507" s="6"/>
      <c r="S2507" s="6"/>
      <c r="T2507" s="6"/>
    </row>
    <row r="2508" spans="1:20">
      <c r="A2508" s="6" t="s">
        <v>2675</v>
      </c>
      <c r="B2508" s="6" t="s">
        <v>66</v>
      </c>
      <c r="C2508" s="6" t="s">
        <v>91</v>
      </c>
      <c r="D2508" s="6" t="s">
        <v>567</v>
      </c>
      <c r="E2508" s="6" t="s">
        <v>120</v>
      </c>
      <c r="F2508" s="7">
        <v>20</v>
      </c>
      <c r="G2508" s="7">
        <v>2500</v>
      </c>
      <c r="H2508" s="16">
        <v>45231</v>
      </c>
      <c r="I2508" s="6">
        <v>44</v>
      </c>
      <c r="J2508" s="6" t="s">
        <v>121</v>
      </c>
      <c r="K2508" s="6" t="s">
        <v>1777</v>
      </c>
      <c r="L2508" s="11">
        <f>F2508*Controls!$B$6</f>
        <v>20</v>
      </c>
      <c r="M2508" s="11">
        <f>G2508*Controls!$B$6</f>
        <v>2500</v>
      </c>
      <c r="N2508" s="12">
        <f>IF(L2508=0,0,SUMIFS('PSI Plan'!$N$6:$N$173,'PSI Plan'!$B$6:$B$173,B2508,'PSI Plan'!$C$6:$C$173,I2508))</f>
        <v>0</v>
      </c>
      <c r="O2508" s="11">
        <f t="shared" si="78"/>
        <v>0</v>
      </c>
      <c r="P2508" s="11">
        <f t="shared" si="79"/>
        <v>0</v>
      </c>
      <c r="Q2508" s="6"/>
      <c r="R2508" s="6"/>
      <c r="S2508" s="6"/>
      <c r="T2508" s="6"/>
    </row>
    <row r="2509" spans="1:20">
      <c r="A2509" s="6" t="s">
        <v>2676</v>
      </c>
      <c r="B2509" s="6" t="s">
        <v>77</v>
      </c>
      <c r="C2509" s="6" t="s">
        <v>91</v>
      </c>
      <c r="D2509" s="6" t="s">
        <v>567</v>
      </c>
      <c r="E2509" s="6" t="s">
        <v>120</v>
      </c>
      <c r="F2509" s="7">
        <v>40</v>
      </c>
      <c r="G2509" s="7">
        <v>5000</v>
      </c>
      <c r="H2509" s="16">
        <v>45227</v>
      </c>
      <c r="I2509" s="6">
        <v>43</v>
      </c>
      <c r="J2509" s="6" t="s">
        <v>121</v>
      </c>
      <c r="K2509" s="6" t="s">
        <v>1777</v>
      </c>
      <c r="L2509" s="11">
        <f>F2509*Controls!$B$6</f>
        <v>40</v>
      </c>
      <c r="M2509" s="11">
        <f>G2509*Controls!$B$6</f>
        <v>5000</v>
      </c>
      <c r="N2509" s="12">
        <f>IF(L2509=0,0,SUMIFS('PSI Plan'!$N$6:$N$173,'PSI Plan'!$B$6:$B$173,B2509,'PSI Plan'!$C$6:$C$173,I2509))</f>
        <v>0</v>
      </c>
      <c r="O2509" s="11">
        <f t="shared" si="78"/>
        <v>0</v>
      </c>
      <c r="P2509" s="11">
        <f t="shared" si="79"/>
        <v>0</v>
      </c>
      <c r="Q2509" s="6"/>
      <c r="R2509" s="6"/>
      <c r="S2509" s="6"/>
      <c r="T2509" s="6"/>
    </row>
    <row r="2510" spans="1:20">
      <c r="A2510" s="6" t="s">
        <v>2677</v>
      </c>
      <c r="B2510" s="6" t="s">
        <v>76</v>
      </c>
      <c r="C2510" s="6" t="s">
        <v>91</v>
      </c>
      <c r="D2510" s="6" t="s">
        <v>567</v>
      </c>
      <c r="E2510" s="6" t="s">
        <v>120</v>
      </c>
      <c r="F2510" s="7">
        <v>20</v>
      </c>
      <c r="G2510" s="7">
        <v>2500</v>
      </c>
      <c r="H2510" s="16">
        <v>45222</v>
      </c>
      <c r="I2510" s="6">
        <v>43</v>
      </c>
      <c r="J2510" s="6" t="s">
        <v>121</v>
      </c>
      <c r="K2510" s="6" t="s">
        <v>1777</v>
      </c>
      <c r="L2510" s="11">
        <f>F2510*Controls!$B$6</f>
        <v>20</v>
      </c>
      <c r="M2510" s="11">
        <f>G2510*Controls!$B$6</f>
        <v>2500</v>
      </c>
      <c r="N2510" s="12">
        <f>IF(L2510=0,0,SUMIFS('PSI Plan'!$N$6:$N$173,'PSI Plan'!$B$6:$B$173,B2510,'PSI Plan'!$C$6:$C$173,I2510))</f>
        <v>0</v>
      </c>
      <c r="O2510" s="11">
        <f t="shared" si="78"/>
        <v>0</v>
      </c>
      <c r="P2510" s="11">
        <f t="shared" si="79"/>
        <v>0</v>
      </c>
      <c r="Q2510" s="6"/>
      <c r="R2510" s="6"/>
      <c r="S2510" s="6"/>
      <c r="T2510" s="6"/>
    </row>
    <row r="2511" spans="1:20">
      <c r="A2511" s="6" t="s">
        <v>2678</v>
      </c>
      <c r="B2511" s="6" t="s">
        <v>67</v>
      </c>
      <c r="C2511" s="6" t="s">
        <v>91</v>
      </c>
      <c r="D2511" s="6" t="s">
        <v>567</v>
      </c>
      <c r="E2511" s="6" t="s">
        <v>120</v>
      </c>
      <c r="F2511" s="7">
        <v>20</v>
      </c>
      <c r="G2511" s="7">
        <v>2500</v>
      </c>
      <c r="H2511" s="16">
        <v>45270</v>
      </c>
      <c r="I2511" s="6">
        <v>50</v>
      </c>
      <c r="J2511" s="6" t="s">
        <v>121</v>
      </c>
      <c r="K2511" s="6" t="s">
        <v>1777</v>
      </c>
      <c r="L2511" s="11">
        <f>F2511*Controls!$B$6</f>
        <v>20</v>
      </c>
      <c r="M2511" s="11">
        <f>G2511*Controls!$B$6</f>
        <v>2500</v>
      </c>
      <c r="N2511" s="12">
        <f>IF(L2511=0,0,SUMIFS('PSI Plan'!$N$6:$N$173,'PSI Plan'!$B$6:$B$173,B2511,'PSI Plan'!$C$6:$C$173,I2511))</f>
        <v>0</v>
      </c>
      <c r="O2511" s="11">
        <f t="shared" si="78"/>
        <v>0</v>
      </c>
      <c r="P2511" s="11">
        <f t="shared" si="79"/>
        <v>0</v>
      </c>
      <c r="Q2511" s="6"/>
      <c r="R2511" s="6"/>
      <c r="S2511" s="6"/>
      <c r="T2511" s="6"/>
    </row>
    <row r="2512" spans="1:20">
      <c r="A2512" s="6" t="s">
        <v>2679</v>
      </c>
      <c r="B2512" s="6" t="s">
        <v>69</v>
      </c>
      <c r="C2512" s="6" t="s">
        <v>91</v>
      </c>
      <c r="D2512" s="6" t="s">
        <v>567</v>
      </c>
      <c r="E2512" s="6" t="s">
        <v>120</v>
      </c>
      <c r="F2512" s="7">
        <v>20</v>
      </c>
      <c r="G2512" s="7">
        <v>2500</v>
      </c>
      <c r="H2512" s="16">
        <v>45258</v>
      </c>
      <c r="I2512" s="6">
        <v>48</v>
      </c>
      <c r="J2512" s="6" t="s">
        <v>121</v>
      </c>
      <c r="K2512" s="6" t="s">
        <v>1777</v>
      </c>
      <c r="L2512" s="11">
        <f>F2512*Controls!$B$6</f>
        <v>20</v>
      </c>
      <c r="M2512" s="11">
        <f>G2512*Controls!$B$6</f>
        <v>2500</v>
      </c>
      <c r="N2512" s="12">
        <f>IF(L2512=0,0,SUMIFS('PSI Plan'!$N$6:$N$173,'PSI Plan'!$B$6:$B$173,B2512,'PSI Plan'!$C$6:$C$173,I2512))</f>
        <v>0</v>
      </c>
      <c r="O2512" s="11">
        <f t="shared" si="78"/>
        <v>0</v>
      </c>
      <c r="P2512" s="11">
        <f t="shared" si="79"/>
        <v>0</v>
      </c>
      <c r="Q2512" s="6"/>
      <c r="R2512" s="6"/>
      <c r="S2512" s="6"/>
      <c r="T2512" s="6"/>
    </row>
    <row r="2513" spans="1:20">
      <c r="A2513" s="6" t="s">
        <v>2680</v>
      </c>
      <c r="B2513" s="6" t="s">
        <v>66</v>
      </c>
      <c r="C2513" s="6" t="s">
        <v>100</v>
      </c>
      <c r="D2513" s="6" t="s">
        <v>571</v>
      </c>
      <c r="E2513" s="6" t="s">
        <v>120</v>
      </c>
      <c r="F2513" s="7">
        <v>2</v>
      </c>
      <c r="G2513" s="7">
        <v>250</v>
      </c>
      <c r="H2513" s="16">
        <v>45208</v>
      </c>
      <c r="I2513" s="6">
        <v>41</v>
      </c>
      <c r="J2513" s="6" t="s">
        <v>2151</v>
      </c>
      <c r="K2513" s="6" t="s">
        <v>2681</v>
      </c>
      <c r="L2513" s="11">
        <f>F2513*Controls!$B$6</f>
        <v>2</v>
      </c>
      <c r="M2513" s="11">
        <f>G2513*Controls!$B$6</f>
        <v>250</v>
      </c>
      <c r="N2513" s="12">
        <f>IF(L2513=0,0,SUMIFS('PSI Plan'!$N$6:$N$173,'PSI Plan'!$B$6:$B$173,B2513,'PSI Plan'!$C$6:$C$173,I2513))</f>
        <v>0.22897465437788017</v>
      </c>
      <c r="O2513" s="11">
        <f t="shared" si="78"/>
        <v>0.45794930875576034</v>
      </c>
      <c r="P2513" s="11">
        <f t="shared" si="79"/>
        <v>57.243663594470043</v>
      </c>
      <c r="Q2513" s="6"/>
      <c r="R2513" s="6"/>
      <c r="S2513" s="6"/>
      <c r="T2513" s="6"/>
    </row>
    <row r="2514" spans="1:20">
      <c r="A2514" s="6" t="s">
        <v>2682</v>
      </c>
      <c r="B2514" s="6" t="s">
        <v>66</v>
      </c>
      <c r="C2514" s="6" t="s">
        <v>100</v>
      </c>
      <c r="D2514" s="6" t="s">
        <v>571</v>
      </c>
      <c r="E2514" s="6" t="s">
        <v>120</v>
      </c>
      <c r="F2514" s="7">
        <v>4</v>
      </c>
      <c r="G2514" s="7">
        <v>500</v>
      </c>
      <c r="H2514" s="16">
        <v>45267</v>
      </c>
      <c r="I2514" s="6">
        <v>49</v>
      </c>
      <c r="J2514" s="6" t="s">
        <v>2151</v>
      </c>
      <c r="K2514" s="6" t="s">
        <v>2681</v>
      </c>
      <c r="L2514" s="11">
        <f>F2514*Controls!$B$6</f>
        <v>4</v>
      </c>
      <c r="M2514" s="11">
        <f>G2514*Controls!$B$6</f>
        <v>500</v>
      </c>
      <c r="N2514" s="12">
        <f>IF(L2514=0,0,SUMIFS('PSI Plan'!$N$6:$N$173,'PSI Plan'!$B$6:$B$173,B2514,'PSI Plan'!$C$6:$C$173,I2514))</f>
        <v>0</v>
      </c>
      <c r="O2514" s="11">
        <f t="shared" si="78"/>
        <v>0</v>
      </c>
      <c r="P2514" s="11">
        <f t="shared" si="79"/>
        <v>0</v>
      </c>
      <c r="Q2514" s="6"/>
      <c r="R2514" s="6"/>
      <c r="S2514" s="6"/>
      <c r="T2514" s="6"/>
    </row>
    <row r="2515" spans="1:20">
      <c r="A2515" s="6" t="s">
        <v>2683</v>
      </c>
      <c r="B2515" s="6" t="s">
        <v>76</v>
      </c>
      <c r="C2515" s="6" t="s">
        <v>100</v>
      </c>
      <c r="D2515" s="6" t="s">
        <v>571</v>
      </c>
      <c r="E2515" s="6" t="s">
        <v>120</v>
      </c>
      <c r="F2515" s="7">
        <v>2</v>
      </c>
      <c r="G2515" s="7">
        <v>250</v>
      </c>
      <c r="H2515" s="16">
        <v>45248</v>
      </c>
      <c r="I2515" s="6">
        <v>46</v>
      </c>
      <c r="J2515" s="6" t="s">
        <v>2151</v>
      </c>
      <c r="K2515" s="6" t="s">
        <v>2681</v>
      </c>
      <c r="L2515" s="11">
        <f>F2515*Controls!$B$6</f>
        <v>2</v>
      </c>
      <c r="M2515" s="11">
        <f>G2515*Controls!$B$6</f>
        <v>250</v>
      </c>
      <c r="N2515" s="12">
        <f>IF(L2515=0,0,SUMIFS('PSI Plan'!$N$6:$N$173,'PSI Plan'!$B$6:$B$173,B2515,'PSI Plan'!$C$6:$C$173,I2515))</f>
        <v>0</v>
      </c>
      <c r="O2515" s="11">
        <f t="shared" si="78"/>
        <v>0</v>
      </c>
      <c r="P2515" s="11">
        <f t="shared" si="79"/>
        <v>0</v>
      </c>
      <c r="Q2515" s="6"/>
      <c r="R2515" s="6"/>
      <c r="S2515" s="6"/>
      <c r="T2515" s="6"/>
    </row>
    <row r="2516" spans="1:20">
      <c r="A2516" s="6" t="s">
        <v>2684</v>
      </c>
      <c r="B2516" s="6" t="s">
        <v>67</v>
      </c>
      <c r="C2516" s="6" t="s">
        <v>100</v>
      </c>
      <c r="D2516" s="6" t="s">
        <v>571</v>
      </c>
      <c r="E2516" s="6" t="s">
        <v>120</v>
      </c>
      <c r="F2516" s="7">
        <v>2</v>
      </c>
      <c r="G2516" s="7">
        <v>250</v>
      </c>
      <c r="H2516" s="16">
        <v>45258</v>
      </c>
      <c r="I2516" s="6">
        <v>48</v>
      </c>
      <c r="J2516" s="6" t="s">
        <v>2151</v>
      </c>
      <c r="K2516" s="6" t="s">
        <v>2681</v>
      </c>
      <c r="L2516" s="11">
        <f>F2516*Controls!$B$6</f>
        <v>2</v>
      </c>
      <c r="M2516" s="11">
        <f>G2516*Controls!$B$6</f>
        <v>250</v>
      </c>
      <c r="N2516" s="12">
        <f>IF(L2516=0,0,SUMIFS('PSI Plan'!$N$6:$N$173,'PSI Plan'!$B$6:$B$173,B2516,'PSI Plan'!$C$6:$C$173,I2516))</f>
        <v>0</v>
      </c>
      <c r="O2516" s="11">
        <f t="shared" si="78"/>
        <v>0</v>
      </c>
      <c r="P2516" s="11">
        <f t="shared" si="79"/>
        <v>0</v>
      </c>
      <c r="Q2516" s="6"/>
      <c r="R2516" s="6"/>
      <c r="S2516" s="6"/>
      <c r="T2516" s="6"/>
    </row>
    <row r="2517" spans="1:20">
      <c r="A2517" s="6" t="s">
        <v>2685</v>
      </c>
      <c r="B2517" s="6" t="s">
        <v>69</v>
      </c>
      <c r="C2517" s="6" t="s">
        <v>100</v>
      </c>
      <c r="D2517" s="6" t="s">
        <v>571</v>
      </c>
      <c r="E2517" s="6" t="s">
        <v>120</v>
      </c>
      <c r="F2517" s="7">
        <v>2</v>
      </c>
      <c r="G2517" s="7">
        <v>250</v>
      </c>
      <c r="H2517" s="16">
        <v>45241</v>
      </c>
      <c r="I2517" s="6">
        <v>45</v>
      </c>
      <c r="J2517" s="6" t="s">
        <v>2151</v>
      </c>
      <c r="K2517" s="6" t="s">
        <v>2681</v>
      </c>
      <c r="L2517" s="11">
        <f>F2517*Controls!$B$6</f>
        <v>2</v>
      </c>
      <c r="M2517" s="11">
        <f>G2517*Controls!$B$6</f>
        <v>250</v>
      </c>
      <c r="N2517" s="12">
        <f>IF(L2517=0,0,SUMIFS('PSI Plan'!$N$6:$N$173,'PSI Plan'!$B$6:$B$173,B2517,'PSI Plan'!$C$6:$C$173,I2517))</f>
        <v>0</v>
      </c>
      <c r="O2517" s="11">
        <f t="shared" si="78"/>
        <v>0</v>
      </c>
      <c r="P2517" s="11">
        <f t="shared" si="79"/>
        <v>0</v>
      </c>
      <c r="Q2517" s="6"/>
      <c r="R2517" s="6"/>
      <c r="S2517" s="6"/>
      <c r="T2517" s="6"/>
    </row>
    <row r="2518" spans="1:20">
      <c r="A2518" s="6" t="s">
        <v>2686</v>
      </c>
      <c r="B2518" s="6" t="s">
        <v>66</v>
      </c>
      <c r="C2518" s="6" t="s">
        <v>99</v>
      </c>
      <c r="D2518" s="6" t="s">
        <v>319</v>
      </c>
      <c r="E2518" s="6" t="s">
        <v>120</v>
      </c>
      <c r="F2518" s="7">
        <v>6</v>
      </c>
      <c r="G2518" s="7">
        <v>750</v>
      </c>
      <c r="H2518" s="16">
        <v>45213</v>
      </c>
      <c r="I2518" s="6">
        <v>41</v>
      </c>
      <c r="J2518" s="6" t="s">
        <v>121</v>
      </c>
      <c r="K2518" s="6" t="s">
        <v>347</v>
      </c>
      <c r="L2518" s="11">
        <f>F2518*Controls!$B$6</f>
        <v>6</v>
      </c>
      <c r="M2518" s="11">
        <f>G2518*Controls!$B$6</f>
        <v>750</v>
      </c>
      <c r="N2518" s="12">
        <f>IF(L2518=0,0,SUMIFS('PSI Plan'!$N$6:$N$173,'PSI Plan'!$B$6:$B$173,B2518,'PSI Plan'!$C$6:$C$173,I2518))</f>
        <v>0.22897465437788017</v>
      </c>
      <c r="O2518" s="11">
        <f t="shared" si="78"/>
        <v>1.3738479262672811</v>
      </c>
      <c r="P2518" s="11">
        <f t="shared" si="79"/>
        <v>171.73099078341014</v>
      </c>
      <c r="Q2518" s="6"/>
      <c r="R2518" s="6"/>
      <c r="S2518" s="6"/>
      <c r="T2518" s="6"/>
    </row>
    <row r="2519" spans="1:20">
      <c r="A2519" s="6" t="s">
        <v>2687</v>
      </c>
      <c r="B2519" s="6" t="s">
        <v>77</v>
      </c>
      <c r="C2519" s="6" t="s">
        <v>99</v>
      </c>
      <c r="D2519" s="6" t="s">
        <v>319</v>
      </c>
      <c r="E2519" s="6" t="s">
        <v>120</v>
      </c>
      <c r="F2519" s="7">
        <v>14</v>
      </c>
      <c r="G2519" s="7">
        <v>1750</v>
      </c>
      <c r="H2519" s="16">
        <v>45235</v>
      </c>
      <c r="I2519" s="6">
        <v>45</v>
      </c>
      <c r="J2519" s="6" t="s">
        <v>121</v>
      </c>
      <c r="K2519" s="6" t="s">
        <v>347</v>
      </c>
      <c r="L2519" s="11">
        <f>F2519*Controls!$B$6</f>
        <v>14</v>
      </c>
      <c r="M2519" s="11">
        <f>G2519*Controls!$B$6</f>
        <v>1750</v>
      </c>
      <c r="N2519" s="12">
        <f>IF(L2519=0,0,SUMIFS('PSI Plan'!$N$6:$N$173,'PSI Plan'!$B$6:$B$173,B2519,'PSI Plan'!$C$6:$C$173,I2519))</f>
        <v>0</v>
      </c>
      <c r="O2519" s="11">
        <f t="shared" si="78"/>
        <v>0</v>
      </c>
      <c r="P2519" s="11">
        <f t="shared" si="79"/>
        <v>0</v>
      </c>
      <c r="Q2519" s="6"/>
      <c r="R2519" s="6"/>
      <c r="S2519" s="6"/>
      <c r="T2519" s="6"/>
    </row>
    <row r="2520" spans="1:20">
      <c r="A2520" s="6" t="s">
        <v>2688</v>
      </c>
      <c r="B2520" s="6" t="s">
        <v>76</v>
      </c>
      <c r="C2520" s="6" t="s">
        <v>99</v>
      </c>
      <c r="D2520" s="6" t="s">
        <v>319</v>
      </c>
      <c r="E2520" s="6" t="s">
        <v>120</v>
      </c>
      <c r="F2520" s="7">
        <v>10</v>
      </c>
      <c r="G2520" s="7">
        <v>1250</v>
      </c>
      <c r="H2520" s="16">
        <v>45248</v>
      </c>
      <c r="I2520" s="6">
        <v>46</v>
      </c>
      <c r="J2520" s="6" t="s">
        <v>121</v>
      </c>
      <c r="K2520" s="6" t="s">
        <v>347</v>
      </c>
      <c r="L2520" s="11">
        <f>F2520*Controls!$B$6</f>
        <v>10</v>
      </c>
      <c r="M2520" s="11">
        <f>G2520*Controls!$B$6</f>
        <v>1250</v>
      </c>
      <c r="N2520" s="12">
        <f>IF(L2520=0,0,SUMIFS('PSI Plan'!$N$6:$N$173,'PSI Plan'!$B$6:$B$173,B2520,'PSI Plan'!$C$6:$C$173,I2520))</f>
        <v>0</v>
      </c>
      <c r="O2520" s="11">
        <f t="shared" si="78"/>
        <v>0</v>
      </c>
      <c r="P2520" s="11">
        <f t="shared" si="79"/>
        <v>0</v>
      </c>
      <c r="Q2520" s="6"/>
      <c r="R2520" s="6"/>
      <c r="S2520" s="6"/>
      <c r="T2520" s="6"/>
    </row>
    <row r="2521" spans="1:20">
      <c r="A2521" s="6" t="s">
        <v>2689</v>
      </c>
      <c r="B2521" s="6" t="s">
        <v>69</v>
      </c>
      <c r="C2521" s="6" t="s">
        <v>99</v>
      </c>
      <c r="D2521" s="6" t="s">
        <v>319</v>
      </c>
      <c r="E2521" s="6" t="s">
        <v>120</v>
      </c>
      <c r="F2521" s="7">
        <v>18</v>
      </c>
      <c r="G2521" s="7">
        <v>2250</v>
      </c>
      <c r="H2521" s="16">
        <v>45255</v>
      </c>
      <c r="I2521" s="6">
        <v>47</v>
      </c>
      <c r="J2521" s="6" t="s">
        <v>121</v>
      </c>
      <c r="K2521" s="6" t="s">
        <v>347</v>
      </c>
      <c r="L2521" s="11">
        <f>F2521*Controls!$B$6</f>
        <v>18</v>
      </c>
      <c r="M2521" s="11">
        <f>G2521*Controls!$B$6</f>
        <v>2250</v>
      </c>
      <c r="N2521" s="12">
        <f>IF(L2521=0,0,SUMIFS('PSI Plan'!$N$6:$N$173,'PSI Plan'!$B$6:$B$173,B2521,'PSI Plan'!$C$6:$C$173,I2521))</f>
        <v>0</v>
      </c>
      <c r="O2521" s="11">
        <f t="shared" si="78"/>
        <v>0</v>
      </c>
      <c r="P2521" s="11">
        <f t="shared" si="79"/>
        <v>0</v>
      </c>
      <c r="Q2521" s="6"/>
      <c r="R2521" s="6"/>
      <c r="S2521" s="6"/>
      <c r="T2521" s="6"/>
    </row>
    <row r="2522" spans="1:20">
      <c r="A2522" s="6" t="s">
        <v>2690</v>
      </c>
      <c r="B2522" s="6" t="s">
        <v>77</v>
      </c>
      <c r="C2522" s="6" t="s">
        <v>99</v>
      </c>
      <c r="D2522" s="6" t="s">
        <v>319</v>
      </c>
      <c r="E2522" s="6" t="s">
        <v>120</v>
      </c>
      <c r="F2522" s="7">
        <v>88</v>
      </c>
      <c r="G2522" s="7">
        <v>11000</v>
      </c>
      <c r="H2522" s="16">
        <v>45217</v>
      </c>
      <c r="I2522" s="6">
        <v>42</v>
      </c>
      <c r="J2522" s="6" t="s">
        <v>121</v>
      </c>
      <c r="K2522" s="6" t="s">
        <v>1576</v>
      </c>
      <c r="L2522" s="11">
        <f>F2522*Controls!$B$6</f>
        <v>88</v>
      </c>
      <c r="M2522" s="11">
        <f>G2522*Controls!$B$6</f>
        <v>11000</v>
      </c>
      <c r="N2522" s="12">
        <f>IF(L2522=0,0,SUMIFS('PSI Plan'!$N$6:$N$173,'PSI Plan'!$B$6:$B$173,B2522,'PSI Plan'!$C$6:$C$173,I2522))</f>
        <v>0</v>
      </c>
      <c r="O2522" s="11">
        <f t="shared" si="78"/>
        <v>0</v>
      </c>
      <c r="P2522" s="11">
        <f t="shared" si="79"/>
        <v>0</v>
      </c>
      <c r="Q2522" s="6"/>
      <c r="R2522" s="6"/>
      <c r="S2522" s="6"/>
      <c r="T2522" s="6"/>
    </row>
    <row r="2523" spans="1:20">
      <c r="A2523" s="6" t="s">
        <v>2691</v>
      </c>
      <c r="B2523" s="6" t="s">
        <v>66</v>
      </c>
      <c r="C2523" s="6" t="s">
        <v>93</v>
      </c>
      <c r="D2523" s="6" t="s">
        <v>567</v>
      </c>
      <c r="E2523" s="6" t="s">
        <v>120</v>
      </c>
      <c r="F2523" s="7">
        <v>60</v>
      </c>
      <c r="G2523" s="7">
        <v>7500</v>
      </c>
      <c r="H2523" s="16">
        <v>45226</v>
      </c>
      <c r="I2523" s="6">
        <v>43</v>
      </c>
      <c r="J2523" s="6" t="s">
        <v>2151</v>
      </c>
      <c r="K2523" s="6" t="s">
        <v>2526</v>
      </c>
      <c r="L2523" s="11">
        <f>F2523*Controls!$B$6</f>
        <v>60</v>
      </c>
      <c r="M2523" s="11">
        <f>G2523*Controls!$B$6</f>
        <v>7500</v>
      </c>
      <c r="N2523" s="12">
        <f>IF(L2523=0,0,SUMIFS('PSI Plan'!$N$6:$N$173,'PSI Plan'!$B$6:$B$173,B2523,'PSI Plan'!$C$6:$C$173,I2523))</f>
        <v>0</v>
      </c>
      <c r="O2523" s="11">
        <f t="shared" si="78"/>
        <v>0</v>
      </c>
      <c r="P2523" s="11">
        <f t="shared" si="79"/>
        <v>0</v>
      </c>
      <c r="Q2523" s="6"/>
      <c r="R2523" s="6"/>
      <c r="S2523" s="6"/>
      <c r="T2523" s="6"/>
    </row>
    <row r="2524" spans="1:20">
      <c r="A2524" s="6" t="s">
        <v>2692</v>
      </c>
      <c r="B2524" s="6" t="s">
        <v>66</v>
      </c>
      <c r="C2524" s="6" t="s">
        <v>93</v>
      </c>
      <c r="D2524" s="6" t="s">
        <v>567</v>
      </c>
      <c r="E2524" s="6" t="s">
        <v>120</v>
      </c>
      <c r="F2524" s="7">
        <v>60</v>
      </c>
      <c r="G2524" s="7">
        <v>7500</v>
      </c>
      <c r="H2524" s="16">
        <v>45286</v>
      </c>
      <c r="I2524" s="6">
        <v>52</v>
      </c>
      <c r="J2524" s="6" t="s">
        <v>2151</v>
      </c>
      <c r="K2524" s="6" t="s">
        <v>2526</v>
      </c>
      <c r="L2524" s="11">
        <f>F2524*Controls!$B$6</f>
        <v>60</v>
      </c>
      <c r="M2524" s="11">
        <f>G2524*Controls!$B$6</f>
        <v>7500</v>
      </c>
      <c r="N2524" s="12">
        <f>IF(L2524=0,0,SUMIFS('PSI Plan'!$N$6:$N$173,'PSI Plan'!$B$6:$B$173,B2524,'PSI Plan'!$C$6:$C$173,I2524))</f>
        <v>0</v>
      </c>
      <c r="O2524" s="11">
        <f t="shared" si="78"/>
        <v>0</v>
      </c>
      <c r="P2524" s="11">
        <f t="shared" si="79"/>
        <v>0</v>
      </c>
      <c r="Q2524" s="6"/>
      <c r="R2524" s="6"/>
      <c r="S2524" s="6"/>
      <c r="T2524" s="6"/>
    </row>
    <row r="2525" spans="1:20">
      <c r="A2525" s="6" t="s">
        <v>2693</v>
      </c>
      <c r="B2525" s="6" t="s">
        <v>69</v>
      </c>
      <c r="C2525" s="6" t="s">
        <v>93</v>
      </c>
      <c r="D2525" s="6" t="s">
        <v>567</v>
      </c>
      <c r="E2525" s="6" t="s">
        <v>120</v>
      </c>
      <c r="F2525" s="7">
        <v>60</v>
      </c>
      <c r="G2525" s="7">
        <v>7500</v>
      </c>
      <c r="H2525" s="16">
        <v>45268</v>
      </c>
      <c r="I2525" s="6">
        <v>49</v>
      </c>
      <c r="J2525" s="6" t="s">
        <v>2151</v>
      </c>
      <c r="K2525" s="6" t="s">
        <v>2526</v>
      </c>
      <c r="L2525" s="11">
        <f>F2525*Controls!$B$6</f>
        <v>60</v>
      </c>
      <c r="M2525" s="11">
        <f>G2525*Controls!$B$6</f>
        <v>7500</v>
      </c>
      <c r="N2525" s="12">
        <f>IF(L2525=0,0,SUMIFS('PSI Plan'!$N$6:$N$173,'PSI Plan'!$B$6:$B$173,B2525,'PSI Plan'!$C$6:$C$173,I2525))</f>
        <v>0</v>
      </c>
      <c r="O2525" s="11">
        <f t="shared" si="78"/>
        <v>0</v>
      </c>
      <c r="P2525" s="11">
        <f t="shared" si="79"/>
        <v>0</v>
      </c>
      <c r="Q2525" s="6"/>
      <c r="R2525" s="6"/>
      <c r="S2525" s="6"/>
      <c r="T2525" s="6"/>
    </row>
    <row r="2526" spans="1:20">
      <c r="A2526" s="6" t="s">
        <v>2694</v>
      </c>
      <c r="B2526" s="6" t="s">
        <v>77</v>
      </c>
      <c r="C2526" s="6" t="s">
        <v>90</v>
      </c>
      <c r="D2526" s="6" t="s">
        <v>119</v>
      </c>
      <c r="E2526" s="6" t="s">
        <v>120</v>
      </c>
      <c r="F2526" s="7">
        <v>54</v>
      </c>
      <c r="G2526" s="7">
        <v>6750</v>
      </c>
      <c r="H2526" s="16">
        <v>45236</v>
      </c>
      <c r="I2526" s="6">
        <v>45</v>
      </c>
      <c r="J2526" s="6" t="s">
        <v>121</v>
      </c>
      <c r="K2526" s="6" t="s">
        <v>725</v>
      </c>
      <c r="L2526" s="11">
        <f>F2526*Controls!$B$6</f>
        <v>54</v>
      </c>
      <c r="M2526" s="11">
        <f>G2526*Controls!$B$6</f>
        <v>6750</v>
      </c>
      <c r="N2526" s="12">
        <f>IF(L2526=0,0,SUMIFS('PSI Plan'!$N$6:$N$173,'PSI Plan'!$B$6:$B$173,B2526,'PSI Plan'!$C$6:$C$173,I2526))</f>
        <v>0</v>
      </c>
      <c r="O2526" s="11">
        <f t="shared" si="78"/>
        <v>0</v>
      </c>
      <c r="P2526" s="11">
        <f t="shared" si="79"/>
        <v>0</v>
      </c>
      <c r="Q2526" s="6"/>
      <c r="R2526" s="6"/>
      <c r="S2526" s="6"/>
      <c r="T2526" s="6"/>
    </row>
    <row r="2527" spans="1:20">
      <c r="A2527" s="6" t="s">
        <v>2695</v>
      </c>
      <c r="B2527" s="6" t="s">
        <v>66</v>
      </c>
      <c r="C2527" s="6" t="s">
        <v>90</v>
      </c>
      <c r="D2527" s="6" t="s">
        <v>119</v>
      </c>
      <c r="E2527" s="6" t="s">
        <v>120</v>
      </c>
      <c r="F2527" s="7">
        <v>2</v>
      </c>
      <c r="G2527" s="7">
        <v>250</v>
      </c>
      <c r="H2527" s="16">
        <v>45290</v>
      </c>
      <c r="I2527" s="6">
        <v>52</v>
      </c>
      <c r="J2527" s="6" t="s">
        <v>121</v>
      </c>
      <c r="K2527" s="6" t="s">
        <v>122</v>
      </c>
      <c r="L2527" s="11">
        <f>F2527*Controls!$B$6</f>
        <v>2</v>
      </c>
      <c r="M2527" s="11">
        <f>G2527*Controls!$B$6</f>
        <v>250</v>
      </c>
      <c r="N2527" s="12">
        <f>IF(L2527=0,0,SUMIFS('PSI Plan'!$N$6:$N$173,'PSI Plan'!$B$6:$B$173,B2527,'PSI Plan'!$C$6:$C$173,I2527))</f>
        <v>0</v>
      </c>
      <c r="O2527" s="11">
        <f t="shared" si="78"/>
        <v>0</v>
      </c>
      <c r="P2527" s="11">
        <f t="shared" si="79"/>
        <v>0</v>
      </c>
      <c r="Q2527" s="6"/>
      <c r="R2527" s="6"/>
      <c r="S2527" s="6"/>
      <c r="T2527" s="6"/>
    </row>
    <row r="2528" spans="1:20">
      <c r="A2528" s="6" t="s">
        <v>2696</v>
      </c>
      <c r="B2528" s="6" t="s">
        <v>77</v>
      </c>
      <c r="C2528" s="6" t="s">
        <v>90</v>
      </c>
      <c r="D2528" s="6" t="s">
        <v>119</v>
      </c>
      <c r="E2528" s="6" t="s">
        <v>120</v>
      </c>
      <c r="F2528" s="7">
        <v>32</v>
      </c>
      <c r="G2528" s="7">
        <v>4000</v>
      </c>
      <c r="H2528" s="16">
        <v>45219</v>
      </c>
      <c r="I2528" s="6">
        <v>42</v>
      </c>
      <c r="J2528" s="6" t="s">
        <v>121</v>
      </c>
      <c r="K2528" s="6" t="s">
        <v>122</v>
      </c>
      <c r="L2528" s="11">
        <f>F2528*Controls!$B$6</f>
        <v>32</v>
      </c>
      <c r="M2528" s="11">
        <f>G2528*Controls!$B$6</f>
        <v>4000</v>
      </c>
      <c r="N2528" s="12">
        <f>IF(L2528=0,0,SUMIFS('PSI Plan'!$N$6:$N$173,'PSI Plan'!$B$6:$B$173,B2528,'PSI Plan'!$C$6:$C$173,I2528))</f>
        <v>0</v>
      </c>
      <c r="O2528" s="11">
        <f t="shared" si="78"/>
        <v>0</v>
      </c>
      <c r="P2528" s="11">
        <f t="shared" si="79"/>
        <v>0</v>
      </c>
      <c r="Q2528" s="6"/>
      <c r="R2528" s="6"/>
      <c r="S2528" s="6"/>
      <c r="T2528" s="6"/>
    </row>
    <row r="2529" spans="1:20">
      <c r="A2529" s="6" t="s">
        <v>2697</v>
      </c>
      <c r="B2529" s="6" t="s">
        <v>76</v>
      </c>
      <c r="C2529" s="6" t="s">
        <v>90</v>
      </c>
      <c r="D2529" s="6" t="s">
        <v>119</v>
      </c>
      <c r="E2529" s="6" t="s">
        <v>120</v>
      </c>
      <c r="F2529" s="7">
        <v>33</v>
      </c>
      <c r="G2529" s="7">
        <v>4125</v>
      </c>
      <c r="H2529" s="16">
        <v>45247</v>
      </c>
      <c r="I2529" s="6">
        <v>46</v>
      </c>
      <c r="J2529" s="6" t="s">
        <v>121</v>
      </c>
      <c r="K2529" s="6" t="s">
        <v>122</v>
      </c>
      <c r="L2529" s="11">
        <f>F2529*Controls!$B$6</f>
        <v>33</v>
      </c>
      <c r="M2529" s="11">
        <f>G2529*Controls!$B$6</f>
        <v>4125</v>
      </c>
      <c r="N2529" s="12">
        <f>IF(L2529=0,0,SUMIFS('PSI Plan'!$N$6:$N$173,'PSI Plan'!$B$6:$B$173,B2529,'PSI Plan'!$C$6:$C$173,I2529))</f>
        <v>0</v>
      </c>
      <c r="O2529" s="11">
        <f t="shared" si="78"/>
        <v>0</v>
      </c>
      <c r="P2529" s="11">
        <f t="shared" si="79"/>
        <v>0</v>
      </c>
      <c r="Q2529" s="6"/>
      <c r="R2529" s="6"/>
      <c r="S2529" s="6"/>
      <c r="T2529" s="6"/>
    </row>
    <row r="2530" spans="1:20">
      <c r="A2530" s="6" t="s">
        <v>2698</v>
      </c>
      <c r="B2530" s="6" t="s">
        <v>69</v>
      </c>
      <c r="C2530" s="6" t="s">
        <v>90</v>
      </c>
      <c r="D2530" s="6" t="s">
        <v>119</v>
      </c>
      <c r="E2530" s="6" t="s">
        <v>120</v>
      </c>
      <c r="F2530" s="7">
        <v>19</v>
      </c>
      <c r="G2530" s="7">
        <v>2375</v>
      </c>
      <c r="H2530" s="16">
        <v>45211</v>
      </c>
      <c r="I2530" s="6">
        <v>41</v>
      </c>
      <c r="J2530" s="6" t="s">
        <v>121</v>
      </c>
      <c r="K2530" s="6" t="s">
        <v>122</v>
      </c>
      <c r="L2530" s="11">
        <f>F2530*Controls!$B$6</f>
        <v>19</v>
      </c>
      <c r="M2530" s="11">
        <f>G2530*Controls!$B$6</f>
        <v>2375</v>
      </c>
      <c r="N2530" s="12">
        <f>IF(L2530=0,0,SUMIFS('PSI Plan'!$N$6:$N$173,'PSI Plan'!$B$6:$B$173,B2530,'PSI Plan'!$C$6:$C$173,I2530))</f>
        <v>0</v>
      </c>
      <c r="O2530" s="11">
        <f t="shared" si="78"/>
        <v>0</v>
      </c>
      <c r="P2530" s="11">
        <f t="shared" si="79"/>
        <v>0</v>
      </c>
      <c r="Q2530" s="6"/>
      <c r="R2530" s="6"/>
      <c r="S2530" s="6"/>
      <c r="T2530" s="6"/>
    </row>
    <row r="2531" spans="1:20">
      <c r="A2531" s="6" t="s">
        <v>2699</v>
      </c>
      <c r="B2531" s="6" t="s">
        <v>77</v>
      </c>
      <c r="C2531" s="6" t="s">
        <v>100</v>
      </c>
      <c r="D2531" s="6" t="s">
        <v>567</v>
      </c>
      <c r="E2531" s="6" t="s">
        <v>120</v>
      </c>
      <c r="F2531" s="7">
        <v>16</v>
      </c>
      <c r="G2531" s="7">
        <v>2000</v>
      </c>
      <c r="H2531" s="16">
        <v>45286</v>
      </c>
      <c r="I2531" s="6">
        <v>52</v>
      </c>
      <c r="J2531" s="6" t="s">
        <v>121</v>
      </c>
      <c r="K2531" s="6" t="s">
        <v>568</v>
      </c>
      <c r="L2531" s="11">
        <f>F2531*Controls!$B$6</f>
        <v>16</v>
      </c>
      <c r="M2531" s="11">
        <f>G2531*Controls!$B$6</f>
        <v>2000</v>
      </c>
      <c r="N2531" s="12">
        <f>IF(L2531=0,0,SUMIFS('PSI Plan'!$N$6:$N$173,'PSI Plan'!$B$6:$B$173,B2531,'PSI Plan'!$C$6:$C$173,I2531))</f>
        <v>0</v>
      </c>
      <c r="O2531" s="11">
        <f t="shared" si="78"/>
        <v>0</v>
      </c>
      <c r="P2531" s="11">
        <f t="shared" si="79"/>
        <v>0</v>
      </c>
      <c r="Q2531" s="6"/>
      <c r="R2531" s="6"/>
      <c r="S2531" s="6"/>
      <c r="T2531" s="6"/>
    </row>
    <row r="2532" spans="1:20">
      <c r="A2532" s="6" t="s">
        <v>2700</v>
      </c>
      <c r="B2532" s="6" t="s">
        <v>69</v>
      </c>
      <c r="C2532" s="6" t="s">
        <v>100</v>
      </c>
      <c r="D2532" s="6" t="s">
        <v>567</v>
      </c>
      <c r="E2532" s="6" t="s">
        <v>120</v>
      </c>
      <c r="F2532" s="7">
        <v>8</v>
      </c>
      <c r="G2532" s="7">
        <v>1000</v>
      </c>
      <c r="H2532" s="16">
        <v>45286</v>
      </c>
      <c r="I2532" s="6">
        <v>52</v>
      </c>
      <c r="J2532" s="6" t="s">
        <v>121</v>
      </c>
      <c r="K2532" s="6" t="s">
        <v>568</v>
      </c>
      <c r="L2532" s="11">
        <f>F2532*Controls!$B$6</f>
        <v>8</v>
      </c>
      <c r="M2532" s="11">
        <f>G2532*Controls!$B$6</f>
        <v>1000</v>
      </c>
      <c r="N2532" s="12">
        <f>IF(L2532=0,0,SUMIFS('PSI Plan'!$N$6:$N$173,'PSI Plan'!$B$6:$B$173,B2532,'PSI Plan'!$C$6:$C$173,I2532))</f>
        <v>0</v>
      </c>
      <c r="O2532" s="11">
        <f t="shared" si="78"/>
        <v>0</v>
      </c>
      <c r="P2532" s="11">
        <f t="shared" si="79"/>
        <v>0</v>
      </c>
      <c r="Q2532" s="6"/>
      <c r="R2532" s="6"/>
      <c r="S2532" s="6"/>
      <c r="T2532" s="6"/>
    </row>
    <row r="2533" spans="1:20">
      <c r="A2533" s="6" t="s">
        <v>2701</v>
      </c>
      <c r="B2533" s="6" t="s">
        <v>69</v>
      </c>
      <c r="C2533" s="6" t="s">
        <v>90</v>
      </c>
      <c r="D2533" s="6" t="s">
        <v>119</v>
      </c>
      <c r="E2533" s="6" t="s">
        <v>120</v>
      </c>
      <c r="F2533" s="7">
        <v>39</v>
      </c>
      <c r="G2533" s="7">
        <v>4875</v>
      </c>
      <c r="H2533" s="16">
        <v>45237</v>
      </c>
      <c r="I2533" s="6">
        <v>45</v>
      </c>
      <c r="J2533" s="6" t="s">
        <v>121</v>
      </c>
      <c r="K2533" s="6" t="s">
        <v>725</v>
      </c>
      <c r="L2533" s="11">
        <f>F2533*Controls!$B$6</f>
        <v>39</v>
      </c>
      <c r="M2533" s="11">
        <f>G2533*Controls!$B$6</f>
        <v>4875</v>
      </c>
      <c r="N2533" s="12">
        <f>IF(L2533=0,0,SUMIFS('PSI Plan'!$N$6:$N$173,'PSI Plan'!$B$6:$B$173,B2533,'PSI Plan'!$C$6:$C$173,I2533))</f>
        <v>0</v>
      </c>
      <c r="O2533" s="11">
        <f t="shared" si="78"/>
        <v>0</v>
      </c>
      <c r="P2533" s="11">
        <f t="shared" si="79"/>
        <v>0</v>
      </c>
      <c r="Q2533" s="6"/>
      <c r="R2533" s="6"/>
      <c r="S2533" s="6"/>
      <c r="T2533" s="6"/>
    </row>
    <row r="2534" spans="1:20">
      <c r="A2534" s="6" t="s">
        <v>2702</v>
      </c>
      <c r="B2534" s="6" t="s">
        <v>66</v>
      </c>
      <c r="C2534" s="6" t="s">
        <v>90</v>
      </c>
      <c r="D2534" s="6" t="s">
        <v>119</v>
      </c>
      <c r="E2534" s="6" t="s">
        <v>120</v>
      </c>
      <c r="F2534" s="7">
        <v>5</v>
      </c>
      <c r="G2534" s="7">
        <v>625</v>
      </c>
      <c r="H2534" s="16">
        <v>45218</v>
      </c>
      <c r="I2534" s="6">
        <v>42</v>
      </c>
      <c r="J2534" s="6" t="s">
        <v>121</v>
      </c>
      <c r="K2534" s="6" t="s">
        <v>139</v>
      </c>
      <c r="L2534" s="11">
        <f>F2534*Controls!$B$6</f>
        <v>5</v>
      </c>
      <c r="M2534" s="11">
        <f>G2534*Controls!$B$6</f>
        <v>625</v>
      </c>
      <c r="N2534" s="12">
        <f>IF(L2534=0,0,SUMIFS('PSI Plan'!$N$6:$N$173,'PSI Plan'!$B$6:$B$173,B2534,'PSI Plan'!$C$6:$C$173,I2534))</f>
        <v>0.59807073954983925</v>
      </c>
      <c r="O2534" s="11">
        <f t="shared" si="78"/>
        <v>2.990353697749196</v>
      </c>
      <c r="P2534" s="11">
        <f t="shared" si="79"/>
        <v>373.79421221864953</v>
      </c>
      <c r="Q2534" s="6"/>
      <c r="R2534" s="6"/>
      <c r="S2534" s="6"/>
      <c r="T2534" s="6"/>
    </row>
    <row r="2535" spans="1:20">
      <c r="A2535" s="6" t="s">
        <v>2703</v>
      </c>
      <c r="B2535" s="6" t="s">
        <v>77</v>
      </c>
      <c r="C2535" s="6" t="s">
        <v>90</v>
      </c>
      <c r="D2535" s="6" t="s">
        <v>119</v>
      </c>
      <c r="E2535" s="6" t="s">
        <v>120</v>
      </c>
      <c r="F2535" s="7">
        <v>24</v>
      </c>
      <c r="G2535" s="7">
        <v>3000</v>
      </c>
      <c r="H2535" s="16">
        <v>45281</v>
      </c>
      <c r="I2535" s="6">
        <v>51</v>
      </c>
      <c r="J2535" s="6" t="s">
        <v>121</v>
      </c>
      <c r="K2535" s="6" t="s">
        <v>139</v>
      </c>
      <c r="L2535" s="11">
        <f>F2535*Controls!$B$6</f>
        <v>24</v>
      </c>
      <c r="M2535" s="11">
        <f>G2535*Controls!$B$6</f>
        <v>3000</v>
      </c>
      <c r="N2535" s="12">
        <f>IF(L2535=0,0,SUMIFS('PSI Plan'!$N$6:$N$173,'PSI Plan'!$B$6:$B$173,B2535,'PSI Plan'!$C$6:$C$173,I2535))</f>
        <v>0</v>
      </c>
      <c r="O2535" s="11">
        <f t="shared" si="78"/>
        <v>0</v>
      </c>
      <c r="P2535" s="11">
        <f t="shared" si="79"/>
        <v>0</v>
      </c>
      <c r="Q2535" s="6"/>
      <c r="R2535" s="6"/>
      <c r="S2535" s="6"/>
      <c r="T2535" s="6"/>
    </row>
    <row r="2536" spans="1:20">
      <c r="A2536" s="6" t="s">
        <v>2704</v>
      </c>
      <c r="B2536" s="6" t="s">
        <v>76</v>
      </c>
      <c r="C2536" s="6" t="s">
        <v>90</v>
      </c>
      <c r="D2536" s="6" t="s">
        <v>119</v>
      </c>
      <c r="E2536" s="6" t="s">
        <v>120</v>
      </c>
      <c r="F2536" s="7">
        <v>5</v>
      </c>
      <c r="G2536" s="7">
        <v>625</v>
      </c>
      <c r="H2536" s="16">
        <v>45217</v>
      </c>
      <c r="I2536" s="6">
        <v>42</v>
      </c>
      <c r="J2536" s="6" t="s">
        <v>121</v>
      </c>
      <c r="K2536" s="6" t="s">
        <v>139</v>
      </c>
      <c r="L2536" s="11">
        <f>F2536*Controls!$B$6</f>
        <v>5</v>
      </c>
      <c r="M2536" s="11">
        <f>G2536*Controls!$B$6</f>
        <v>625</v>
      </c>
      <c r="N2536" s="12">
        <f>IF(L2536=0,0,SUMIFS('PSI Plan'!$N$6:$N$173,'PSI Plan'!$B$6:$B$173,B2536,'PSI Plan'!$C$6:$C$173,I2536))</f>
        <v>0</v>
      </c>
      <c r="O2536" s="11">
        <f t="shared" si="78"/>
        <v>0</v>
      </c>
      <c r="P2536" s="11">
        <f t="shared" si="79"/>
        <v>0</v>
      </c>
      <c r="Q2536" s="6"/>
      <c r="R2536" s="6"/>
      <c r="S2536" s="6"/>
      <c r="T2536" s="6"/>
    </row>
    <row r="2537" spans="1:20">
      <c r="A2537" s="6" t="s">
        <v>2705</v>
      </c>
      <c r="B2537" s="6" t="s">
        <v>69</v>
      </c>
      <c r="C2537" s="6" t="s">
        <v>90</v>
      </c>
      <c r="D2537" s="6" t="s">
        <v>119</v>
      </c>
      <c r="E2537" s="6" t="s">
        <v>120</v>
      </c>
      <c r="F2537" s="7">
        <v>5</v>
      </c>
      <c r="G2537" s="7">
        <v>625</v>
      </c>
      <c r="H2537" s="16">
        <v>45285</v>
      </c>
      <c r="I2537" s="6">
        <v>52</v>
      </c>
      <c r="J2537" s="6" t="s">
        <v>121</v>
      </c>
      <c r="K2537" s="6" t="s">
        <v>139</v>
      </c>
      <c r="L2537" s="11">
        <f>F2537*Controls!$B$6</f>
        <v>5</v>
      </c>
      <c r="M2537" s="11">
        <f>G2537*Controls!$B$6</f>
        <v>625</v>
      </c>
      <c r="N2537" s="12">
        <f>IF(L2537=0,0,SUMIFS('PSI Plan'!$N$6:$N$173,'PSI Plan'!$B$6:$B$173,B2537,'PSI Plan'!$C$6:$C$173,I2537))</f>
        <v>0</v>
      </c>
      <c r="O2537" s="11">
        <f t="shared" si="78"/>
        <v>0</v>
      </c>
      <c r="P2537" s="11">
        <f t="shared" si="79"/>
        <v>0</v>
      </c>
      <c r="Q2537" s="6"/>
      <c r="R2537" s="6"/>
      <c r="S2537" s="6"/>
      <c r="T2537" s="6"/>
    </row>
    <row r="2538" spans="1:20">
      <c r="A2538" s="6" t="s">
        <v>2706</v>
      </c>
      <c r="B2538" s="6" t="s">
        <v>66</v>
      </c>
      <c r="C2538" s="6" t="s">
        <v>90</v>
      </c>
      <c r="D2538" s="6" t="s">
        <v>119</v>
      </c>
      <c r="E2538" s="6" t="s">
        <v>120</v>
      </c>
      <c r="F2538" s="7">
        <v>26</v>
      </c>
      <c r="G2538" s="7">
        <v>3250</v>
      </c>
      <c r="H2538" s="16">
        <v>45283</v>
      </c>
      <c r="I2538" s="6">
        <v>51</v>
      </c>
      <c r="J2538" s="6" t="s">
        <v>121</v>
      </c>
      <c r="K2538" s="6" t="s">
        <v>171</v>
      </c>
      <c r="L2538" s="11">
        <f>F2538*Controls!$B$6</f>
        <v>26</v>
      </c>
      <c r="M2538" s="11">
        <f>G2538*Controls!$B$6</f>
        <v>3250</v>
      </c>
      <c r="N2538" s="12">
        <f>IF(L2538=0,0,SUMIFS('PSI Plan'!$N$6:$N$173,'PSI Plan'!$B$6:$B$173,B2538,'PSI Plan'!$C$6:$C$173,I2538))</f>
        <v>0</v>
      </c>
      <c r="O2538" s="11">
        <f t="shared" si="78"/>
        <v>0</v>
      </c>
      <c r="P2538" s="11">
        <f t="shared" si="79"/>
        <v>0</v>
      </c>
      <c r="Q2538" s="6"/>
      <c r="R2538" s="6"/>
      <c r="S2538" s="6"/>
      <c r="T2538" s="6"/>
    </row>
    <row r="2539" spans="1:20">
      <c r="A2539" s="6" t="s">
        <v>2707</v>
      </c>
      <c r="B2539" s="6" t="s">
        <v>77</v>
      </c>
      <c r="C2539" s="6" t="s">
        <v>90</v>
      </c>
      <c r="D2539" s="6" t="s">
        <v>119</v>
      </c>
      <c r="E2539" s="6" t="s">
        <v>120</v>
      </c>
      <c r="F2539" s="7">
        <v>26</v>
      </c>
      <c r="G2539" s="7">
        <v>3250</v>
      </c>
      <c r="H2539" s="16">
        <v>45204</v>
      </c>
      <c r="I2539" s="6">
        <v>40</v>
      </c>
      <c r="J2539" s="6" t="s">
        <v>121</v>
      </c>
      <c r="K2539" s="6" t="s">
        <v>171</v>
      </c>
      <c r="L2539" s="11">
        <f>F2539*Controls!$B$6</f>
        <v>26</v>
      </c>
      <c r="M2539" s="11">
        <f>G2539*Controls!$B$6</f>
        <v>3250</v>
      </c>
      <c r="N2539" s="12">
        <f>IF(L2539=0,0,SUMIFS('PSI Plan'!$N$6:$N$173,'PSI Plan'!$B$6:$B$173,B2539,'PSI Plan'!$C$6:$C$173,I2539))</f>
        <v>0</v>
      </c>
      <c r="O2539" s="11">
        <f t="shared" si="78"/>
        <v>0</v>
      </c>
      <c r="P2539" s="11">
        <f t="shared" si="79"/>
        <v>0</v>
      </c>
      <c r="Q2539" s="6"/>
      <c r="R2539" s="6"/>
      <c r="S2539" s="6"/>
      <c r="T2539" s="6"/>
    </row>
    <row r="2540" spans="1:20">
      <c r="A2540" s="6" t="s">
        <v>2708</v>
      </c>
      <c r="B2540" s="6" t="s">
        <v>69</v>
      </c>
      <c r="C2540" s="6" t="s">
        <v>90</v>
      </c>
      <c r="D2540" s="6" t="s">
        <v>119</v>
      </c>
      <c r="E2540" s="6" t="s">
        <v>120</v>
      </c>
      <c r="F2540" s="7">
        <v>26</v>
      </c>
      <c r="G2540" s="7">
        <v>3250</v>
      </c>
      <c r="H2540" s="16">
        <v>45206</v>
      </c>
      <c r="I2540" s="6">
        <v>40</v>
      </c>
      <c r="J2540" s="6" t="s">
        <v>121</v>
      </c>
      <c r="K2540" s="6" t="s">
        <v>171</v>
      </c>
      <c r="L2540" s="11">
        <f>F2540*Controls!$B$6</f>
        <v>26</v>
      </c>
      <c r="M2540" s="11">
        <f>G2540*Controls!$B$6</f>
        <v>3250</v>
      </c>
      <c r="N2540" s="12">
        <f>IF(L2540=0,0,SUMIFS('PSI Plan'!$N$6:$N$173,'PSI Plan'!$B$6:$B$173,B2540,'PSI Plan'!$C$6:$C$173,I2540))</f>
        <v>0</v>
      </c>
      <c r="O2540" s="11">
        <f t="shared" si="78"/>
        <v>0</v>
      </c>
      <c r="P2540" s="11">
        <f t="shared" si="79"/>
        <v>0</v>
      </c>
      <c r="Q2540" s="6"/>
      <c r="R2540" s="6"/>
      <c r="S2540" s="6"/>
      <c r="T2540" s="6"/>
    </row>
    <row r="2541" spans="1:20">
      <c r="A2541" s="6" t="s">
        <v>2709</v>
      </c>
      <c r="B2541" s="6" t="s">
        <v>66</v>
      </c>
      <c r="C2541" s="6" t="s">
        <v>100</v>
      </c>
      <c r="D2541" s="6" t="s">
        <v>571</v>
      </c>
      <c r="E2541" s="6" t="s">
        <v>120</v>
      </c>
      <c r="F2541" s="7">
        <v>5</v>
      </c>
      <c r="G2541" s="7">
        <v>625</v>
      </c>
      <c r="H2541" s="16">
        <v>45240</v>
      </c>
      <c r="I2541" s="6">
        <v>45</v>
      </c>
      <c r="J2541" s="6" t="s">
        <v>2151</v>
      </c>
      <c r="K2541" s="6" t="s">
        <v>2681</v>
      </c>
      <c r="L2541" s="11">
        <f>F2541*Controls!$B$6</f>
        <v>5</v>
      </c>
      <c r="M2541" s="11">
        <f>G2541*Controls!$B$6</f>
        <v>625</v>
      </c>
      <c r="N2541" s="12">
        <f>IF(L2541=0,0,SUMIFS('PSI Plan'!$N$6:$N$173,'PSI Plan'!$B$6:$B$173,B2541,'PSI Plan'!$C$6:$C$173,I2541))</f>
        <v>0</v>
      </c>
      <c r="O2541" s="11">
        <f t="shared" si="78"/>
        <v>0</v>
      </c>
      <c r="P2541" s="11">
        <f t="shared" si="79"/>
        <v>0</v>
      </c>
      <c r="Q2541" s="6"/>
      <c r="R2541" s="6"/>
      <c r="S2541" s="6"/>
      <c r="T2541" s="6"/>
    </row>
    <row r="2542" spans="1:20">
      <c r="A2542" s="6" t="s">
        <v>2710</v>
      </c>
      <c r="B2542" s="6" t="s">
        <v>66</v>
      </c>
      <c r="C2542" s="6" t="s">
        <v>100</v>
      </c>
      <c r="D2542" s="6" t="s">
        <v>571</v>
      </c>
      <c r="E2542" s="6" t="s">
        <v>120</v>
      </c>
      <c r="F2542" s="7">
        <v>5</v>
      </c>
      <c r="G2542" s="7">
        <v>625</v>
      </c>
      <c r="H2542" s="16">
        <v>45283</v>
      </c>
      <c r="I2542" s="6">
        <v>51</v>
      </c>
      <c r="J2542" s="6" t="s">
        <v>2151</v>
      </c>
      <c r="K2542" s="6" t="s">
        <v>2681</v>
      </c>
      <c r="L2542" s="11">
        <f>F2542*Controls!$B$6</f>
        <v>5</v>
      </c>
      <c r="M2542" s="11">
        <f>G2542*Controls!$B$6</f>
        <v>625</v>
      </c>
      <c r="N2542" s="12">
        <f>IF(L2542=0,0,SUMIFS('PSI Plan'!$N$6:$N$173,'PSI Plan'!$B$6:$B$173,B2542,'PSI Plan'!$C$6:$C$173,I2542))</f>
        <v>0</v>
      </c>
      <c r="O2542" s="11">
        <f t="shared" si="78"/>
        <v>0</v>
      </c>
      <c r="P2542" s="11">
        <f t="shared" si="79"/>
        <v>0</v>
      </c>
      <c r="Q2542" s="6"/>
      <c r="R2542" s="6"/>
      <c r="S2542" s="6"/>
      <c r="T2542" s="6"/>
    </row>
    <row r="2543" spans="1:20">
      <c r="A2543" s="6" t="s">
        <v>2711</v>
      </c>
      <c r="B2543" s="6" t="s">
        <v>76</v>
      </c>
      <c r="C2543" s="6" t="s">
        <v>100</v>
      </c>
      <c r="D2543" s="6" t="s">
        <v>571</v>
      </c>
      <c r="E2543" s="6" t="s">
        <v>120</v>
      </c>
      <c r="F2543" s="7">
        <v>5</v>
      </c>
      <c r="G2543" s="7">
        <v>625</v>
      </c>
      <c r="H2543" s="16">
        <v>45271</v>
      </c>
      <c r="I2543" s="6">
        <v>50</v>
      </c>
      <c r="J2543" s="6" t="s">
        <v>2151</v>
      </c>
      <c r="K2543" s="6" t="s">
        <v>2681</v>
      </c>
      <c r="L2543" s="11">
        <f>F2543*Controls!$B$6</f>
        <v>5</v>
      </c>
      <c r="M2543" s="11">
        <f>G2543*Controls!$B$6</f>
        <v>625</v>
      </c>
      <c r="N2543" s="12">
        <f>IF(L2543=0,0,SUMIFS('PSI Plan'!$N$6:$N$173,'PSI Plan'!$B$6:$B$173,B2543,'PSI Plan'!$C$6:$C$173,I2543))</f>
        <v>0</v>
      </c>
      <c r="O2543" s="11">
        <f t="shared" si="78"/>
        <v>0</v>
      </c>
      <c r="P2543" s="11">
        <f t="shared" si="79"/>
        <v>0</v>
      </c>
      <c r="Q2543" s="6"/>
      <c r="R2543" s="6"/>
      <c r="S2543" s="6"/>
      <c r="T2543" s="6"/>
    </row>
    <row r="2544" spans="1:20">
      <c r="A2544" s="6" t="s">
        <v>2712</v>
      </c>
      <c r="B2544" s="6" t="s">
        <v>67</v>
      </c>
      <c r="C2544" s="6" t="s">
        <v>100</v>
      </c>
      <c r="D2544" s="6" t="s">
        <v>571</v>
      </c>
      <c r="E2544" s="6" t="s">
        <v>120</v>
      </c>
      <c r="F2544" s="7">
        <v>5</v>
      </c>
      <c r="G2544" s="7">
        <v>625</v>
      </c>
      <c r="H2544" s="16">
        <v>45267</v>
      </c>
      <c r="I2544" s="6">
        <v>49</v>
      </c>
      <c r="J2544" s="6" t="s">
        <v>2151</v>
      </c>
      <c r="K2544" s="6" t="s">
        <v>2681</v>
      </c>
      <c r="L2544" s="11">
        <f>F2544*Controls!$B$6</f>
        <v>5</v>
      </c>
      <c r="M2544" s="11">
        <f>G2544*Controls!$B$6</f>
        <v>625</v>
      </c>
      <c r="N2544" s="12">
        <f>IF(L2544=0,0,SUMIFS('PSI Plan'!$N$6:$N$173,'PSI Plan'!$B$6:$B$173,B2544,'PSI Plan'!$C$6:$C$173,I2544))</f>
        <v>0</v>
      </c>
      <c r="O2544" s="11">
        <f t="shared" si="78"/>
        <v>0</v>
      </c>
      <c r="P2544" s="11">
        <f t="shared" si="79"/>
        <v>0</v>
      </c>
      <c r="Q2544" s="6"/>
      <c r="R2544" s="6"/>
      <c r="S2544" s="6"/>
      <c r="T2544" s="6"/>
    </row>
    <row r="2545" spans="1:20">
      <c r="A2545" s="6" t="s">
        <v>2713</v>
      </c>
      <c r="B2545" s="6" t="s">
        <v>69</v>
      </c>
      <c r="C2545" s="6" t="s">
        <v>100</v>
      </c>
      <c r="D2545" s="6" t="s">
        <v>571</v>
      </c>
      <c r="E2545" s="6" t="s">
        <v>120</v>
      </c>
      <c r="F2545" s="7">
        <v>5</v>
      </c>
      <c r="G2545" s="7">
        <v>625</v>
      </c>
      <c r="H2545" s="16">
        <v>45240</v>
      </c>
      <c r="I2545" s="6">
        <v>45</v>
      </c>
      <c r="J2545" s="6" t="s">
        <v>2151</v>
      </c>
      <c r="K2545" s="6" t="s">
        <v>2681</v>
      </c>
      <c r="L2545" s="11">
        <f>F2545*Controls!$B$6</f>
        <v>5</v>
      </c>
      <c r="M2545" s="11">
        <f>G2545*Controls!$B$6</f>
        <v>625</v>
      </c>
      <c r="N2545" s="12">
        <f>IF(L2545=0,0,SUMIFS('PSI Plan'!$N$6:$N$173,'PSI Plan'!$B$6:$B$173,B2545,'PSI Plan'!$C$6:$C$173,I2545))</f>
        <v>0</v>
      </c>
      <c r="O2545" s="11">
        <f t="shared" si="78"/>
        <v>0</v>
      </c>
      <c r="P2545" s="11">
        <f t="shared" si="79"/>
        <v>0</v>
      </c>
      <c r="Q2545" s="6"/>
      <c r="R2545" s="6"/>
      <c r="S2545" s="6"/>
      <c r="T2545" s="6"/>
    </row>
    <row r="2546" spans="1:20">
      <c r="A2546" s="6" t="s">
        <v>2714</v>
      </c>
      <c r="B2546" s="6" t="s">
        <v>66</v>
      </c>
      <c r="C2546" s="6" t="s">
        <v>99</v>
      </c>
      <c r="D2546" s="6" t="s">
        <v>319</v>
      </c>
      <c r="E2546" s="6" t="s">
        <v>120</v>
      </c>
      <c r="F2546" s="7">
        <v>10</v>
      </c>
      <c r="G2546" s="7">
        <v>1250</v>
      </c>
      <c r="H2546" s="16">
        <v>45205</v>
      </c>
      <c r="I2546" s="6">
        <v>40</v>
      </c>
      <c r="J2546" s="6" t="s">
        <v>121</v>
      </c>
      <c r="K2546" s="6" t="s">
        <v>347</v>
      </c>
      <c r="L2546" s="11">
        <f>F2546*Controls!$B$6</f>
        <v>10</v>
      </c>
      <c r="M2546" s="11">
        <f>G2546*Controls!$B$6</f>
        <v>1250</v>
      </c>
      <c r="N2546" s="12">
        <f>IF(L2546=0,0,SUMIFS('PSI Plan'!$N$6:$N$173,'PSI Plan'!$B$6:$B$173,B2546,'PSI Plan'!$C$6:$C$173,I2546))</f>
        <v>0</v>
      </c>
      <c r="O2546" s="11">
        <f t="shared" si="78"/>
        <v>0</v>
      </c>
      <c r="P2546" s="11">
        <f t="shared" si="79"/>
        <v>0</v>
      </c>
      <c r="Q2546" s="6"/>
      <c r="R2546" s="6"/>
      <c r="S2546" s="6"/>
      <c r="T2546" s="6"/>
    </row>
    <row r="2547" spans="1:20">
      <c r="A2547" s="6" t="s">
        <v>2715</v>
      </c>
      <c r="B2547" s="6" t="s">
        <v>77</v>
      </c>
      <c r="C2547" s="6" t="s">
        <v>99</v>
      </c>
      <c r="D2547" s="6" t="s">
        <v>319</v>
      </c>
      <c r="E2547" s="6" t="s">
        <v>120</v>
      </c>
      <c r="F2547" s="7">
        <v>4</v>
      </c>
      <c r="G2547" s="7">
        <v>500</v>
      </c>
      <c r="H2547" s="16">
        <v>45282</v>
      </c>
      <c r="I2547" s="6">
        <v>51</v>
      </c>
      <c r="J2547" s="6" t="s">
        <v>121</v>
      </c>
      <c r="K2547" s="6" t="s">
        <v>347</v>
      </c>
      <c r="L2547" s="11">
        <f>F2547*Controls!$B$6</f>
        <v>4</v>
      </c>
      <c r="M2547" s="11">
        <f>G2547*Controls!$B$6</f>
        <v>500</v>
      </c>
      <c r="N2547" s="12">
        <f>IF(L2547=0,0,SUMIFS('PSI Plan'!$N$6:$N$173,'PSI Plan'!$B$6:$B$173,B2547,'PSI Plan'!$C$6:$C$173,I2547))</f>
        <v>0</v>
      </c>
      <c r="O2547" s="11">
        <f t="shared" si="78"/>
        <v>0</v>
      </c>
      <c r="P2547" s="11">
        <f t="shared" si="79"/>
        <v>0</v>
      </c>
      <c r="Q2547" s="6"/>
      <c r="R2547" s="6"/>
      <c r="S2547" s="6"/>
      <c r="T2547" s="6"/>
    </row>
    <row r="2548" spans="1:20">
      <c r="A2548" s="6" t="s">
        <v>2716</v>
      </c>
      <c r="B2548" s="6" t="s">
        <v>76</v>
      </c>
      <c r="C2548" s="6" t="s">
        <v>99</v>
      </c>
      <c r="D2548" s="6" t="s">
        <v>319</v>
      </c>
      <c r="E2548" s="6" t="s">
        <v>120</v>
      </c>
      <c r="F2548" s="7">
        <v>4</v>
      </c>
      <c r="G2548" s="7">
        <v>500</v>
      </c>
      <c r="H2548" s="16">
        <v>45247</v>
      </c>
      <c r="I2548" s="6">
        <v>46</v>
      </c>
      <c r="J2548" s="6" t="s">
        <v>121</v>
      </c>
      <c r="K2548" s="6" t="s">
        <v>347</v>
      </c>
      <c r="L2548" s="11">
        <f>F2548*Controls!$B$6</f>
        <v>4</v>
      </c>
      <c r="M2548" s="11">
        <f>G2548*Controls!$B$6</f>
        <v>500</v>
      </c>
      <c r="N2548" s="12">
        <f>IF(L2548=0,0,SUMIFS('PSI Plan'!$N$6:$N$173,'PSI Plan'!$B$6:$B$173,B2548,'PSI Plan'!$C$6:$C$173,I2548))</f>
        <v>0</v>
      </c>
      <c r="O2548" s="11">
        <f t="shared" si="78"/>
        <v>0</v>
      </c>
      <c r="P2548" s="11">
        <f t="shared" si="79"/>
        <v>0</v>
      </c>
      <c r="Q2548" s="6"/>
      <c r="R2548" s="6"/>
      <c r="S2548" s="6"/>
      <c r="T2548" s="6"/>
    </row>
    <row r="2549" spans="1:20">
      <c r="A2549" s="6" t="s">
        <v>2717</v>
      </c>
      <c r="B2549" s="6" t="s">
        <v>69</v>
      </c>
      <c r="C2549" s="6" t="s">
        <v>99</v>
      </c>
      <c r="D2549" s="6" t="s">
        <v>319</v>
      </c>
      <c r="E2549" s="6" t="s">
        <v>120</v>
      </c>
      <c r="F2549" s="7">
        <v>26</v>
      </c>
      <c r="G2549" s="7">
        <v>3250</v>
      </c>
      <c r="H2549" s="16">
        <v>45202</v>
      </c>
      <c r="I2549" s="6">
        <v>40</v>
      </c>
      <c r="J2549" s="6" t="s">
        <v>121</v>
      </c>
      <c r="K2549" s="6" t="s">
        <v>347</v>
      </c>
      <c r="L2549" s="11">
        <f>F2549*Controls!$B$6</f>
        <v>26</v>
      </c>
      <c r="M2549" s="11">
        <f>G2549*Controls!$B$6</f>
        <v>3250</v>
      </c>
      <c r="N2549" s="12">
        <f>IF(L2549=0,0,SUMIFS('PSI Plan'!$N$6:$N$173,'PSI Plan'!$B$6:$B$173,B2549,'PSI Plan'!$C$6:$C$173,I2549))</f>
        <v>0</v>
      </c>
      <c r="O2549" s="11">
        <f t="shared" si="78"/>
        <v>0</v>
      </c>
      <c r="P2549" s="11">
        <f t="shared" si="79"/>
        <v>0</v>
      </c>
      <c r="Q2549" s="6"/>
      <c r="R2549" s="6"/>
      <c r="S2549" s="6"/>
      <c r="T2549" s="6"/>
    </row>
    <row r="2550" spans="1:20">
      <c r="A2550" s="6" t="s">
        <v>2718</v>
      </c>
      <c r="B2550" s="6" t="s">
        <v>66</v>
      </c>
      <c r="C2550" s="6" t="s">
        <v>99</v>
      </c>
      <c r="D2550" s="6" t="s">
        <v>319</v>
      </c>
      <c r="E2550" s="6" t="s">
        <v>120</v>
      </c>
      <c r="F2550" s="7">
        <v>18</v>
      </c>
      <c r="G2550" s="7">
        <v>2250</v>
      </c>
      <c r="H2550" s="16">
        <v>45278</v>
      </c>
      <c r="I2550" s="6">
        <v>51</v>
      </c>
      <c r="J2550" s="6" t="s">
        <v>121</v>
      </c>
      <c r="K2550" s="6" t="s">
        <v>347</v>
      </c>
      <c r="L2550" s="11">
        <f>F2550*Controls!$B$6</f>
        <v>18</v>
      </c>
      <c r="M2550" s="11">
        <f>G2550*Controls!$B$6</f>
        <v>2250</v>
      </c>
      <c r="N2550" s="12">
        <f>IF(L2550=0,0,SUMIFS('PSI Plan'!$N$6:$N$173,'PSI Plan'!$B$6:$B$173,B2550,'PSI Plan'!$C$6:$C$173,I2550))</f>
        <v>0</v>
      </c>
      <c r="O2550" s="11">
        <f t="shared" si="78"/>
        <v>0</v>
      </c>
      <c r="P2550" s="11">
        <f t="shared" si="79"/>
        <v>0</v>
      </c>
      <c r="Q2550" s="6"/>
      <c r="R2550" s="6"/>
      <c r="S2550" s="6"/>
      <c r="T2550" s="6"/>
    </row>
    <row r="2551" spans="1:20">
      <c r="A2551" s="6" t="s">
        <v>2719</v>
      </c>
      <c r="B2551" s="6" t="s">
        <v>77</v>
      </c>
      <c r="C2551" s="6" t="s">
        <v>99</v>
      </c>
      <c r="D2551" s="6" t="s">
        <v>319</v>
      </c>
      <c r="E2551" s="6" t="s">
        <v>120</v>
      </c>
      <c r="F2551" s="7">
        <v>10</v>
      </c>
      <c r="G2551" s="7">
        <v>1250</v>
      </c>
      <c r="H2551" s="16">
        <v>45203</v>
      </c>
      <c r="I2551" s="6">
        <v>40</v>
      </c>
      <c r="J2551" s="6" t="s">
        <v>121</v>
      </c>
      <c r="K2551" s="6" t="s">
        <v>347</v>
      </c>
      <c r="L2551" s="11">
        <f>F2551*Controls!$B$6</f>
        <v>10</v>
      </c>
      <c r="M2551" s="11">
        <f>G2551*Controls!$B$6</f>
        <v>1250</v>
      </c>
      <c r="N2551" s="12">
        <f>IF(L2551=0,0,SUMIFS('PSI Plan'!$N$6:$N$173,'PSI Plan'!$B$6:$B$173,B2551,'PSI Plan'!$C$6:$C$173,I2551))</f>
        <v>0</v>
      </c>
      <c r="O2551" s="11">
        <f t="shared" si="78"/>
        <v>0</v>
      </c>
      <c r="P2551" s="11">
        <f t="shared" si="79"/>
        <v>0</v>
      </c>
      <c r="Q2551" s="6"/>
      <c r="R2551" s="6"/>
      <c r="S2551" s="6"/>
      <c r="T2551" s="6"/>
    </row>
    <row r="2552" spans="1:20">
      <c r="A2552" s="6" t="s">
        <v>2720</v>
      </c>
      <c r="B2552" s="6" t="s">
        <v>76</v>
      </c>
      <c r="C2552" s="6" t="s">
        <v>99</v>
      </c>
      <c r="D2552" s="6" t="s">
        <v>319</v>
      </c>
      <c r="E2552" s="6" t="s">
        <v>120</v>
      </c>
      <c r="F2552" s="7">
        <v>10</v>
      </c>
      <c r="G2552" s="7">
        <v>1250</v>
      </c>
      <c r="H2552" s="16">
        <v>45279</v>
      </c>
      <c r="I2552" s="6">
        <v>51</v>
      </c>
      <c r="J2552" s="6" t="s">
        <v>121</v>
      </c>
      <c r="K2552" s="6" t="s">
        <v>347</v>
      </c>
      <c r="L2552" s="11">
        <f>F2552*Controls!$B$6</f>
        <v>10</v>
      </c>
      <c r="M2552" s="11">
        <f>G2552*Controls!$B$6</f>
        <v>1250</v>
      </c>
      <c r="N2552" s="12">
        <f>IF(L2552=0,0,SUMIFS('PSI Plan'!$N$6:$N$173,'PSI Plan'!$B$6:$B$173,B2552,'PSI Plan'!$C$6:$C$173,I2552))</f>
        <v>0</v>
      </c>
      <c r="O2552" s="11">
        <f t="shared" si="78"/>
        <v>0</v>
      </c>
      <c r="P2552" s="11">
        <f t="shared" si="79"/>
        <v>0</v>
      </c>
      <c r="Q2552" s="6"/>
      <c r="R2552" s="6"/>
      <c r="S2552" s="6"/>
      <c r="T2552" s="6"/>
    </row>
    <row r="2553" spans="1:20">
      <c r="A2553" s="6" t="s">
        <v>2721</v>
      </c>
      <c r="B2553" s="6" t="s">
        <v>69</v>
      </c>
      <c r="C2553" s="6" t="s">
        <v>99</v>
      </c>
      <c r="D2553" s="6" t="s">
        <v>319</v>
      </c>
      <c r="E2553" s="6" t="s">
        <v>120</v>
      </c>
      <c r="F2553" s="7">
        <v>4</v>
      </c>
      <c r="G2553" s="7">
        <v>500</v>
      </c>
      <c r="H2553" s="16">
        <v>45220</v>
      </c>
      <c r="I2553" s="6">
        <v>42</v>
      </c>
      <c r="J2553" s="6" t="s">
        <v>121</v>
      </c>
      <c r="K2553" s="6" t="s">
        <v>347</v>
      </c>
      <c r="L2553" s="11">
        <f>F2553*Controls!$B$6</f>
        <v>4</v>
      </c>
      <c r="M2553" s="11">
        <f>G2553*Controls!$B$6</f>
        <v>500</v>
      </c>
      <c r="N2553" s="12">
        <f>IF(L2553=0,0,SUMIFS('PSI Plan'!$N$6:$N$173,'PSI Plan'!$B$6:$B$173,B2553,'PSI Plan'!$C$6:$C$173,I2553))</f>
        <v>0</v>
      </c>
      <c r="O2553" s="11">
        <f t="shared" si="78"/>
        <v>0</v>
      </c>
      <c r="P2553" s="11">
        <f t="shared" si="79"/>
        <v>0</v>
      </c>
      <c r="Q2553" s="6"/>
      <c r="R2553" s="6"/>
      <c r="S2553" s="6"/>
      <c r="T2553" s="6"/>
    </row>
    <row r="2554" spans="1:20">
      <c r="A2554" s="6" t="s">
        <v>2722</v>
      </c>
      <c r="B2554" s="6" t="s">
        <v>66</v>
      </c>
      <c r="C2554" s="6" t="s">
        <v>99</v>
      </c>
      <c r="D2554" s="6" t="s">
        <v>319</v>
      </c>
      <c r="E2554" s="6" t="s">
        <v>120</v>
      </c>
      <c r="F2554" s="7">
        <v>102</v>
      </c>
      <c r="G2554" s="7">
        <v>12750</v>
      </c>
      <c r="H2554" s="16">
        <v>45211</v>
      </c>
      <c r="I2554" s="6">
        <v>41</v>
      </c>
      <c r="J2554" s="6" t="s">
        <v>121</v>
      </c>
      <c r="K2554" s="6" t="s">
        <v>1576</v>
      </c>
      <c r="L2554" s="11">
        <f>F2554*Controls!$B$6</f>
        <v>102</v>
      </c>
      <c r="M2554" s="11">
        <f>G2554*Controls!$B$6</f>
        <v>12750</v>
      </c>
      <c r="N2554" s="12">
        <f>IF(L2554=0,0,SUMIFS('PSI Plan'!$N$6:$N$173,'PSI Plan'!$B$6:$B$173,B2554,'PSI Plan'!$C$6:$C$173,I2554))</f>
        <v>0.22897465437788017</v>
      </c>
      <c r="O2554" s="11">
        <f t="shared" si="78"/>
        <v>23.355414746543776</v>
      </c>
      <c r="P2554" s="11">
        <f t="shared" si="79"/>
        <v>2919.4268433179723</v>
      </c>
      <c r="Q2554" s="6"/>
      <c r="R2554" s="6"/>
      <c r="S2554" s="6"/>
      <c r="T2554" s="6"/>
    </row>
    <row r="2555" spans="1:20">
      <c r="A2555" s="6" t="s">
        <v>2723</v>
      </c>
      <c r="B2555" s="6" t="s">
        <v>77</v>
      </c>
      <c r="C2555" s="6" t="s">
        <v>99</v>
      </c>
      <c r="D2555" s="6" t="s">
        <v>319</v>
      </c>
      <c r="E2555" s="6" t="s">
        <v>120</v>
      </c>
      <c r="F2555" s="7">
        <v>96</v>
      </c>
      <c r="G2555" s="7">
        <v>12000</v>
      </c>
      <c r="H2555" s="16">
        <v>45283</v>
      </c>
      <c r="I2555" s="6">
        <v>51</v>
      </c>
      <c r="J2555" s="6" t="s">
        <v>121</v>
      </c>
      <c r="K2555" s="6" t="s">
        <v>1576</v>
      </c>
      <c r="L2555" s="11">
        <f>F2555*Controls!$B$6</f>
        <v>96</v>
      </c>
      <c r="M2555" s="11">
        <f>G2555*Controls!$B$6</f>
        <v>12000</v>
      </c>
      <c r="N2555" s="12">
        <f>IF(L2555=0,0,SUMIFS('PSI Plan'!$N$6:$N$173,'PSI Plan'!$B$6:$B$173,B2555,'PSI Plan'!$C$6:$C$173,I2555))</f>
        <v>0</v>
      </c>
      <c r="O2555" s="11">
        <f t="shared" si="78"/>
        <v>0</v>
      </c>
      <c r="P2555" s="11">
        <f t="shared" si="79"/>
        <v>0</v>
      </c>
      <c r="Q2555" s="6"/>
      <c r="R2555" s="6"/>
      <c r="S2555" s="6"/>
      <c r="T2555" s="6"/>
    </row>
    <row r="2556" spans="1:20">
      <c r="A2556" s="6" t="s">
        <v>2724</v>
      </c>
      <c r="B2556" s="6" t="s">
        <v>76</v>
      </c>
      <c r="C2556" s="6" t="s">
        <v>99</v>
      </c>
      <c r="D2556" s="6" t="s">
        <v>319</v>
      </c>
      <c r="E2556" s="6" t="s">
        <v>120</v>
      </c>
      <c r="F2556" s="7">
        <v>14</v>
      </c>
      <c r="G2556" s="7">
        <v>1750</v>
      </c>
      <c r="H2556" s="16">
        <v>45284</v>
      </c>
      <c r="I2556" s="6">
        <v>52</v>
      </c>
      <c r="J2556" s="6" t="s">
        <v>121</v>
      </c>
      <c r="K2556" s="6" t="s">
        <v>1576</v>
      </c>
      <c r="L2556" s="11">
        <f>F2556*Controls!$B$6</f>
        <v>14</v>
      </c>
      <c r="M2556" s="11">
        <f>G2556*Controls!$B$6</f>
        <v>1750</v>
      </c>
      <c r="N2556" s="12">
        <f>IF(L2556=0,0,SUMIFS('PSI Plan'!$N$6:$N$173,'PSI Plan'!$B$6:$B$173,B2556,'PSI Plan'!$C$6:$C$173,I2556))</f>
        <v>0</v>
      </c>
      <c r="O2556" s="11">
        <f t="shared" si="78"/>
        <v>0</v>
      </c>
      <c r="P2556" s="11">
        <f t="shared" si="79"/>
        <v>0</v>
      </c>
      <c r="Q2556" s="6"/>
      <c r="R2556" s="6"/>
      <c r="S2556" s="6"/>
      <c r="T2556" s="6"/>
    </row>
    <row r="2557" spans="1:20">
      <c r="A2557" s="6" t="s">
        <v>2725</v>
      </c>
      <c r="B2557" s="6" t="s">
        <v>69</v>
      </c>
      <c r="C2557" s="6" t="s">
        <v>99</v>
      </c>
      <c r="D2557" s="6" t="s">
        <v>319</v>
      </c>
      <c r="E2557" s="6" t="s">
        <v>120</v>
      </c>
      <c r="F2557" s="7">
        <v>100</v>
      </c>
      <c r="G2557" s="7">
        <v>12500</v>
      </c>
      <c r="H2557" s="16">
        <v>45239</v>
      </c>
      <c r="I2557" s="6">
        <v>45</v>
      </c>
      <c r="J2557" s="6" t="s">
        <v>121</v>
      </c>
      <c r="K2557" s="6" t="s">
        <v>1576</v>
      </c>
      <c r="L2557" s="11">
        <f>F2557*Controls!$B$6</f>
        <v>100</v>
      </c>
      <c r="M2557" s="11">
        <f>G2557*Controls!$B$6</f>
        <v>12500</v>
      </c>
      <c r="N2557" s="12">
        <f>IF(L2557=0,0,SUMIFS('PSI Plan'!$N$6:$N$173,'PSI Plan'!$B$6:$B$173,B2557,'PSI Plan'!$C$6:$C$173,I2557))</f>
        <v>0</v>
      </c>
      <c r="O2557" s="11">
        <f t="shared" si="78"/>
        <v>0</v>
      </c>
      <c r="P2557" s="11">
        <f t="shared" si="79"/>
        <v>0</v>
      </c>
      <c r="Q2557" s="6"/>
      <c r="R2557" s="6"/>
      <c r="S2557" s="6"/>
      <c r="T2557" s="6"/>
    </row>
    <row r="2558" spans="1:20">
      <c r="A2558" s="6" t="s">
        <v>2726</v>
      </c>
      <c r="B2558" s="6" t="s">
        <v>67</v>
      </c>
      <c r="C2558" s="6" t="s">
        <v>90</v>
      </c>
      <c r="D2558" s="6" t="s">
        <v>119</v>
      </c>
      <c r="E2558" s="6" t="s">
        <v>120</v>
      </c>
      <c r="F2558" s="7">
        <v>5</v>
      </c>
      <c r="G2558" s="7">
        <v>625</v>
      </c>
      <c r="H2558" s="16">
        <v>45214</v>
      </c>
      <c r="I2558" s="6">
        <v>42</v>
      </c>
      <c r="J2558" s="6" t="s">
        <v>121</v>
      </c>
      <c r="K2558" s="6" t="s">
        <v>122</v>
      </c>
      <c r="L2558" s="11">
        <f>F2558*Controls!$B$6</f>
        <v>5</v>
      </c>
      <c r="M2558" s="11">
        <f>G2558*Controls!$B$6</f>
        <v>625</v>
      </c>
      <c r="N2558" s="12">
        <f>IF(L2558=0,0,SUMIFS('PSI Plan'!$N$6:$N$173,'PSI Plan'!$B$6:$B$173,B2558,'PSI Plan'!$C$6:$C$173,I2558))</f>
        <v>0</v>
      </c>
      <c r="O2558" s="11">
        <f t="shared" si="78"/>
        <v>0</v>
      </c>
      <c r="P2558" s="11">
        <f t="shared" si="79"/>
        <v>0</v>
      </c>
      <c r="Q2558" s="6"/>
      <c r="R2558" s="6"/>
      <c r="S2558" s="6"/>
      <c r="T2558" s="6"/>
    </row>
    <row r="2559" spans="1:20">
      <c r="A2559" s="6" t="s">
        <v>2727</v>
      </c>
      <c r="B2559" s="6" t="s">
        <v>67</v>
      </c>
      <c r="C2559" s="6" t="s">
        <v>90</v>
      </c>
      <c r="D2559" s="6" t="s">
        <v>119</v>
      </c>
      <c r="E2559" s="6" t="s">
        <v>120</v>
      </c>
      <c r="F2559" s="7">
        <v>5</v>
      </c>
      <c r="G2559" s="7">
        <v>625</v>
      </c>
      <c r="H2559" s="16">
        <v>45252</v>
      </c>
      <c r="I2559" s="6">
        <v>47</v>
      </c>
      <c r="J2559" s="6" t="s">
        <v>121</v>
      </c>
      <c r="K2559" s="6" t="s">
        <v>122</v>
      </c>
      <c r="L2559" s="11">
        <f>F2559*Controls!$B$6</f>
        <v>5</v>
      </c>
      <c r="M2559" s="11">
        <f>G2559*Controls!$B$6</f>
        <v>625</v>
      </c>
      <c r="N2559" s="12">
        <f>IF(L2559=0,0,SUMIFS('PSI Plan'!$N$6:$N$173,'PSI Plan'!$B$6:$B$173,B2559,'PSI Plan'!$C$6:$C$173,I2559))</f>
        <v>0</v>
      </c>
      <c r="O2559" s="11">
        <f t="shared" si="78"/>
        <v>0</v>
      </c>
      <c r="P2559" s="11">
        <f t="shared" si="79"/>
        <v>0</v>
      </c>
      <c r="Q2559" s="6"/>
      <c r="R2559" s="6"/>
      <c r="S2559" s="6"/>
      <c r="T2559" s="6"/>
    </row>
    <row r="2560" spans="1:20">
      <c r="A2560" s="6" t="s">
        <v>2728</v>
      </c>
      <c r="B2560" s="6" t="s">
        <v>69</v>
      </c>
      <c r="C2560" s="6" t="s">
        <v>90</v>
      </c>
      <c r="D2560" s="6" t="s">
        <v>119</v>
      </c>
      <c r="E2560" s="6" t="s">
        <v>120</v>
      </c>
      <c r="F2560" s="7">
        <v>26</v>
      </c>
      <c r="G2560" s="7">
        <v>3250</v>
      </c>
      <c r="H2560" s="16">
        <v>45281</v>
      </c>
      <c r="I2560" s="6">
        <v>51</v>
      </c>
      <c r="J2560" s="6" t="s">
        <v>121</v>
      </c>
      <c r="K2560" s="6" t="s">
        <v>122</v>
      </c>
      <c r="L2560" s="11">
        <f>F2560*Controls!$B$6</f>
        <v>26</v>
      </c>
      <c r="M2560" s="11">
        <f>G2560*Controls!$B$6</f>
        <v>3250</v>
      </c>
      <c r="N2560" s="12">
        <f>IF(L2560=0,0,SUMIFS('PSI Plan'!$N$6:$N$173,'PSI Plan'!$B$6:$B$173,B2560,'PSI Plan'!$C$6:$C$173,I2560))</f>
        <v>0</v>
      </c>
      <c r="O2560" s="11">
        <f t="shared" si="78"/>
        <v>0</v>
      </c>
      <c r="P2560" s="11">
        <f t="shared" si="79"/>
        <v>0</v>
      </c>
      <c r="Q2560" s="6"/>
      <c r="R2560" s="6"/>
      <c r="S2560" s="6"/>
      <c r="T2560" s="6"/>
    </row>
    <row r="2561" spans="1:20">
      <c r="A2561" s="6" t="s">
        <v>2729</v>
      </c>
      <c r="B2561" s="6" t="s">
        <v>66</v>
      </c>
      <c r="C2561" s="6" t="s">
        <v>90</v>
      </c>
      <c r="D2561" s="6" t="s">
        <v>119</v>
      </c>
      <c r="E2561" s="6" t="s">
        <v>120</v>
      </c>
      <c r="F2561" s="7">
        <v>21</v>
      </c>
      <c r="G2561" s="7">
        <v>2625</v>
      </c>
      <c r="H2561" s="16">
        <v>45238</v>
      </c>
      <c r="I2561" s="6">
        <v>45</v>
      </c>
      <c r="J2561" s="6" t="s">
        <v>121</v>
      </c>
      <c r="K2561" s="6" t="s">
        <v>139</v>
      </c>
      <c r="L2561" s="11">
        <f>F2561*Controls!$B$6</f>
        <v>21</v>
      </c>
      <c r="M2561" s="11">
        <f>G2561*Controls!$B$6</f>
        <v>2625</v>
      </c>
      <c r="N2561" s="12">
        <f>IF(L2561=0,0,SUMIFS('PSI Plan'!$N$6:$N$173,'PSI Plan'!$B$6:$B$173,B2561,'PSI Plan'!$C$6:$C$173,I2561))</f>
        <v>0</v>
      </c>
      <c r="O2561" s="11">
        <f t="shared" si="78"/>
        <v>0</v>
      </c>
      <c r="P2561" s="11">
        <f t="shared" si="79"/>
        <v>0</v>
      </c>
      <c r="Q2561" s="6"/>
      <c r="R2561" s="6"/>
      <c r="S2561" s="6"/>
      <c r="T2561" s="6"/>
    </row>
    <row r="2562" spans="1:20">
      <c r="A2562" s="6" t="s">
        <v>2730</v>
      </c>
      <c r="B2562" s="6" t="s">
        <v>77</v>
      </c>
      <c r="C2562" s="6" t="s">
        <v>90</v>
      </c>
      <c r="D2562" s="6" t="s">
        <v>119</v>
      </c>
      <c r="E2562" s="6" t="s">
        <v>120</v>
      </c>
      <c r="F2562" s="7">
        <v>9</v>
      </c>
      <c r="G2562" s="7">
        <v>1125</v>
      </c>
      <c r="H2562" s="16">
        <v>45202</v>
      </c>
      <c r="I2562" s="6">
        <v>40</v>
      </c>
      <c r="J2562" s="6" t="s">
        <v>121</v>
      </c>
      <c r="K2562" s="6" t="s">
        <v>139</v>
      </c>
      <c r="L2562" s="11">
        <f>F2562*Controls!$B$6</f>
        <v>9</v>
      </c>
      <c r="M2562" s="11">
        <f>G2562*Controls!$B$6</f>
        <v>1125</v>
      </c>
      <c r="N2562" s="12">
        <f>IF(L2562=0,0,SUMIFS('PSI Plan'!$N$6:$N$173,'PSI Plan'!$B$6:$B$173,B2562,'PSI Plan'!$C$6:$C$173,I2562))</f>
        <v>0</v>
      </c>
      <c r="O2562" s="11">
        <f t="shared" ref="O2562:O2625" si="80">L2562*N2562</f>
        <v>0</v>
      </c>
      <c r="P2562" s="11">
        <f t="shared" ref="P2562:P2625" si="81">M2562*N2562</f>
        <v>0</v>
      </c>
      <c r="Q2562" s="6"/>
      <c r="R2562" s="6"/>
      <c r="S2562" s="6"/>
      <c r="T2562" s="6"/>
    </row>
    <row r="2563" spans="1:20">
      <c r="A2563" s="6" t="s">
        <v>2731</v>
      </c>
      <c r="B2563" s="6" t="s">
        <v>76</v>
      </c>
      <c r="C2563" s="6" t="s">
        <v>90</v>
      </c>
      <c r="D2563" s="6" t="s">
        <v>119</v>
      </c>
      <c r="E2563" s="6" t="s">
        <v>120</v>
      </c>
      <c r="F2563" s="7">
        <v>9</v>
      </c>
      <c r="G2563" s="7">
        <v>1125</v>
      </c>
      <c r="H2563" s="16">
        <v>45215</v>
      </c>
      <c r="I2563" s="6">
        <v>42</v>
      </c>
      <c r="J2563" s="6" t="s">
        <v>121</v>
      </c>
      <c r="K2563" s="6" t="s">
        <v>139</v>
      </c>
      <c r="L2563" s="11">
        <f>F2563*Controls!$B$6</f>
        <v>9</v>
      </c>
      <c r="M2563" s="11">
        <f>G2563*Controls!$B$6</f>
        <v>1125</v>
      </c>
      <c r="N2563" s="12">
        <f>IF(L2563=0,0,SUMIFS('PSI Plan'!$N$6:$N$173,'PSI Plan'!$B$6:$B$173,B2563,'PSI Plan'!$C$6:$C$173,I2563))</f>
        <v>0</v>
      </c>
      <c r="O2563" s="11">
        <f t="shared" si="80"/>
        <v>0</v>
      </c>
      <c r="P2563" s="11">
        <f t="shared" si="81"/>
        <v>0</v>
      </c>
      <c r="Q2563" s="6"/>
      <c r="R2563" s="6"/>
      <c r="S2563" s="6"/>
      <c r="T2563" s="6"/>
    </row>
    <row r="2564" spans="1:20">
      <c r="A2564" s="6" t="s">
        <v>2732</v>
      </c>
      <c r="B2564" s="6" t="s">
        <v>69</v>
      </c>
      <c r="C2564" s="6" t="s">
        <v>90</v>
      </c>
      <c r="D2564" s="6" t="s">
        <v>119</v>
      </c>
      <c r="E2564" s="6" t="s">
        <v>120</v>
      </c>
      <c r="F2564" s="7">
        <v>12</v>
      </c>
      <c r="G2564" s="7">
        <v>1500</v>
      </c>
      <c r="H2564" s="16">
        <v>45206</v>
      </c>
      <c r="I2564" s="6">
        <v>40</v>
      </c>
      <c r="J2564" s="6" t="s">
        <v>121</v>
      </c>
      <c r="K2564" s="6" t="s">
        <v>139</v>
      </c>
      <c r="L2564" s="11">
        <f>F2564*Controls!$B$6</f>
        <v>12</v>
      </c>
      <c r="M2564" s="11">
        <f>G2564*Controls!$B$6</f>
        <v>1500</v>
      </c>
      <c r="N2564" s="12">
        <f>IF(L2564=0,0,SUMIFS('PSI Plan'!$N$6:$N$173,'PSI Plan'!$B$6:$B$173,B2564,'PSI Plan'!$C$6:$C$173,I2564))</f>
        <v>0</v>
      </c>
      <c r="O2564" s="11">
        <f t="shared" si="80"/>
        <v>0</v>
      </c>
      <c r="P2564" s="11">
        <f t="shared" si="81"/>
        <v>0</v>
      </c>
      <c r="Q2564" s="6"/>
      <c r="R2564" s="6"/>
      <c r="S2564" s="6"/>
      <c r="T2564" s="6"/>
    </row>
    <row r="2565" spans="1:20">
      <c r="A2565" s="6" t="s">
        <v>2733</v>
      </c>
      <c r="B2565" s="6" t="s">
        <v>76</v>
      </c>
      <c r="C2565" s="6" t="s">
        <v>94</v>
      </c>
      <c r="D2565" s="6" t="s">
        <v>567</v>
      </c>
      <c r="E2565" s="6" t="s">
        <v>120</v>
      </c>
      <c r="F2565" s="7">
        <v>12</v>
      </c>
      <c r="G2565" s="7">
        <v>1500</v>
      </c>
      <c r="H2565" s="16">
        <v>45234</v>
      </c>
      <c r="I2565" s="6">
        <v>44</v>
      </c>
      <c r="J2565" s="6" t="s">
        <v>121</v>
      </c>
      <c r="K2565" s="6" t="s">
        <v>568</v>
      </c>
      <c r="L2565" s="11">
        <f>F2565*Controls!$B$6</f>
        <v>12</v>
      </c>
      <c r="M2565" s="11">
        <f>G2565*Controls!$B$6</f>
        <v>1500</v>
      </c>
      <c r="N2565" s="12">
        <f>IF(L2565=0,0,SUMIFS('PSI Plan'!$N$6:$N$173,'PSI Plan'!$B$6:$B$173,B2565,'PSI Plan'!$C$6:$C$173,I2565))</f>
        <v>0</v>
      </c>
      <c r="O2565" s="11">
        <f t="shared" si="80"/>
        <v>0</v>
      </c>
      <c r="P2565" s="11">
        <f t="shared" si="81"/>
        <v>0</v>
      </c>
      <c r="Q2565" s="6"/>
      <c r="R2565" s="6"/>
      <c r="S2565" s="6"/>
      <c r="T2565" s="6"/>
    </row>
    <row r="2566" spans="1:20">
      <c r="A2566" s="6" t="s">
        <v>2734</v>
      </c>
      <c r="B2566" s="6" t="s">
        <v>74</v>
      </c>
      <c r="C2566" s="6" t="s">
        <v>94</v>
      </c>
      <c r="D2566" s="6" t="s">
        <v>567</v>
      </c>
      <c r="E2566" s="6" t="s">
        <v>120</v>
      </c>
      <c r="F2566" s="7">
        <v>4</v>
      </c>
      <c r="G2566" s="7">
        <v>500</v>
      </c>
      <c r="H2566" s="16">
        <v>45266</v>
      </c>
      <c r="I2566" s="6">
        <v>49</v>
      </c>
      <c r="J2566" s="6" t="s">
        <v>121</v>
      </c>
      <c r="K2566" s="6" t="s">
        <v>568</v>
      </c>
      <c r="L2566" s="11">
        <f>F2566*Controls!$B$6</f>
        <v>4</v>
      </c>
      <c r="M2566" s="11">
        <f>G2566*Controls!$B$6</f>
        <v>500</v>
      </c>
      <c r="N2566" s="12">
        <f>IF(L2566=0,0,SUMIFS('PSI Plan'!$N$6:$N$173,'PSI Plan'!$B$6:$B$173,B2566,'PSI Plan'!$C$6:$C$173,I2566))</f>
        <v>0</v>
      </c>
      <c r="O2566" s="11">
        <f t="shared" si="80"/>
        <v>0</v>
      </c>
      <c r="P2566" s="11">
        <f t="shared" si="81"/>
        <v>0</v>
      </c>
      <c r="Q2566" s="6"/>
      <c r="R2566" s="6"/>
      <c r="S2566" s="6"/>
      <c r="T2566" s="6"/>
    </row>
    <row r="2567" spans="1:20">
      <c r="A2567" s="6" t="s">
        <v>2735</v>
      </c>
      <c r="B2567" s="6" t="s">
        <v>66</v>
      </c>
      <c r="C2567" s="6" t="s">
        <v>90</v>
      </c>
      <c r="D2567" s="6" t="s">
        <v>119</v>
      </c>
      <c r="E2567" s="6" t="s">
        <v>120</v>
      </c>
      <c r="F2567" s="7">
        <v>26</v>
      </c>
      <c r="G2567" s="7">
        <v>3250</v>
      </c>
      <c r="H2567" s="16">
        <v>45237</v>
      </c>
      <c r="I2567" s="6">
        <v>45</v>
      </c>
      <c r="J2567" s="6" t="s">
        <v>121</v>
      </c>
      <c r="K2567" s="6" t="s">
        <v>1695</v>
      </c>
      <c r="L2567" s="11">
        <f>F2567*Controls!$B$6</f>
        <v>26</v>
      </c>
      <c r="M2567" s="11">
        <f>G2567*Controls!$B$6</f>
        <v>3250</v>
      </c>
      <c r="N2567" s="12">
        <f>IF(L2567=0,0,SUMIFS('PSI Plan'!$N$6:$N$173,'PSI Plan'!$B$6:$B$173,B2567,'PSI Plan'!$C$6:$C$173,I2567))</f>
        <v>0</v>
      </c>
      <c r="O2567" s="11">
        <f t="shared" si="80"/>
        <v>0</v>
      </c>
      <c r="P2567" s="11">
        <f t="shared" si="81"/>
        <v>0</v>
      </c>
      <c r="Q2567" s="6"/>
      <c r="R2567" s="6"/>
      <c r="S2567" s="6"/>
      <c r="T2567" s="6"/>
    </row>
    <row r="2568" spans="1:20">
      <c r="A2568" s="6" t="s">
        <v>2736</v>
      </c>
      <c r="B2568" s="6" t="s">
        <v>77</v>
      </c>
      <c r="C2568" s="6" t="s">
        <v>90</v>
      </c>
      <c r="D2568" s="6" t="s">
        <v>119</v>
      </c>
      <c r="E2568" s="6" t="s">
        <v>120</v>
      </c>
      <c r="F2568" s="7">
        <v>26</v>
      </c>
      <c r="G2568" s="7">
        <v>3250</v>
      </c>
      <c r="H2568" s="16">
        <v>45212</v>
      </c>
      <c r="I2568" s="6">
        <v>41</v>
      </c>
      <c r="J2568" s="6" t="s">
        <v>121</v>
      </c>
      <c r="K2568" s="6" t="s">
        <v>1695</v>
      </c>
      <c r="L2568" s="11">
        <f>F2568*Controls!$B$6</f>
        <v>26</v>
      </c>
      <c r="M2568" s="11">
        <f>G2568*Controls!$B$6</f>
        <v>3250</v>
      </c>
      <c r="N2568" s="12">
        <f>IF(L2568=0,0,SUMIFS('PSI Plan'!$N$6:$N$173,'PSI Plan'!$B$6:$B$173,B2568,'PSI Plan'!$C$6:$C$173,I2568))</f>
        <v>0</v>
      </c>
      <c r="O2568" s="11">
        <f t="shared" si="80"/>
        <v>0</v>
      </c>
      <c r="P2568" s="11">
        <f t="shared" si="81"/>
        <v>0</v>
      </c>
      <c r="Q2568" s="6"/>
      <c r="R2568" s="6"/>
      <c r="S2568" s="6"/>
      <c r="T2568" s="6"/>
    </row>
    <row r="2569" spans="1:20">
      <c r="A2569" s="6" t="s">
        <v>2737</v>
      </c>
      <c r="B2569" s="6" t="s">
        <v>76</v>
      </c>
      <c r="C2569" s="6" t="s">
        <v>90</v>
      </c>
      <c r="D2569" s="6" t="s">
        <v>119</v>
      </c>
      <c r="E2569" s="6" t="s">
        <v>120</v>
      </c>
      <c r="F2569" s="7">
        <v>27</v>
      </c>
      <c r="G2569" s="7">
        <v>3375</v>
      </c>
      <c r="H2569" s="16">
        <v>45226</v>
      </c>
      <c r="I2569" s="6">
        <v>43</v>
      </c>
      <c r="J2569" s="6" t="s">
        <v>121</v>
      </c>
      <c r="K2569" s="6" t="s">
        <v>1695</v>
      </c>
      <c r="L2569" s="11">
        <f>F2569*Controls!$B$6</f>
        <v>27</v>
      </c>
      <c r="M2569" s="11">
        <f>G2569*Controls!$B$6</f>
        <v>3375</v>
      </c>
      <c r="N2569" s="12">
        <f>IF(L2569=0,0,SUMIFS('PSI Plan'!$N$6:$N$173,'PSI Plan'!$B$6:$B$173,B2569,'PSI Plan'!$C$6:$C$173,I2569))</f>
        <v>0</v>
      </c>
      <c r="O2569" s="11">
        <f t="shared" si="80"/>
        <v>0</v>
      </c>
      <c r="P2569" s="11">
        <f t="shared" si="81"/>
        <v>0</v>
      </c>
      <c r="Q2569" s="6"/>
      <c r="R2569" s="6"/>
      <c r="S2569" s="6"/>
      <c r="T2569" s="6"/>
    </row>
    <row r="2570" spans="1:20">
      <c r="A2570" s="6" t="s">
        <v>2738</v>
      </c>
      <c r="B2570" s="6" t="s">
        <v>69</v>
      </c>
      <c r="C2570" s="6" t="s">
        <v>90</v>
      </c>
      <c r="D2570" s="6" t="s">
        <v>119</v>
      </c>
      <c r="E2570" s="6" t="s">
        <v>120</v>
      </c>
      <c r="F2570" s="7">
        <v>26</v>
      </c>
      <c r="G2570" s="7">
        <v>3250</v>
      </c>
      <c r="H2570" s="16">
        <v>45246</v>
      </c>
      <c r="I2570" s="6">
        <v>46</v>
      </c>
      <c r="J2570" s="6" t="s">
        <v>121</v>
      </c>
      <c r="K2570" s="6" t="s">
        <v>1695</v>
      </c>
      <c r="L2570" s="11">
        <f>F2570*Controls!$B$6</f>
        <v>26</v>
      </c>
      <c r="M2570" s="11">
        <f>G2570*Controls!$B$6</f>
        <v>3250</v>
      </c>
      <c r="N2570" s="12">
        <f>IF(L2570=0,0,SUMIFS('PSI Plan'!$N$6:$N$173,'PSI Plan'!$B$6:$B$173,B2570,'PSI Plan'!$C$6:$C$173,I2570))</f>
        <v>0</v>
      </c>
      <c r="O2570" s="11">
        <f t="shared" si="80"/>
        <v>0</v>
      </c>
      <c r="P2570" s="11">
        <f t="shared" si="81"/>
        <v>0</v>
      </c>
      <c r="Q2570" s="6"/>
      <c r="R2570" s="6"/>
      <c r="S2570" s="6"/>
      <c r="T2570" s="6"/>
    </row>
    <row r="2571" spans="1:20">
      <c r="A2571" s="6" t="s">
        <v>2739</v>
      </c>
      <c r="B2571" s="6" t="s">
        <v>77</v>
      </c>
      <c r="C2571" s="6" t="s">
        <v>90</v>
      </c>
      <c r="D2571" s="6" t="s">
        <v>119</v>
      </c>
      <c r="E2571" s="6" t="s">
        <v>120</v>
      </c>
      <c r="F2571" s="7">
        <v>104</v>
      </c>
      <c r="G2571" s="7">
        <v>13000</v>
      </c>
      <c r="H2571" s="16">
        <v>45260</v>
      </c>
      <c r="I2571" s="6">
        <v>48</v>
      </c>
      <c r="J2571" s="6" t="s">
        <v>121</v>
      </c>
      <c r="K2571" s="6" t="s">
        <v>725</v>
      </c>
      <c r="L2571" s="11">
        <f>F2571*Controls!$B$6</f>
        <v>104</v>
      </c>
      <c r="M2571" s="11">
        <f>G2571*Controls!$B$6</f>
        <v>13000</v>
      </c>
      <c r="N2571" s="12">
        <f>IF(L2571=0,0,SUMIFS('PSI Plan'!$N$6:$N$173,'PSI Plan'!$B$6:$B$173,B2571,'PSI Plan'!$C$6:$C$173,I2571))</f>
        <v>0</v>
      </c>
      <c r="O2571" s="11">
        <f t="shared" si="80"/>
        <v>0</v>
      </c>
      <c r="P2571" s="11">
        <f t="shared" si="81"/>
        <v>0</v>
      </c>
      <c r="Q2571" s="6"/>
      <c r="R2571" s="6"/>
      <c r="S2571" s="6"/>
      <c r="T2571" s="6"/>
    </row>
    <row r="2572" spans="1:20">
      <c r="A2572" s="6" t="s">
        <v>2740</v>
      </c>
      <c r="B2572" s="6" t="s">
        <v>69</v>
      </c>
      <c r="C2572" s="6" t="s">
        <v>90</v>
      </c>
      <c r="D2572" s="6" t="s">
        <v>119</v>
      </c>
      <c r="E2572" s="6" t="s">
        <v>120</v>
      </c>
      <c r="F2572" s="7">
        <v>18</v>
      </c>
      <c r="G2572" s="7">
        <v>2250</v>
      </c>
      <c r="H2572" s="16">
        <v>45271</v>
      </c>
      <c r="I2572" s="6">
        <v>50</v>
      </c>
      <c r="J2572" s="6" t="s">
        <v>121</v>
      </c>
      <c r="K2572" s="6" t="s">
        <v>725</v>
      </c>
      <c r="L2572" s="11">
        <f>F2572*Controls!$B$6</f>
        <v>18</v>
      </c>
      <c r="M2572" s="11">
        <f>G2572*Controls!$B$6</f>
        <v>2250</v>
      </c>
      <c r="N2572" s="12">
        <f>IF(L2572=0,0,SUMIFS('PSI Plan'!$N$6:$N$173,'PSI Plan'!$B$6:$B$173,B2572,'PSI Plan'!$C$6:$C$173,I2572))</f>
        <v>0</v>
      </c>
      <c r="O2572" s="11">
        <f t="shared" si="80"/>
        <v>0</v>
      </c>
      <c r="P2572" s="11">
        <f t="shared" si="81"/>
        <v>0</v>
      </c>
      <c r="Q2572" s="6"/>
      <c r="R2572" s="6"/>
      <c r="S2572" s="6"/>
      <c r="T2572" s="6"/>
    </row>
    <row r="2573" spans="1:20">
      <c r="A2573" s="6" t="s">
        <v>2741</v>
      </c>
      <c r="B2573" s="6" t="s">
        <v>66</v>
      </c>
      <c r="C2573" s="6" t="s">
        <v>90</v>
      </c>
      <c r="D2573" s="6" t="s">
        <v>119</v>
      </c>
      <c r="E2573" s="6" t="s">
        <v>120</v>
      </c>
      <c r="F2573" s="7">
        <v>13</v>
      </c>
      <c r="G2573" s="7">
        <v>1625</v>
      </c>
      <c r="H2573" s="16">
        <v>45262</v>
      </c>
      <c r="I2573" s="6">
        <v>48</v>
      </c>
      <c r="J2573" s="6" t="s">
        <v>121</v>
      </c>
      <c r="K2573" s="6" t="s">
        <v>139</v>
      </c>
      <c r="L2573" s="11">
        <f>F2573*Controls!$B$6</f>
        <v>13</v>
      </c>
      <c r="M2573" s="11">
        <f>G2573*Controls!$B$6</f>
        <v>1625</v>
      </c>
      <c r="N2573" s="12">
        <f>IF(L2573=0,0,SUMIFS('PSI Plan'!$N$6:$N$173,'PSI Plan'!$B$6:$B$173,B2573,'PSI Plan'!$C$6:$C$173,I2573))</f>
        <v>0</v>
      </c>
      <c r="O2573" s="11">
        <f t="shared" si="80"/>
        <v>0</v>
      </c>
      <c r="P2573" s="11">
        <f t="shared" si="81"/>
        <v>0</v>
      </c>
      <c r="Q2573" s="6"/>
      <c r="R2573" s="6"/>
      <c r="S2573" s="6"/>
      <c r="T2573" s="6"/>
    </row>
    <row r="2574" spans="1:20">
      <c r="A2574" s="6" t="s">
        <v>2742</v>
      </c>
      <c r="B2574" s="6" t="s">
        <v>77</v>
      </c>
      <c r="C2574" s="6" t="s">
        <v>90</v>
      </c>
      <c r="D2574" s="6" t="s">
        <v>119</v>
      </c>
      <c r="E2574" s="6" t="s">
        <v>120</v>
      </c>
      <c r="F2574" s="7">
        <v>2</v>
      </c>
      <c r="G2574" s="7">
        <v>250</v>
      </c>
      <c r="H2574" s="16">
        <v>45229</v>
      </c>
      <c r="I2574" s="6">
        <v>44</v>
      </c>
      <c r="J2574" s="6" t="s">
        <v>121</v>
      </c>
      <c r="K2574" s="6" t="s">
        <v>139</v>
      </c>
      <c r="L2574" s="11">
        <f>F2574*Controls!$B$6</f>
        <v>2</v>
      </c>
      <c r="M2574" s="11">
        <f>G2574*Controls!$B$6</f>
        <v>250</v>
      </c>
      <c r="N2574" s="12">
        <f>IF(L2574=0,0,SUMIFS('PSI Plan'!$N$6:$N$173,'PSI Plan'!$B$6:$B$173,B2574,'PSI Plan'!$C$6:$C$173,I2574))</f>
        <v>0</v>
      </c>
      <c r="O2574" s="11">
        <f t="shared" si="80"/>
        <v>0</v>
      </c>
      <c r="P2574" s="11">
        <f t="shared" si="81"/>
        <v>0</v>
      </c>
      <c r="Q2574" s="6"/>
      <c r="R2574" s="6"/>
      <c r="S2574" s="6"/>
      <c r="T2574" s="6"/>
    </row>
    <row r="2575" spans="1:20">
      <c r="A2575" s="6" t="s">
        <v>2743</v>
      </c>
      <c r="B2575" s="6" t="s">
        <v>76</v>
      </c>
      <c r="C2575" s="6" t="s">
        <v>90</v>
      </c>
      <c r="D2575" s="6" t="s">
        <v>119</v>
      </c>
      <c r="E2575" s="6" t="s">
        <v>120</v>
      </c>
      <c r="F2575" s="7">
        <v>13</v>
      </c>
      <c r="G2575" s="7">
        <v>1625</v>
      </c>
      <c r="H2575" s="16">
        <v>45216</v>
      </c>
      <c r="I2575" s="6">
        <v>42</v>
      </c>
      <c r="J2575" s="6" t="s">
        <v>121</v>
      </c>
      <c r="K2575" s="6" t="s">
        <v>139</v>
      </c>
      <c r="L2575" s="11">
        <f>F2575*Controls!$B$6</f>
        <v>13</v>
      </c>
      <c r="M2575" s="11">
        <f>G2575*Controls!$B$6</f>
        <v>1625</v>
      </c>
      <c r="N2575" s="12">
        <f>IF(L2575=0,0,SUMIFS('PSI Plan'!$N$6:$N$173,'PSI Plan'!$B$6:$B$173,B2575,'PSI Plan'!$C$6:$C$173,I2575))</f>
        <v>0</v>
      </c>
      <c r="O2575" s="11">
        <f t="shared" si="80"/>
        <v>0</v>
      </c>
      <c r="P2575" s="11">
        <f t="shared" si="81"/>
        <v>0</v>
      </c>
      <c r="Q2575" s="6"/>
      <c r="R2575" s="6"/>
      <c r="S2575" s="6"/>
      <c r="T2575" s="6"/>
    </row>
    <row r="2576" spans="1:20">
      <c r="A2576" s="6" t="s">
        <v>2744</v>
      </c>
      <c r="B2576" s="6" t="s">
        <v>69</v>
      </c>
      <c r="C2576" s="6" t="s">
        <v>90</v>
      </c>
      <c r="D2576" s="6" t="s">
        <v>119</v>
      </c>
      <c r="E2576" s="6" t="s">
        <v>120</v>
      </c>
      <c r="F2576" s="7">
        <v>13</v>
      </c>
      <c r="G2576" s="7">
        <v>1625</v>
      </c>
      <c r="H2576" s="16">
        <v>45241</v>
      </c>
      <c r="I2576" s="6">
        <v>45</v>
      </c>
      <c r="J2576" s="6" t="s">
        <v>121</v>
      </c>
      <c r="K2576" s="6" t="s">
        <v>139</v>
      </c>
      <c r="L2576" s="11">
        <f>F2576*Controls!$B$6</f>
        <v>13</v>
      </c>
      <c r="M2576" s="11">
        <f>G2576*Controls!$B$6</f>
        <v>1625</v>
      </c>
      <c r="N2576" s="12">
        <f>IF(L2576=0,0,SUMIFS('PSI Plan'!$N$6:$N$173,'PSI Plan'!$B$6:$B$173,B2576,'PSI Plan'!$C$6:$C$173,I2576))</f>
        <v>0</v>
      </c>
      <c r="O2576" s="11">
        <f t="shared" si="80"/>
        <v>0</v>
      </c>
      <c r="P2576" s="11">
        <f t="shared" si="81"/>
        <v>0</v>
      </c>
      <c r="Q2576" s="6"/>
      <c r="R2576" s="6"/>
      <c r="S2576" s="6"/>
      <c r="T2576" s="6"/>
    </row>
    <row r="2577" spans="1:20">
      <c r="A2577" s="6" t="s">
        <v>2745</v>
      </c>
      <c r="B2577" s="6" t="s">
        <v>66</v>
      </c>
      <c r="C2577" s="6" t="s">
        <v>90</v>
      </c>
      <c r="D2577" s="6" t="s">
        <v>119</v>
      </c>
      <c r="E2577" s="6" t="s">
        <v>120</v>
      </c>
      <c r="F2577" s="7">
        <v>13</v>
      </c>
      <c r="G2577" s="7">
        <v>1625</v>
      </c>
      <c r="H2577" s="16">
        <v>45254</v>
      </c>
      <c r="I2577" s="6">
        <v>47</v>
      </c>
      <c r="J2577" s="6" t="s">
        <v>121</v>
      </c>
      <c r="K2577" s="6" t="s">
        <v>171</v>
      </c>
      <c r="L2577" s="11">
        <f>F2577*Controls!$B$6</f>
        <v>13</v>
      </c>
      <c r="M2577" s="11">
        <f>G2577*Controls!$B$6</f>
        <v>1625</v>
      </c>
      <c r="N2577" s="12">
        <f>IF(L2577=0,0,SUMIFS('PSI Plan'!$N$6:$N$173,'PSI Plan'!$B$6:$B$173,B2577,'PSI Plan'!$C$6:$C$173,I2577))</f>
        <v>0</v>
      </c>
      <c r="O2577" s="11">
        <f t="shared" si="80"/>
        <v>0</v>
      </c>
      <c r="P2577" s="11">
        <f t="shared" si="81"/>
        <v>0</v>
      </c>
      <c r="Q2577" s="6"/>
      <c r="R2577" s="6"/>
      <c r="S2577" s="6"/>
      <c r="T2577" s="6"/>
    </row>
    <row r="2578" spans="1:20">
      <c r="A2578" s="6" t="s">
        <v>2746</v>
      </c>
      <c r="B2578" s="6" t="s">
        <v>77</v>
      </c>
      <c r="C2578" s="6" t="s">
        <v>90</v>
      </c>
      <c r="D2578" s="6" t="s">
        <v>119</v>
      </c>
      <c r="E2578" s="6" t="s">
        <v>120</v>
      </c>
      <c r="F2578" s="7">
        <v>13</v>
      </c>
      <c r="G2578" s="7">
        <v>1625</v>
      </c>
      <c r="H2578" s="16">
        <v>45289</v>
      </c>
      <c r="I2578" s="6">
        <v>52</v>
      </c>
      <c r="J2578" s="6" t="s">
        <v>121</v>
      </c>
      <c r="K2578" s="6" t="s">
        <v>171</v>
      </c>
      <c r="L2578" s="11">
        <f>F2578*Controls!$B$6</f>
        <v>13</v>
      </c>
      <c r="M2578" s="11">
        <f>G2578*Controls!$B$6</f>
        <v>1625</v>
      </c>
      <c r="N2578" s="12">
        <f>IF(L2578=0,0,SUMIFS('PSI Plan'!$N$6:$N$173,'PSI Plan'!$B$6:$B$173,B2578,'PSI Plan'!$C$6:$C$173,I2578))</f>
        <v>0</v>
      </c>
      <c r="O2578" s="11">
        <f t="shared" si="80"/>
        <v>0</v>
      </c>
      <c r="P2578" s="11">
        <f t="shared" si="81"/>
        <v>0</v>
      </c>
      <c r="Q2578" s="6"/>
      <c r="R2578" s="6"/>
      <c r="S2578" s="6"/>
      <c r="T2578" s="6"/>
    </row>
    <row r="2579" spans="1:20">
      <c r="A2579" s="6" t="s">
        <v>2747</v>
      </c>
      <c r="B2579" s="6" t="s">
        <v>69</v>
      </c>
      <c r="C2579" s="6" t="s">
        <v>90</v>
      </c>
      <c r="D2579" s="6" t="s">
        <v>119</v>
      </c>
      <c r="E2579" s="6" t="s">
        <v>120</v>
      </c>
      <c r="F2579" s="7">
        <v>26</v>
      </c>
      <c r="G2579" s="7">
        <v>3250</v>
      </c>
      <c r="H2579" s="16">
        <v>45259</v>
      </c>
      <c r="I2579" s="6">
        <v>48</v>
      </c>
      <c r="J2579" s="6" t="s">
        <v>121</v>
      </c>
      <c r="K2579" s="6" t="s">
        <v>171</v>
      </c>
      <c r="L2579" s="11">
        <f>F2579*Controls!$B$6</f>
        <v>26</v>
      </c>
      <c r="M2579" s="11">
        <f>G2579*Controls!$B$6</f>
        <v>3250</v>
      </c>
      <c r="N2579" s="12">
        <f>IF(L2579=0,0,SUMIFS('PSI Plan'!$N$6:$N$173,'PSI Plan'!$B$6:$B$173,B2579,'PSI Plan'!$C$6:$C$173,I2579))</f>
        <v>0</v>
      </c>
      <c r="O2579" s="11">
        <f t="shared" si="80"/>
        <v>0</v>
      </c>
      <c r="P2579" s="11">
        <f t="shared" si="81"/>
        <v>0</v>
      </c>
      <c r="Q2579" s="6"/>
      <c r="R2579" s="6"/>
      <c r="S2579" s="6"/>
      <c r="T2579" s="6"/>
    </row>
    <row r="2580" spans="1:20">
      <c r="A2580" s="6" t="s">
        <v>2748</v>
      </c>
      <c r="B2580" s="6" t="s">
        <v>76</v>
      </c>
      <c r="C2580" s="6" t="s">
        <v>94</v>
      </c>
      <c r="D2580" s="6" t="s">
        <v>567</v>
      </c>
      <c r="E2580" s="6" t="s">
        <v>120</v>
      </c>
      <c r="F2580" s="7">
        <v>20</v>
      </c>
      <c r="G2580" s="7">
        <v>2500</v>
      </c>
      <c r="H2580" s="16">
        <v>45228</v>
      </c>
      <c r="I2580" s="6">
        <v>44</v>
      </c>
      <c r="J2580" s="6" t="s">
        <v>2151</v>
      </c>
      <c r="K2580" s="6" t="s">
        <v>2526</v>
      </c>
      <c r="L2580" s="11">
        <f>F2580*Controls!$B$6</f>
        <v>20</v>
      </c>
      <c r="M2580" s="11">
        <f>G2580*Controls!$B$6</f>
        <v>2500</v>
      </c>
      <c r="N2580" s="12">
        <f>IF(L2580=0,0,SUMIFS('PSI Plan'!$N$6:$N$173,'PSI Plan'!$B$6:$B$173,B2580,'PSI Plan'!$C$6:$C$173,I2580))</f>
        <v>0</v>
      </c>
      <c r="O2580" s="11">
        <f t="shared" si="80"/>
        <v>0</v>
      </c>
      <c r="P2580" s="11">
        <f t="shared" si="81"/>
        <v>0</v>
      </c>
      <c r="Q2580" s="6"/>
      <c r="R2580" s="6"/>
      <c r="S2580" s="6"/>
      <c r="T2580" s="6"/>
    </row>
    <row r="2581" spans="1:20">
      <c r="A2581" s="6" t="s">
        <v>2749</v>
      </c>
      <c r="B2581" s="6" t="s">
        <v>74</v>
      </c>
      <c r="C2581" s="6" t="s">
        <v>94</v>
      </c>
      <c r="D2581" s="6" t="s">
        <v>567</v>
      </c>
      <c r="E2581" s="6" t="s">
        <v>120</v>
      </c>
      <c r="F2581" s="7">
        <v>30</v>
      </c>
      <c r="G2581" s="7">
        <v>3750</v>
      </c>
      <c r="H2581" s="16">
        <v>45263</v>
      </c>
      <c r="I2581" s="6">
        <v>49</v>
      </c>
      <c r="J2581" s="6" t="s">
        <v>2151</v>
      </c>
      <c r="K2581" s="6" t="s">
        <v>2526</v>
      </c>
      <c r="L2581" s="11">
        <f>F2581*Controls!$B$6</f>
        <v>30</v>
      </c>
      <c r="M2581" s="11">
        <f>G2581*Controls!$B$6</f>
        <v>3750</v>
      </c>
      <c r="N2581" s="12">
        <f>IF(L2581=0,0,SUMIFS('PSI Plan'!$N$6:$N$173,'PSI Plan'!$B$6:$B$173,B2581,'PSI Plan'!$C$6:$C$173,I2581))</f>
        <v>0</v>
      </c>
      <c r="O2581" s="11">
        <f t="shared" si="80"/>
        <v>0</v>
      </c>
      <c r="P2581" s="11">
        <f t="shared" si="81"/>
        <v>0</v>
      </c>
      <c r="Q2581" s="6"/>
      <c r="R2581" s="6"/>
      <c r="S2581" s="6"/>
      <c r="T2581" s="6"/>
    </row>
    <row r="2582" spans="1:20">
      <c r="A2582" s="6" t="s">
        <v>2750</v>
      </c>
      <c r="B2582" s="6" t="s">
        <v>66</v>
      </c>
      <c r="C2582" s="6" t="s">
        <v>100</v>
      </c>
      <c r="D2582" s="6" t="s">
        <v>567</v>
      </c>
      <c r="E2582" s="6" t="s">
        <v>120</v>
      </c>
      <c r="F2582" s="7">
        <v>12</v>
      </c>
      <c r="G2582" s="7">
        <v>1500</v>
      </c>
      <c r="H2582" s="16">
        <v>45223</v>
      </c>
      <c r="I2582" s="6">
        <v>43</v>
      </c>
      <c r="J2582" s="6" t="s">
        <v>121</v>
      </c>
      <c r="K2582" s="6" t="s">
        <v>568</v>
      </c>
      <c r="L2582" s="11">
        <f>F2582*Controls!$B$6</f>
        <v>12</v>
      </c>
      <c r="M2582" s="11">
        <f>G2582*Controls!$B$6</f>
        <v>1500</v>
      </c>
      <c r="N2582" s="12">
        <f>IF(L2582=0,0,SUMIFS('PSI Plan'!$N$6:$N$173,'PSI Plan'!$B$6:$B$173,B2582,'PSI Plan'!$C$6:$C$173,I2582))</f>
        <v>0</v>
      </c>
      <c r="O2582" s="11">
        <f t="shared" si="80"/>
        <v>0</v>
      </c>
      <c r="P2582" s="11">
        <f t="shared" si="81"/>
        <v>0</v>
      </c>
      <c r="Q2582" s="6"/>
      <c r="R2582" s="6"/>
      <c r="S2582" s="6"/>
      <c r="T2582" s="6"/>
    </row>
    <row r="2583" spans="1:20">
      <c r="A2583" s="6" t="s">
        <v>2751</v>
      </c>
      <c r="B2583" s="6" t="s">
        <v>77</v>
      </c>
      <c r="C2583" s="6" t="s">
        <v>100</v>
      </c>
      <c r="D2583" s="6" t="s">
        <v>567</v>
      </c>
      <c r="E2583" s="6" t="s">
        <v>120</v>
      </c>
      <c r="F2583" s="7">
        <v>8</v>
      </c>
      <c r="G2583" s="7">
        <v>1000</v>
      </c>
      <c r="H2583" s="16">
        <v>45272</v>
      </c>
      <c r="I2583" s="6">
        <v>50</v>
      </c>
      <c r="J2583" s="6" t="s">
        <v>121</v>
      </c>
      <c r="K2583" s="6" t="s">
        <v>568</v>
      </c>
      <c r="L2583" s="11">
        <f>F2583*Controls!$B$6</f>
        <v>8</v>
      </c>
      <c r="M2583" s="11">
        <f>G2583*Controls!$B$6</f>
        <v>1000</v>
      </c>
      <c r="N2583" s="12">
        <f>IF(L2583=0,0,SUMIFS('PSI Plan'!$N$6:$N$173,'PSI Plan'!$B$6:$B$173,B2583,'PSI Plan'!$C$6:$C$173,I2583))</f>
        <v>0</v>
      </c>
      <c r="O2583" s="11">
        <f t="shared" si="80"/>
        <v>0</v>
      </c>
      <c r="P2583" s="11">
        <f t="shared" si="81"/>
        <v>0</v>
      </c>
      <c r="Q2583" s="6"/>
      <c r="R2583" s="6"/>
      <c r="S2583" s="6"/>
      <c r="T2583" s="6"/>
    </row>
    <row r="2584" spans="1:20">
      <c r="A2584" s="6" t="s">
        <v>2752</v>
      </c>
      <c r="B2584" s="6" t="s">
        <v>66</v>
      </c>
      <c r="C2584" s="6" t="s">
        <v>93</v>
      </c>
      <c r="D2584" s="6" t="s">
        <v>1895</v>
      </c>
      <c r="E2584" s="6" t="s">
        <v>120</v>
      </c>
      <c r="F2584" s="7">
        <v>52</v>
      </c>
      <c r="G2584" s="7">
        <v>6500</v>
      </c>
      <c r="H2584" s="16">
        <v>45202</v>
      </c>
      <c r="I2584" s="6">
        <v>40</v>
      </c>
      <c r="J2584" s="6" t="s">
        <v>1791</v>
      </c>
      <c r="K2584" s="6" t="s">
        <v>1896</v>
      </c>
      <c r="L2584" s="11">
        <f>F2584*Controls!$B$6</f>
        <v>52</v>
      </c>
      <c r="M2584" s="11">
        <f>G2584*Controls!$B$6</f>
        <v>6500</v>
      </c>
      <c r="N2584" s="12">
        <f>IF(L2584=0,0,SUMIFS('PSI Plan'!$N$6:$N$173,'PSI Plan'!$B$6:$B$173,B2584,'PSI Plan'!$C$6:$C$173,I2584))</f>
        <v>0</v>
      </c>
      <c r="O2584" s="11">
        <f t="shared" si="80"/>
        <v>0</v>
      </c>
      <c r="P2584" s="11">
        <f t="shared" si="81"/>
        <v>0</v>
      </c>
      <c r="Q2584" s="6"/>
      <c r="R2584" s="6"/>
      <c r="S2584" s="6"/>
      <c r="T2584" s="6"/>
    </row>
    <row r="2585" spans="1:20">
      <c r="A2585" s="6" t="s">
        <v>2753</v>
      </c>
      <c r="B2585" s="6" t="s">
        <v>66</v>
      </c>
      <c r="C2585" s="6" t="s">
        <v>93</v>
      </c>
      <c r="D2585" s="6" t="s">
        <v>1895</v>
      </c>
      <c r="E2585" s="6" t="s">
        <v>120</v>
      </c>
      <c r="F2585" s="7">
        <v>52</v>
      </c>
      <c r="G2585" s="7">
        <v>6500</v>
      </c>
      <c r="H2585" s="16">
        <v>45243</v>
      </c>
      <c r="I2585" s="6">
        <v>46</v>
      </c>
      <c r="J2585" s="6" t="s">
        <v>1791</v>
      </c>
      <c r="K2585" s="6" t="s">
        <v>1896</v>
      </c>
      <c r="L2585" s="11">
        <f>F2585*Controls!$B$6</f>
        <v>52</v>
      </c>
      <c r="M2585" s="11">
        <f>G2585*Controls!$B$6</f>
        <v>6500</v>
      </c>
      <c r="N2585" s="12">
        <f>IF(L2585=0,0,SUMIFS('PSI Plan'!$N$6:$N$173,'PSI Plan'!$B$6:$B$173,B2585,'PSI Plan'!$C$6:$C$173,I2585))</f>
        <v>0</v>
      </c>
      <c r="O2585" s="11">
        <f t="shared" si="80"/>
        <v>0</v>
      </c>
      <c r="P2585" s="11">
        <f t="shared" si="81"/>
        <v>0</v>
      </c>
      <c r="Q2585" s="6"/>
      <c r="R2585" s="6"/>
      <c r="S2585" s="6"/>
      <c r="T2585" s="6"/>
    </row>
    <row r="2586" spans="1:20">
      <c r="A2586" s="6" t="s">
        <v>2754</v>
      </c>
      <c r="B2586" s="6" t="s">
        <v>76</v>
      </c>
      <c r="C2586" s="6" t="s">
        <v>93</v>
      </c>
      <c r="D2586" s="6" t="s">
        <v>1895</v>
      </c>
      <c r="E2586" s="6" t="s">
        <v>120</v>
      </c>
      <c r="F2586" s="7">
        <v>52</v>
      </c>
      <c r="G2586" s="7">
        <v>6500</v>
      </c>
      <c r="H2586" s="16">
        <v>45235</v>
      </c>
      <c r="I2586" s="6">
        <v>45</v>
      </c>
      <c r="J2586" s="6" t="s">
        <v>1791</v>
      </c>
      <c r="K2586" s="6" t="s">
        <v>1896</v>
      </c>
      <c r="L2586" s="11">
        <f>F2586*Controls!$B$6</f>
        <v>52</v>
      </c>
      <c r="M2586" s="11">
        <f>G2586*Controls!$B$6</f>
        <v>6500</v>
      </c>
      <c r="N2586" s="12">
        <f>IF(L2586=0,0,SUMIFS('PSI Plan'!$N$6:$N$173,'PSI Plan'!$B$6:$B$173,B2586,'PSI Plan'!$C$6:$C$173,I2586))</f>
        <v>0</v>
      </c>
      <c r="O2586" s="11">
        <f t="shared" si="80"/>
        <v>0</v>
      </c>
      <c r="P2586" s="11">
        <f t="shared" si="81"/>
        <v>0</v>
      </c>
      <c r="Q2586" s="6"/>
      <c r="R2586" s="6"/>
      <c r="S2586" s="6"/>
      <c r="T2586" s="6"/>
    </row>
    <row r="2587" spans="1:20">
      <c r="A2587" s="6" t="s">
        <v>2755</v>
      </c>
      <c r="B2587" s="6" t="s">
        <v>66</v>
      </c>
      <c r="C2587" s="6" t="s">
        <v>91</v>
      </c>
      <c r="D2587" s="6" t="s">
        <v>567</v>
      </c>
      <c r="E2587" s="6" t="s">
        <v>120</v>
      </c>
      <c r="F2587" s="7">
        <v>20</v>
      </c>
      <c r="G2587" s="7">
        <v>2500</v>
      </c>
      <c r="H2587" s="16">
        <v>45258</v>
      </c>
      <c r="I2587" s="6">
        <v>48</v>
      </c>
      <c r="J2587" s="6" t="s">
        <v>2151</v>
      </c>
      <c r="K2587" s="6" t="s">
        <v>2526</v>
      </c>
      <c r="L2587" s="11">
        <f>F2587*Controls!$B$6</f>
        <v>20</v>
      </c>
      <c r="M2587" s="11">
        <f>G2587*Controls!$B$6</f>
        <v>2500</v>
      </c>
      <c r="N2587" s="12">
        <f>IF(L2587=0,0,SUMIFS('PSI Plan'!$N$6:$N$173,'PSI Plan'!$B$6:$B$173,B2587,'PSI Plan'!$C$6:$C$173,I2587))</f>
        <v>0</v>
      </c>
      <c r="O2587" s="11">
        <f t="shared" si="80"/>
        <v>0</v>
      </c>
      <c r="P2587" s="11">
        <f t="shared" si="81"/>
        <v>0</v>
      </c>
      <c r="Q2587" s="6"/>
      <c r="R2587" s="6"/>
      <c r="S2587" s="6"/>
      <c r="T2587" s="6"/>
    </row>
    <row r="2588" spans="1:20">
      <c r="A2588" s="6" t="s">
        <v>2756</v>
      </c>
      <c r="B2588" s="6" t="s">
        <v>66</v>
      </c>
      <c r="C2588" s="6" t="s">
        <v>91</v>
      </c>
      <c r="D2588" s="6" t="s">
        <v>567</v>
      </c>
      <c r="E2588" s="6" t="s">
        <v>120</v>
      </c>
      <c r="F2588" s="7">
        <v>60</v>
      </c>
      <c r="G2588" s="7">
        <v>7500</v>
      </c>
      <c r="H2588" s="16">
        <v>45252</v>
      </c>
      <c r="I2588" s="6">
        <v>47</v>
      </c>
      <c r="J2588" s="6" t="s">
        <v>2151</v>
      </c>
      <c r="K2588" s="6" t="s">
        <v>2526</v>
      </c>
      <c r="L2588" s="11">
        <f>F2588*Controls!$B$6</f>
        <v>60</v>
      </c>
      <c r="M2588" s="11">
        <f>G2588*Controls!$B$6</f>
        <v>7500</v>
      </c>
      <c r="N2588" s="12">
        <f>IF(L2588=0,0,SUMIFS('PSI Plan'!$N$6:$N$173,'PSI Plan'!$B$6:$B$173,B2588,'PSI Plan'!$C$6:$C$173,I2588))</f>
        <v>0</v>
      </c>
      <c r="O2588" s="11">
        <f t="shared" si="80"/>
        <v>0</v>
      </c>
      <c r="P2588" s="11">
        <f t="shared" si="81"/>
        <v>0</v>
      </c>
      <c r="Q2588" s="6"/>
      <c r="R2588" s="6"/>
      <c r="S2588" s="6"/>
      <c r="T2588" s="6"/>
    </row>
    <row r="2589" spans="1:20">
      <c r="A2589" s="6" t="s">
        <v>2757</v>
      </c>
      <c r="B2589" s="6" t="s">
        <v>69</v>
      </c>
      <c r="C2589" s="6" t="s">
        <v>91</v>
      </c>
      <c r="D2589" s="6" t="s">
        <v>567</v>
      </c>
      <c r="E2589" s="6" t="s">
        <v>120</v>
      </c>
      <c r="F2589" s="7">
        <v>20</v>
      </c>
      <c r="G2589" s="7">
        <v>2500</v>
      </c>
      <c r="H2589" s="16">
        <v>45218</v>
      </c>
      <c r="I2589" s="6">
        <v>42</v>
      </c>
      <c r="J2589" s="6" t="s">
        <v>2151</v>
      </c>
      <c r="K2589" s="6" t="s">
        <v>2526</v>
      </c>
      <c r="L2589" s="11">
        <f>F2589*Controls!$B$6</f>
        <v>20</v>
      </c>
      <c r="M2589" s="11">
        <f>G2589*Controls!$B$6</f>
        <v>2500</v>
      </c>
      <c r="N2589" s="12">
        <f>IF(L2589=0,0,SUMIFS('PSI Plan'!$N$6:$N$173,'PSI Plan'!$B$6:$B$173,B2589,'PSI Plan'!$C$6:$C$173,I2589))</f>
        <v>0</v>
      </c>
      <c r="O2589" s="11">
        <f t="shared" si="80"/>
        <v>0</v>
      </c>
      <c r="P2589" s="11">
        <f t="shared" si="81"/>
        <v>0</v>
      </c>
      <c r="Q2589" s="6"/>
      <c r="R2589" s="6"/>
      <c r="S2589" s="6"/>
      <c r="T2589" s="6"/>
    </row>
    <row r="2590" spans="1:20">
      <c r="A2590" s="6" t="s">
        <v>2758</v>
      </c>
      <c r="B2590" s="6" t="s">
        <v>67</v>
      </c>
      <c r="C2590" s="6" t="s">
        <v>93</v>
      </c>
      <c r="D2590" s="6" t="s">
        <v>1895</v>
      </c>
      <c r="E2590" s="6" t="s">
        <v>120</v>
      </c>
      <c r="F2590" s="7">
        <v>52</v>
      </c>
      <c r="G2590" s="7">
        <v>6500</v>
      </c>
      <c r="H2590" s="16">
        <v>45220</v>
      </c>
      <c r="I2590" s="6">
        <v>42</v>
      </c>
      <c r="J2590" s="6" t="s">
        <v>1791</v>
      </c>
      <c r="K2590" s="6" t="s">
        <v>1896</v>
      </c>
      <c r="L2590" s="11">
        <f>F2590*Controls!$B$6</f>
        <v>52</v>
      </c>
      <c r="M2590" s="11">
        <f>G2590*Controls!$B$6</f>
        <v>6500</v>
      </c>
      <c r="N2590" s="12">
        <f>IF(L2590=0,0,SUMIFS('PSI Plan'!$N$6:$N$173,'PSI Plan'!$B$6:$B$173,B2590,'PSI Plan'!$C$6:$C$173,I2590))</f>
        <v>0</v>
      </c>
      <c r="O2590" s="11">
        <f t="shared" si="80"/>
        <v>0</v>
      </c>
      <c r="P2590" s="11">
        <f t="shared" si="81"/>
        <v>0</v>
      </c>
      <c r="Q2590" s="6"/>
      <c r="R2590" s="6"/>
      <c r="S2590" s="6"/>
      <c r="T2590" s="6"/>
    </row>
    <row r="2591" spans="1:20">
      <c r="A2591" s="6" t="s">
        <v>2759</v>
      </c>
      <c r="B2591" s="6" t="s">
        <v>66</v>
      </c>
      <c r="C2591" s="6" t="s">
        <v>90</v>
      </c>
      <c r="D2591" s="6" t="s">
        <v>119</v>
      </c>
      <c r="E2591" s="6" t="s">
        <v>120</v>
      </c>
      <c r="F2591" s="7">
        <v>6</v>
      </c>
      <c r="G2591" s="7">
        <v>750</v>
      </c>
      <c r="H2591" s="16">
        <v>45219</v>
      </c>
      <c r="I2591" s="6">
        <v>42</v>
      </c>
      <c r="J2591" s="6" t="s">
        <v>121</v>
      </c>
      <c r="K2591" s="6" t="s">
        <v>298</v>
      </c>
      <c r="L2591" s="11">
        <f>F2591*Controls!$B$6</f>
        <v>6</v>
      </c>
      <c r="M2591" s="11">
        <f>G2591*Controls!$B$6</f>
        <v>750</v>
      </c>
      <c r="N2591" s="12">
        <f>IF(L2591=0,0,SUMIFS('PSI Plan'!$N$6:$N$173,'PSI Plan'!$B$6:$B$173,B2591,'PSI Plan'!$C$6:$C$173,I2591))</f>
        <v>0.59807073954983925</v>
      </c>
      <c r="O2591" s="11">
        <f t="shared" si="80"/>
        <v>3.5884244372990355</v>
      </c>
      <c r="P2591" s="11">
        <f t="shared" si="81"/>
        <v>448.55305466237945</v>
      </c>
      <c r="Q2591" s="6"/>
      <c r="R2591" s="6"/>
      <c r="S2591" s="6"/>
      <c r="T2591" s="6"/>
    </row>
    <row r="2592" spans="1:20">
      <c r="A2592" s="6" t="s">
        <v>2760</v>
      </c>
      <c r="B2592" s="6" t="s">
        <v>76</v>
      </c>
      <c r="C2592" s="6" t="s">
        <v>90</v>
      </c>
      <c r="D2592" s="6" t="s">
        <v>119</v>
      </c>
      <c r="E2592" s="6" t="s">
        <v>120</v>
      </c>
      <c r="F2592" s="7">
        <v>7</v>
      </c>
      <c r="G2592" s="7">
        <v>875</v>
      </c>
      <c r="H2592" s="16">
        <v>45233</v>
      </c>
      <c r="I2592" s="6">
        <v>44</v>
      </c>
      <c r="J2592" s="6" t="s">
        <v>121</v>
      </c>
      <c r="K2592" s="6" t="s">
        <v>298</v>
      </c>
      <c r="L2592" s="11">
        <f>F2592*Controls!$B$6</f>
        <v>7</v>
      </c>
      <c r="M2592" s="11">
        <f>G2592*Controls!$B$6</f>
        <v>875</v>
      </c>
      <c r="N2592" s="12">
        <f>IF(L2592=0,0,SUMIFS('PSI Plan'!$N$6:$N$173,'PSI Plan'!$B$6:$B$173,B2592,'PSI Plan'!$C$6:$C$173,I2592))</f>
        <v>0</v>
      </c>
      <c r="O2592" s="11">
        <f t="shared" si="80"/>
        <v>0</v>
      </c>
      <c r="P2592" s="11">
        <f t="shared" si="81"/>
        <v>0</v>
      </c>
      <c r="Q2592" s="6"/>
      <c r="R2592" s="6"/>
      <c r="S2592" s="6"/>
      <c r="T2592" s="6"/>
    </row>
    <row r="2593" spans="1:20">
      <c r="A2593" s="6" t="s">
        <v>2761</v>
      </c>
      <c r="B2593" s="6" t="s">
        <v>77</v>
      </c>
      <c r="C2593" s="6" t="s">
        <v>90</v>
      </c>
      <c r="D2593" s="6" t="s">
        <v>119</v>
      </c>
      <c r="E2593" s="6" t="s">
        <v>120</v>
      </c>
      <c r="F2593" s="7">
        <v>52</v>
      </c>
      <c r="G2593" s="7">
        <v>6500</v>
      </c>
      <c r="H2593" s="16">
        <v>45286</v>
      </c>
      <c r="I2593" s="6">
        <v>52</v>
      </c>
      <c r="J2593" s="6" t="s">
        <v>121</v>
      </c>
      <c r="K2593" s="6" t="s">
        <v>725</v>
      </c>
      <c r="L2593" s="11">
        <f>F2593*Controls!$B$6</f>
        <v>52</v>
      </c>
      <c r="M2593" s="11">
        <f>G2593*Controls!$B$6</f>
        <v>6500</v>
      </c>
      <c r="N2593" s="12">
        <f>IF(L2593=0,0,SUMIFS('PSI Plan'!$N$6:$N$173,'PSI Plan'!$B$6:$B$173,B2593,'PSI Plan'!$C$6:$C$173,I2593))</f>
        <v>0</v>
      </c>
      <c r="O2593" s="11">
        <f t="shared" si="80"/>
        <v>0</v>
      </c>
      <c r="P2593" s="11">
        <f t="shared" si="81"/>
        <v>0</v>
      </c>
      <c r="Q2593" s="6"/>
      <c r="R2593" s="6"/>
      <c r="S2593" s="6"/>
      <c r="T2593" s="6"/>
    </row>
    <row r="2594" spans="1:20">
      <c r="A2594" s="6" t="s">
        <v>2762</v>
      </c>
      <c r="B2594" s="6" t="s">
        <v>69</v>
      </c>
      <c r="C2594" s="6" t="s">
        <v>90</v>
      </c>
      <c r="D2594" s="6" t="s">
        <v>119</v>
      </c>
      <c r="E2594" s="6" t="s">
        <v>120</v>
      </c>
      <c r="F2594" s="7">
        <v>52</v>
      </c>
      <c r="G2594" s="7">
        <v>6500</v>
      </c>
      <c r="H2594" s="16">
        <v>45257</v>
      </c>
      <c r="I2594" s="6">
        <v>48</v>
      </c>
      <c r="J2594" s="6" t="s">
        <v>121</v>
      </c>
      <c r="K2594" s="6" t="s">
        <v>725</v>
      </c>
      <c r="L2594" s="11">
        <f>F2594*Controls!$B$6</f>
        <v>52</v>
      </c>
      <c r="M2594" s="11">
        <f>G2594*Controls!$B$6</f>
        <v>6500</v>
      </c>
      <c r="N2594" s="12">
        <f>IF(L2594=0,0,SUMIFS('PSI Plan'!$N$6:$N$173,'PSI Plan'!$B$6:$B$173,B2594,'PSI Plan'!$C$6:$C$173,I2594))</f>
        <v>0</v>
      </c>
      <c r="O2594" s="11">
        <f t="shared" si="80"/>
        <v>0</v>
      </c>
      <c r="P2594" s="11">
        <f t="shared" si="81"/>
        <v>0</v>
      </c>
      <c r="Q2594" s="6"/>
      <c r="R2594" s="6"/>
      <c r="S2594" s="6"/>
      <c r="T2594" s="6"/>
    </row>
    <row r="2595" spans="1:20">
      <c r="A2595" s="6" t="s">
        <v>2763</v>
      </c>
      <c r="B2595" s="6" t="s">
        <v>77</v>
      </c>
      <c r="C2595" s="6" t="s">
        <v>90</v>
      </c>
      <c r="D2595" s="6" t="s">
        <v>119</v>
      </c>
      <c r="E2595" s="6" t="s">
        <v>120</v>
      </c>
      <c r="F2595" s="7">
        <v>52</v>
      </c>
      <c r="G2595" s="7">
        <v>6500</v>
      </c>
      <c r="H2595" s="16">
        <v>45202</v>
      </c>
      <c r="I2595" s="6">
        <v>40</v>
      </c>
      <c r="J2595" s="6" t="s">
        <v>121</v>
      </c>
      <c r="K2595" s="6" t="s">
        <v>122</v>
      </c>
      <c r="L2595" s="11">
        <f>F2595*Controls!$B$6</f>
        <v>52</v>
      </c>
      <c r="M2595" s="11">
        <f>G2595*Controls!$B$6</f>
        <v>6500</v>
      </c>
      <c r="N2595" s="12">
        <f>IF(L2595=0,0,SUMIFS('PSI Plan'!$N$6:$N$173,'PSI Plan'!$B$6:$B$173,B2595,'PSI Plan'!$C$6:$C$173,I2595))</f>
        <v>0</v>
      </c>
      <c r="O2595" s="11">
        <f t="shared" si="80"/>
        <v>0</v>
      </c>
      <c r="P2595" s="11">
        <f t="shared" si="81"/>
        <v>0</v>
      </c>
      <c r="Q2595" s="6"/>
      <c r="R2595" s="6"/>
      <c r="S2595" s="6"/>
      <c r="T2595" s="6"/>
    </row>
    <row r="2596" spans="1:20">
      <c r="A2596" s="6" t="s">
        <v>2764</v>
      </c>
      <c r="B2596" s="6" t="s">
        <v>67</v>
      </c>
      <c r="C2596" s="6" t="s">
        <v>90</v>
      </c>
      <c r="D2596" s="6" t="s">
        <v>119</v>
      </c>
      <c r="E2596" s="6" t="s">
        <v>120</v>
      </c>
      <c r="F2596" s="7">
        <v>4</v>
      </c>
      <c r="G2596" s="7">
        <v>500</v>
      </c>
      <c r="H2596" s="16">
        <v>45261</v>
      </c>
      <c r="I2596" s="6">
        <v>48</v>
      </c>
      <c r="J2596" s="6" t="s">
        <v>121</v>
      </c>
      <c r="K2596" s="6" t="s">
        <v>122</v>
      </c>
      <c r="L2596" s="11">
        <f>F2596*Controls!$B$6</f>
        <v>4</v>
      </c>
      <c r="M2596" s="11">
        <f>G2596*Controls!$B$6</f>
        <v>500</v>
      </c>
      <c r="N2596" s="12">
        <f>IF(L2596=0,0,SUMIFS('PSI Plan'!$N$6:$N$173,'PSI Plan'!$B$6:$B$173,B2596,'PSI Plan'!$C$6:$C$173,I2596))</f>
        <v>0</v>
      </c>
      <c r="O2596" s="11">
        <f t="shared" si="80"/>
        <v>0</v>
      </c>
      <c r="P2596" s="11">
        <f t="shared" si="81"/>
        <v>0</v>
      </c>
      <c r="Q2596" s="6"/>
      <c r="R2596" s="6"/>
      <c r="S2596" s="6"/>
      <c r="T2596" s="6"/>
    </row>
    <row r="2597" spans="1:20">
      <c r="A2597" s="6" t="s">
        <v>2765</v>
      </c>
      <c r="B2597" s="6" t="s">
        <v>66</v>
      </c>
      <c r="C2597" s="6" t="s">
        <v>90</v>
      </c>
      <c r="D2597" s="6" t="s">
        <v>119</v>
      </c>
      <c r="E2597" s="6" t="s">
        <v>120</v>
      </c>
      <c r="F2597" s="7">
        <v>12</v>
      </c>
      <c r="G2597" s="7">
        <v>1500</v>
      </c>
      <c r="H2597" s="16">
        <v>45204</v>
      </c>
      <c r="I2597" s="6">
        <v>40</v>
      </c>
      <c r="J2597" s="6" t="s">
        <v>121</v>
      </c>
      <c r="K2597" s="6" t="s">
        <v>139</v>
      </c>
      <c r="L2597" s="11">
        <f>F2597*Controls!$B$6</f>
        <v>12</v>
      </c>
      <c r="M2597" s="11">
        <f>G2597*Controls!$B$6</f>
        <v>1500</v>
      </c>
      <c r="N2597" s="12">
        <f>IF(L2597=0,0,SUMIFS('PSI Plan'!$N$6:$N$173,'PSI Plan'!$B$6:$B$173,B2597,'PSI Plan'!$C$6:$C$173,I2597))</f>
        <v>0</v>
      </c>
      <c r="O2597" s="11">
        <f t="shared" si="80"/>
        <v>0</v>
      </c>
      <c r="P2597" s="11">
        <f t="shared" si="81"/>
        <v>0</v>
      </c>
      <c r="Q2597" s="6"/>
      <c r="R2597" s="6"/>
      <c r="S2597" s="6"/>
      <c r="T2597" s="6"/>
    </row>
    <row r="2598" spans="1:20">
      <c r="A2598" s="6" t="s">
        <v>2766</v>
      </c>
      <c r="B2598" s="6" t="s">
        <v>76</v>
      </c>
      <c r="C2598" s="6" t="s">
        <v>90</v>
      </c>
      <c r="D2598" s="6" t="s">
        <v>119</v>
      </c>
      <c r="E2598" s="6" t="s">
        <v>120</v>
      </c>
      <c r="F2598" s="7">
        <v>22</v>
      </c>
      <c r="G2598" s="7">
        <v>2750</v>
      </c>
      <c r="H2598" s="16">
        <v>45279</v>
      </c>
      <c r="I2598" s="6">
        <v>51</v>
      </c>
      <c r="J2598" s="6" t="s">
        <v>121</v>
      </c>
      <c r="K2598" s="6" t="s">
        <v>139</v>
      </c>
      <c r="L2598" s="11">
        <f>F2598*Controls!$B$6</f>
        <v>22</v>
      </c>
      <c r="M2598" s="11">
        <f>G2598*Controls!$B$6</f>
        <v>2750</v>
      </c>
      <c r="N2598" s="12">
        <f>IF(L2598=0,0,SUMIFS('PSI Plan'!$N$6:$N$173,'PSI Plan'!$B$6:$B$173,B2598,'PSI Plan'!$C$6:$C$173,I2598))</f>
        <v>0</v>
      </c>
      <c r="O2598" s="11">
        <f t="shared" si="80"/>
        <v>0</v>
      </c>
      <c r="P2598" s="11">
        <f t="shared" si="81"/>
        <v>0</v>
      </c>
      <c r="Q2598" s="6"/>
      <c r="R2598" s="6"/>
      <c r="S2598" s="6"/>
      <c r="T2598" s="6"/>
    </row>
    <row r="2599" spans="1:20">
      <c r="A2599" s="6" t="s">
        <v>2767</v>
      </c>
      <c r="B2599" s="6" t="s">
        <v>69</v>
      </c>
      <c r="C2599" s="6" t="s">
        <v>90</v>
      </c>
      <c r="D2599" s="6" t="s">
        <v>119</v>
      </c>
      <c r="E2599" s="6" t="s">
        <v>120</v>
      </c>
      <c r="F2599" s="7">
        <v>6</v>
      </c>
      <c r="G2599" s="7">
        <v>750</v>
      </c>
      <c r="H2599" s="16">
        <v>45207</v>
      </c>
      <c r="I2599" s="6">
        <v>41</v>
      </c>
      <c r="J2599" s="6" t="s">
        <v>121</v>
      </c>
      <c r="K2599" s="6" t="s">
        <v>139</v>
      </c>
      <c r="L2599" s="11">
        <f>F2599*Controls!$B$6</f>
        <v>6</v>
      </c>
      <c r="M2599" s="11">
        <f>G2599*Controls!$B$6</f>
        <v>750</v>
      </c>
      <c r="N2599" s="12">
        <f>IF(L2599=0,0,SUMIFS('PSI Plan'!$N$6:$N$173,'PSI Plan'!$B$6:$B$173,B2599,'PSI Plan'!$C$6:$C$173,I2599))</f>
        <v>0</v>
      </c>
      <c r="O2599" s="11">
        <f t="shared" si="80"/>
        <v>0</v>
      </c>
      <c r="P2599" s="11">
        <f t="shared" si="81"/>
        <v>0</v>
      </c>
      <c r="Q2599" s="6"/>
      <c r="R2599" s="6"/>
      <c r="S2599" s="6"/>
      <c r="T2599" s="6"/>
    </row>
    <row r="2600" spans="1:20">
      <c r="A2600" s="6" t="s">
        <v>2768</v>
      </c>
      <c r="B2600" s="6" t="s">
        <v>66</v>
      </c>
      <c r="C2600" s="6" t="s">
        <v>90</v>
      </c>
      <c r="D2600" s="6" t="s">
        <v>119</v>
      </c>
      <c r="E2600" s="6" t="s">
        <v>120</v>
      </c>
      <c r="F2600" s="7">
        <v>13</v>
      </c>
      <c r="G2600" s="7">
        <v>1625</v>
      </c>
      <c r="H2600" s="16">
        <v>45213</v>
      </c>
      <c r="I2600" s="6">
        <v>41</v>
      </c>
      <c r="J2600" s="6" t="s">
        <v>121</v>
      </c>
      <c r="K2600" s="6" t="s">
        <v>171</v>
      </c>
      <c r="L2600" s="11">
        <f>F2600*Controls!$B$6</f>
        <v>13</v>
      </c>
      <c r="M2600" s="11">
        <f>G2600*Controls!$B$6</f>
        <v>1625</v>
      </c>
      <c r="N2600" s="12">
        <f>IF(L2600=0,0,SUMIFS('PSI Plan'!$N$6:$N$173,'PSI Plan'!$B$6:$B$173,B2600,'PSI Plan'!$C$6:$C$173,I2600))</f>
        <v>0.22897465437788017</v>
      </c>
      <c r="O2600" s="11">
        <f t="shared" si="80"/>
        <v>2.9766705069124422</v>
      </c>
      <c r="P2600" s="11">
        <f t="shared" si="81"/>
        <v>372.08381336405529</v>
      </c>
      <c r="Q2600" s="6"/>
      <c r="R2600" s="6"/>
      <c r="S2600" s="6"/>
      <c r="T2600" s="6"/>
    </row>
    <row r="2601" spans="1:20">
      <c r="A2601" s="6" t="s">
        <v>2769</v>
      </c>
      <c r="B2601" s="6" t="s">
        <v>77</v>
      </c>
      <c r="C2601" s="6" t="s">
        <v>90</v>
      </c>
      <c r="D2601" s="6" t="s">
        <v>119</v>
      </c>
      <c r="E2601" s="6" t="s">
        <v>120</v>
      </c>
      <c r="F2601" s="7">
        <v>39</v>
      </c>
      <c r="G2601" s="7">
        <v>4875</v>
      </c>
      <c r="H2601" s="16">
        <v>45224</v>
      </c>
      <c r="I2601" s="6">
        <v>43</v>
      </c>
      <c r="J2601" s="6" t="s">
        <v>121</v>
      </c>
      <c r="K2601" s="6" t="s">
        <v>171</v>
      </c>
      <c r="L2601" s="11">
        <f>F2601*Controls!$B$6</f>
        <v>39</v>
      </c>
      <c r="M2601" s="11">
        <f>G2601*Controls!$B$6</f>
        <v>4875</v>
      </c>
      <c r="N2601" s="12">
        <f>IF(L2601=0,0,SUMIFS('PSI Plan'!$N$6:$N$173,'PSI Plan'!$B$6:$B$173,B2601,'PSI Plan'!$C$6:$C$173,I2601))</f>
        <v>0</v>
      </c>
      <c r="O2601" s="11">
        <f t="shared" si="80"/>
        <v>0</v>
      </c>
      <c r="P2601" s="11">
        <f t="shared" si="81"/>
        <v>0</v>
      </c>
      <c r="Q2601" s="6"/>
      <c r="R2601" s="6"/>
      <c r="S2601" s="6"/>
      <c r="T2601" s="6"/>
    </row>
    <row r="2602" spans="1:20">
      <c r="A2602" s="6" t="s">
        <v>2770</v>
      </c>
      <c r="B2602" s="6" t="s">
        <v>69</v>
      </c>
      <c r="C2602" s="6" t="s">
        <v>90</v>
      </c>
      <c r="D2602" s="6" t="s">
        <v>119</v>
      </c>
      <c r="E2602" s="6" t="s">
        <v>120</v>
      </c>
      <c r="F2602" s="7">
        <v>26</v>
      </c>
      <c r="G2602" s="7">
        <v>3250</v>
      </c>
      <c r="H2602" s="16">
        <v>45257</v>
      </c>
      <c r="I2602" s="6">
        <v>48</v>
      </c>
      <c r="J2602" s="6" t="s">
        <v>121</v>
      </c>
      <c r="K2602" s="6" t="s">
        <v>171</v>
      </c>
      <c r="L2602" s="11">
        <f>F2602*Controls!$B$6</f>
        <v>26</v>
      </c>
      <c r="M2602" s="11">
        <f>G2602*Controls!$B$6</f>
        <v>3250</v>
      </c>
      <c r="N2602" s="12">
        <f>IF(L2602=0,0,SUMIFS('PSI Plan'!$N$6:$N$173,'PSI Plan'!$B$6:$B$173,B2602,'PSI Plan'!$C$6:$C$173,I2602))</f>
        <v>0</v>
      </c>
      <c r="O2602" s="11">
        <f t="shared" si="80"/>
        <v>0</v>
      </c>
      <c r="P2602" s="11">
        <f t="shared" si="81"/>
        <v>0</v>
      </c>
      <c r="Q2602" s="6"/>
      <c r="R2602" s="6"/>
      <c r="S2602" s="6"/>
      <c r="T2602" s="6"/>
    </row>
    <row r="2603" spans="1:20">
      <c r="A2603" s="6" t="s">
        <v>2771</v>
      </c>
      <c r="B2603" s="6" t="s">
        <v>66</v>
      </c>
      <c r="C2603" s="6" t="s">
        <v>99</v>
      </c>
      <c r="D2603" s="6" t="s">
        <v>319</v>
      </c>
      <c r="E2603" s="6" t="s">
        <v>120</v>
      </c>
      <c r="F2603" s="7">
        <v>8</v>
      </c>
      <c r="G2603" s="7">
        <v>1000</v>
      </c>
      <c r="H2603" s="16">
        <v>45251</v>
      </c>
      <c r="I2603" s="6">
        <v>47</v>
      </c>
      <c r="J2603" s="6" t="s">
        <v>121</v>
      </c>
      <c r="K2603" s="6" t="s">
        <v>374</v>
      </c>
      <c r="L2603" s="11">
        <f>F2603*Controls!$B$6</f>
        <v>8</v>
      </c>
      <c r="M2603" s="11">
        <f>G2603*Controls!$B$6</f>
        <v>1000</v>
      </c>
      <c r="N2603" s="12">
        <f>IF(L2603=0,0,SUMIFS('PSI Plan'!$N$6:$N$173,'PSI Plan'!$B$6:$B$173,B2603,'PSI Plan'!$C$6:$C$173,I2603))</f>
        <v>0</v>
      </c>
      <c r="O2603" s="11">
        <f t="shared" si="80"/>
        <v>0</v>
      </c>
      <c r="P2603" s="11">
        <f t="shared" si="81"/>
        <v>0</v>
      </c>
      <c r="Q2603" s="6"/>
      <c r="R2603" s="6"/>
      <c r="S2603" s="6"/>
      <c r="T2603" s="6"/>
    </row>
    <row r="2604" spans="1:20">
      <c r="A2604" s="6" t="s">
        <v>2772</v>
      </c>
      <c r="B2604" s="6" t="s">
        <v>77</v>
      </c>
      <c r="C2604" s="6" t="s">
        <v>99</v>
      </c>
      <c r="D2604" s="6" t="s">
        <v>319</v>
      </c>
      <c r="E2604" s="6" t="s">
        <v>120</v>
      </c>
      <c r="F2604" s="7">
        <v>8</v>
      </c>
      <c r="G2604" s="7">
        <v>1000</v>
      </c>
      <c r="H2604" s="16">
        <v>45240</v>
      </c>
      <c r="I2604" s="6">
        <v>45</v>
      </c>
      <c r="J2604" s="6" t="s">
        <v>121</v>
      </c>
      <c r="K2604" s="6" t="s">
        <v>374</v>
      </c>
      <c r="L2604" s="11">
        <f>F2604*Controls!$B$6</f>
        <v>8</v>
      </c>
      <c r="M2604" s="11">
        <f>G2604*Controls!$B$6</f>
        <v>1000</v>
      </c>
      <c r="N2604" s="12">
        <f>IF(L2604=0,0,SUMIFS('PSI Plan'!$N$6:$N$173,'PSI Plan'!$B$6:$B$173,B2604,'PSI Plan'!$C$6:$C$173,I2604))</f>
        <v>0</v>
      </c>
      <c r="O2604" s="11">
        <f t="shared" si="80"/>
        <v>0</v>
      </c>
      <c r="P2604" s="11">
        <f t="shared" si="81"/>
        <v>0</v>
      </c>
      <c r="Q2604" s="6"/>
      <c r="R2604" s="6"/>
      <c r="S2604" s="6"/>
      <c r="T2604" s="6"/>
    </row>
    <row r="2605" spans="1:20">
      <c r="A2605" s="6" t="s">
        <v>2773</v>
      </c>
      <c r="B2605" s="6" t="s">
        <v>76</v>
      </c>
      <c r="C2605" s="6" t="s">
        <v>99</v>
      </c>
      <c r="D2605" s="6" t="s">
        <v>319</v>
      </c>
      <c r="E2605" s="6" t="s">
        <v>120</v>
      </c>
      <c r="F2605" s="7">
        <v>12</v>
      </c>
      <c r="G2605" s="7">
        <v>1500</v>
      </c>
      <c r="H2605" s="16">
        <v>45241</v>
      </c>
      <c r="I2605" s="6">
        <v>45</v>
      </c>
      <c r="J2605" s="6" t="s">
        <v>121</v>
      </c>
      <c r="K2605" s="6" t="s">
        <v>374</v>
      </c>
      <c r="L2605" s="11">
        <f>F2605*Controls!$B$6</f>
        <v>12</v>
      </c>
      <c r="M2605" s="11">
        <f>G2605*Controls!$B$6</f>
        <v>1500</v>
      </c>
      <c r="N2605" s="12">
        <f>IF(L2605=0,0,SUMIFS('PSI Plan'!$N$6:$N$173,'PSI Plan'!$B$6:$B$173,B2605,'PSI Plan'!$C$6:$C$173,I2605))</f>
        <v>0</v>
      </c>
      <c r="O2605" s="11">
        <f t="shared" si="80"/>
        <v>0</v>
      </c>
      <c r="P2605" s="11">
        <f t="shared" si="81"/>
        <v>0</v>
      </c>
      <c r="Q2605" s="6"/>
      <c r="R2605" s="6"/>
      <c r="S2605" s="6"/>
      <c r="T2605" s="6"/>
    </row>
    <row r="2606" spans="1:20">
      <c r="A2606" s="6" t="s">
        <v>2774</v>
      </c>
      <c r="B2606" s="6" t="s">
        <v>69</v>
      </c>
      <c r="C2606" s="6" t="s">
        <v>99</v>
      </c>
      <c r="D2606" s="6" t="s">
        <v>319</v>
      </c>
      <c r="E2606" s="6" t="s">
        <v>120</v>
      </c>
      <c r="F2606" s="7">
        <v>8</v>
      </c>
      <c r="G2606" s="7">
        <v>1000</v>
      </c>
      <c r="H2606" s="16">
        <v>45226</v>
      </c>
      <c r="I2606" s="6">
        <v>43</v>
      </c>
      <c r="J2606" s="6" t="s">
        <v>121</v>
      </c>
      <c r="K2606" s="6" t="s">
        <v>374</v>
      </c>
      <c r="L2606" s="11">
        <f>F2606*Controls!$B$6</f>
        <v>8</v>
      </c>
      <c r="M2606" s="11">
        <f>G2606*Controls!$B$6</f>
        <v>1000</v>
      </c>
      <c r="N2606" s="12">
        <f>IF(L2606=0,0,SUMIFS('PSI Plan'!$N$6:$N$173,'PSI Plan'!$B$6:$B$173,B2606,'PSI Plan'!$C$6:$C$173,I2606))</f>
        <v>0</v>
      </c>
      <c r="O2606" s="11">
        <f t="shared" si="80"/>
        <v>0</v>
      </c>
      <c r="P2606" s="11">
        <f t="shared" si="81"/>
        <v>0</v>
      </c>
      <c r="Q2606" s="6"/>
      <c r="R2606" s="6"/>
      <c r="S2606" s="6"/>
      <c r="T2606" s="6"/>
    </row>
    <row r="2607" spans="1:20">
      <c r="A2607" s="6" t="s">
        <v>2775</v>
      </c>
      <c r="B2607" s="6" t="s">
        <v>76</v>
      </c>
      <c r="C2607" s="6" t="s">
        <v>90</v>
      </c>
      <c r="D2607" s="6" t="s">
        <v>119</v>
      </c>
      <c r="E2607" s="6" t="s">
        <v>120</v>
      </c>
      <c r="F2607" s="7">
        <v>52</v>
      </c>
      <c r="G2607" s="7">
        <v>6500</v>
      </c>
      <c r="H2607" s="16">
        <v>45212</v>
      </c>
      <c r="I2607" s="6">
        <v>41</v>
      </c>
      <c r="J2607" s="6" t="s">
        <v>121</v>
      </c>
      <c r="K2607" s="6" t="s">
        <v>122</v>
      </c>
      <c r="L2607" s="11">
        <f>F2607*Controls!$B$6</f>
        <v>52</v>
      </c>
      <c r="M2607" s="11">
        <f>G2607*Controls!$B$6</f>
        <v>6500</v>
      </c>
      <c r="N2607" s="12">
        <f>IF(L2607=0,0,SUMIFS('PSI Plan'!$N$6:$N$173,'PSI Plan'!$B$6:$B$173,B2607,'PSI Plan'!$C$6:$C$173,I2607))</f>
        <v>0</v>
      </c>
      <c r="O2607" s="11">
        <f t="shared" si="80"/>
        <v>0</v>
      </c>
      <c r="P2607" s="11">
        <f t="shared" si="81"/>
        <v>0</v>
      </c>
      <c r="Q2607" s="6"/>
      <c r="R2607" s="6"/>
      <c r="S2607" s="6"/>
      <c r="T2607" s="6"/>
    </row>
    <row r="2608" spans="1:20">
      <c r="A2608" s="6" t="s">
        <v>2776</v>
      </c>
      <c r="B2608" s="6" t="s">
        <v>67</v>
      </c>
      <c r="C2608" s="6" t="s">
        <v>90</v>
      </c>
      <c r="D2608" s="6" t="s">
        <v>119</v>
      </c>
      <c r="E2608" s="6" t="s">
        <v>120</v>
      </c>
      <c r="F2608" s="7">
        <v>1</v>
      </c>
      <c r="G2608" s="7">
        <v>125</v>
      </c>
      <c r="H2608" s="16">
        <v>45219</v>
      </c>
      <c r="I2608" s="6">
        <v>42</v>
      </c>
      <c r="J2608" s="6" t="s">
        <v>121</v>
      </c>
      <c r="K2608" s="6" t="s">
        <v>122</v>
      </c>
      <c r="L2608" s="11">
        <f>F2608*Controls!$B$6</f>
        <v>1</v>
      </c>
      <c r="M2608" s="11">
        <f>G2608*Controls!$B$6</f>
        <v>125</v>
      </c>
      <c r="N2608" s="12">
        <f>IF(L2608=0,0,SUMIFS('PSI Plan'!$N$6:$N$173,'PSI Plan'!$B$6:$B$173,B2608,'PSI Plan'!$C$6:$C$173,I2608))</f>
        <v>0</v>
      </c>
      <c r="O2608" s="11">
        <f t="shared" si="80"/>
        <v>0</v>
      </c>
      <c r="P2608" s="11">
        <f t="shared" si="81"/>
        <v>0</v>
      </c>
      <c r="Q2608" s="6"/>
      <c r="R2608" s="6"/>
      <c r="S2608" s="6"/>
      <c r="T2608" s="6"/>
    </row>
    <row r="2609" spans="1:20">
      <c r="A2609" s="6" t="s">
        <v>2777</v>
      </c>
      <c r="B2609" s="6" t="s">
        <v>66</v>
      </c>
      <c r="C2609" s="6" t="s">
        <v>99</v>
      </c>
      <c r="D2609" s="6" t="s">
        <v>319</v>
      </c>
      <c r="E2609" s="6" t="s">
        <v>120</v>
      </c>
      <c r="F2609" s="7">
        <v>8</v>
      </c>
      <c r="G2609" s="7">
        <v>1000</v>
      </c>
      <c r="H2609" s="16">
        <v>45289</v>
      </c>
      <c r="I2609" s="6">
        <v>52</v>
      </c>
      <c r="J2609" s="6" t="s">
        <v>121</v>
      </c>
      <c r="K2609" s="6" t="s">
        <v>1576</v>
      </c>
      <c r="L2609" s="11">
        <f>F2609*Controls!$B$6</f>
        <v>8</v>
      </c>
      <c r="M2609" s="11">
        <f>G2609*Controls!$B$6</f>
        <v>1000</v>
      </c>
      <c r="N2609" s="12">
        <f>IF(L2609=0,0,SUMIFS('PSI Plan'!$N$6:$N$173,'PSI Plan'!$B$6:$B$173,B2609,'PSI Plan'!$C$6:$C$173,I2609))</f>
        <v>0</v>
      </c>
      <c r="O2609" s="11">
        <f t="shared" si="80"/>
        <v>0</v>
      </c>
      <c r="P2609" s="11">
        <f t="shared" si="81"/>
        <v>0</v>
      </c>
      <c r="Q2609" s="6"/>
      <c r="R2609" s="6"/>
      <c r="S2609" s="6"/>
      <c r="T2609" s="6"/>
    </row>
    <row r="2610" spans="1:20">
      <c r="A2610" s="6" t="s">
        <v>2778</v>
      </c>
      <c r="B2610" s="6" t="s">
        <v>77</v>
      </c>
      <c r="C2610" s="6" t="s">
        <v>99</v>
      </c>
      <c r="D2610" s="6" t="s">
        <v>319</v>
      </c>
      <c r="E2610" s="6" t="s">
        <v>120</v>
      </c>
      <c r="F2610" s="7">
        <v>8</v>
      </c>
      <c r="G2610" s="7">
        <v>1000</v>
      </c>
      <c r="H2610" s="16">
        <v>45250</v>
      </c>
      <c r="I2610" s="6">
        <v>47</v>
      </c>
      <c r="J2610" s="6" t="s">
        <v>121</v>
      </c>
      <c r="K2610" s="6" t="s">
        <v>1576</v>
      </c>
      <c r="L2610" s="11">
        <f>F2610*Controls!$B$6</f>
        <v>8</v>
      </c>
      <c r="M2610" s="11">
        <f>G2610*Controls!$B$6</f>
        <v>1000</v>
      </c>
      <c r="N2610" s="12">
        <f>IF(L2610=0,0,SUMIFS('PSI Plan'!$N$6:$N$173,'PSI Plan'!$B$6:$B$173,B2610,'PSI Plan'!$C$6:$C$173,I2610))</f>
        <v>0</v>
      </c>
      <c r="O2610" s="11">
        <f t="shared" si="80"/>
        <v>0</v>
      </c>
      <c r="P2610" s="11">
        <f t="shared" si="81"/>
        <v>0</v>
      </c>
      <c r="Q2610" s="6"/>
      <c r="R2610" s="6"/>
      <c r="S2610" s="6"/>
      <c r="T2610" s="6"/>
    </row>
    <row r="2611" spans="1:20">
      <c r="A2611" s="6" t="s">
        <v>2779</v>
      </c>
      <c r="B2611" s="6" t="s">
        <v>76</v>
      </c>
      <c r="C2611" s="6" t="s">
        <v>99</v>
      </c>
      <c r="D2611" s="6" t="s">
        <v>319</v>
      </c>
      <c r="E2611" s="6" t="s">
        <v>120</v>
      </c>
      <c r="F2611" s="7">
        <v>10</v>
      </c>
      <c r="G2611" s="7">
        <v>1250</v>
      </c>
      <c r="H2611" s="16">
        <v>45247</v>
      </c>
      <c r="I2611" s="6">
        <v>46</v>
      </c>
      <c r="J2611" s="6" t="s">
        <v>121</v>
      </c>
      <c r="K2611" s="6" t="s">
        <v>1576</v>
      </c>
      <c r="L2611" s="11">
        <f>F2611*Controls!$B$6</f>
        <v>10</v>
      </c>
      <c r="M2611" s="11">
        <f>G2611*Controls!$B$6</f>
        <v>1250</v>
      </c>
      <c r="N2611" s="12">
        <f>IF(L2611=0,0,SUMIFS('PSI Plan'!$N$6:$N$173,'PSI Plan'!$B$6:$B$173,B2611,'PSI Plan'!$C$6:$C$173,I2611))</f>
        <v>0</v>
      </c>
      <c r="O2611" s="11">
        <f t="shared" si="80"/>
        <v>0</v>
      </c>
      <c r="P2611" s="11">
        <f t="shared" si="81"/>
        <v>0</v>
      </c>
      <c r="Q2611" s="6"/>
      <c r="R2611" s="6"/>
      <c r="S2611" s="6"/>
      <c r="T2611" s="6"/>
    </row>
    <row r="2612" spans="1:20">
      <c r="A2612" s="6" t="s">
        <v>2780</v>
      </c>
      <c r="B2612" s="6" t="s">
        <v>69</v>
      </c>
      <c r="C2612" s="6" t="s">
        <v>99</v>
      </c>
      <c r="D2612" s="6" t="s">
        <v>319</v>
      </c>
      <c r="E2612" s="6" t="s">
        <v>120</v>
      </c>
      <c r="F2612" s="7">
        <v>6</v>
      </c>
      <c r="G2612" s="7">
        <v>750</v>
      </c>
      <c r="H2612" s="16">
        <v>45269</v>
      </c>
      <c r="I2612" s="6">
        <v>49</v>
      </c>
      <c r="J2612" s="6" t="s">
        <v>121</v>
      </c>
      <c r="K2612" s="6" t="s">
        <v>1576</v>
      </c>
      <c r="L2612" s="11">
        <f>F2612*Controls!$B$6</f>
        <v>6</v>
      </c>
      <c r="M2612" s="11">
        <f>G2612*Controls!$B$6</f>
        <v>750</v>
      </c>
      <c r="N2612" s="12">
        <f>IF(L2612=0,0,SUMIFS('PSI Plan'!$N$6:$N$173,'PSI Plan'!$B$6:$B$173,B2612,'PSI Plan'!$C$6:$C$173,I2612))</f>
        <v>0</v>
      </c>
      <c r="O2612" s="11">
        <f t="shared" si="80"/>
        <v>0</v>
      </c>
      <c r="P2612" s="11">
        <f t="shared" si="81"/>
        <v>0</v>
      </c>
      <c r="Q2612" s="6"/>
      <c r="R2612" s="6"/>
      <c r="S2612" s="6"/>
      <c r="T2612" s="6"/>
    </row>
    <row r="2613" spans="1:20">
      <c r="A2613" s="6" t="s">
        <v>2781</v>
      </c>
      <c r="B2613" s="6" t="s">
        <v>66</v>
      </c>
      <c r="C2613" s="6" t="s">
        <v>99</v>
      </c>
      <c r="D2613" s="6" t="s">
        <v>319</v>
      </c>
      <c r="E2613" s="6" t="s">
        <v>120</v>
      </c>
      <c r="F2613" s="7">
        <v>4</v>
      </c>
      <c r="G2613" s="7">
        <v>500</v>
      </c>
      <c r="H2613" s="16">
        <v>45240</v>
      </c>
      <c r="I2613" s="6">
        <v>45</v>
      </c>
      <c r="J2613" s="6" t="s">
        <v>121</v>
      </c>
      <c r="K2613" s="6" t="s">
        <v>347</v>
      </c>
      <c r="L2613" s="11">
        <f>F2613*Controls!$B$6</f>
        <v>4</v>
      </c>
      <c r="M2613" s="11">
        <f>G2613*Controls!$B$6</f>
        <v>500</v>
      </c>
      <c r="N2613" s="12">
        <f>IF(L2613=0,0,SUMIFS('PSI Plan'!$N$6:$N$173,'PSI Plan'!$B$6:$B$173,B2613,'PSI Plan'!$C$6:$C$173,I2613))</f>
        <v>0</v>
      </c>
      <c r="O2613" s="11">
        <f t="shared" si="80"/>
        <v>0</v>
      </c>
      <c r="P2613" s="11">
        <f t="shared" si="81"/>
        <v>0</v>
      </c>
      <c r="Q2613" s="6"/>
      <c r="R2613" s="6"/>
      <c r="S2613" s="6"/>
      <c r="T2613" s="6"/>
    </row>
    <row r="2614" spans="1:20">
      <c r="A2614" s="6" t="s">
        <v>2782</v>
      </c>
      <c r="B2614" s="6" t="s">
        <v>77</v>
      </c>
      <c r="C2614" s="6" t="s">
        <v>99</v>
      </c>
      <c r="D2614" s="6" t="s">
        <v>319</v>
      </c>
      <c r="E2614" s="6" t="s">
        <v>120</v>
      </c>
      <c r="F2614" s="7">
        <v>14</v>
      </c>
      <c r="G2614" s="7">
        <v>1750</v>
      </c>
      <c r="H2614" s="16">
        <v>45217</v>
      </c>
      <c r="I2614" s="6">
        <v>42</v>
      </c>
      <c r="J2614" s="6" t="s">
        <v>121</v>
      </c>
      <c r="K2614" s="6" t="s">
        <v>347</v>
      </c>
      <c r="L2614" s="11">
        <f>F2614*Controls!$B$6</f>
        <v>14</v>
      </c>
      <c r="M2614" s="11">
        <f>G2614*Controls!$B$6</f>
        <v>1750</v>
      </c>
      <c r="N2614" s="12">
        <f>IF(L2614=0,0,SUMIFS('PSI Plan'!$N$6:$N$173,'PSI Plan'!$B$6:$B$173,B2614,'PSI Plan'!$C$6:$C$173,I2614))</f>
        <v>0</v>
      </c>
      <c r="O2614" s="11">
        <f t="shared" si="80"/>
        <v>0</v>
      </c>
      <c r="P2614" s="11">
        <f t="shared" si="81"/>
        <v>0</v>
      </c>
      <c r="Q2614" s="6"/>
      <c r="R2614" s="6"/>
      <c r="S2614" s="6"/>
      <c r="T2614" s="6"/>
    </row>
    <row r="2615" spans="1:20">
      <c r="A2615" s="6" t="s">
        <v>2783</v>
      </c>
      <c r="B2615" s="6" t="s">
        <v>76</v>
      </c>
      <c r="C2615" s="6" t="s">
        <v>99</v>
      </c>
      <c r="D2615" s="6" t="s">
        <v>319</v>
      </c>
      <c r="E2615" s="6" t="s">
        <v>120</v>
      </c>
      <c r="F2615" s="7">
        <v>8</v>
      </c>
      <c r="G2615" s="7">
        <v>1000</v>
      </c>
      <c r="H2615" s="16">
        <v>45230</v>
      </c>
      <c r="I2615" s="6">
        <v>44</v>
      </c>
      <c r="J2615" s="6" t="s">
        <v>121</v>
      </c>
      <c r="K2615" s="6" t="s">
        <v>347</v>
      </c>
      <c r="L2615" s="11">
        <f>F2615*Controls!$B$6</f>
        <v>8</v>
      </c>
      <c r="M2615" s="11">
        <f>G2615*Controls!$B$6</f>
        <v>1000</v>
      </c>
      <c r="N2615" s="12">
        <f>IF(L2615=0,0,SUMIFS('PSI Plan'!$N$6:$N$173,'PSI Plan'!$B$6:$B$173,B2615,'PSI Plan'!$C$6:$C$173,I2615))</f>
        <v>0</v>
      </c>
      <c r="O2615" s="11">
        <f t="shared" si="80"/>
        <v>0</v>
      </c>
      <c r="P2615" s="11">
        <f t="shared" si="81"/>
        <v>0</v>
      </c>
      <c r="Q2615" s="6"/>
      <c r="R2615" s="6"/>
      <c r="S2615" s="6"/>
      <c r="T2615" s="6"/>
    </row>
    <row r="2616" spans="1:20">
      <c r="A2616" s="6" t="s">
        <v>2784</v>
      </c>
      <c r="B2616" s="6" t="s">
        <v>69</v>
      </c>
      <c r="C2616" s="6" t="s">
        <v>99</v>
      </c>
      <c r="D2616" s="6" t="s">
        <v>319</v>
      </c>
      <c r="E2616" s="6" t="s">
        <v>120</v>
      </c>
      <c r="F2616" s="7">
        <v>14</v>
      </c>
      <c r="G2616" s="7">
        <v>1750</v>
      </c>
      <c r="H2616" s="16">
        <v>45233</v>
      </c>
      <c r="I2616" s="6">
        <v>44</v>
      </c>
      <c r="J2616" s="6" t="s">
        <v>121</v>
      </c>
      <c r="K2616" s="6" t="s">
        <v>347</v>
      </c>
      <c r="L2616" s="11">
        <f>F2616*Controls!$B$6</f>
        <v>14</v>
      </c>
      <c r="M2616" s="11">
        <f>G2616*Controls!$B$6</f>
        <v>1750</v>
      </c>
      <c r="N2616" s="12">
        <f>IF(L2616=0,0,SUMIFS('PSI Plan'!$N$6:$N$173,'PSI Plan'!$B$6:$B$173,B2616,'PSI Plan'!$C$6:$C$173,I2616))</f>
        <v>0</v>
      </c>
      <c r="O2616" s="11">
        <f t="shared" si="80"/>
        <v>0</v>
      </c>
      <c r="P2616" s="11">
        <f t="shared" si="81"/>
        <v>0</v>
      </c>
      <c r="Q2616" s="6"/>
      <c r="R2616" s="6"/>
      <c r="S2616" s="6"/>
      <c r="T2616" s="6"/>
    </row>
    <row r="2617" spans="1:20">
      <c r="A2617" s="6" t="s">
        <v>2785</v>
      </c>
      <c r="B2617" s="6" t="s">
        <v>66</v>
      </c>
      <c r="C2617" s="6" t="s">
        <v>100</v>
      </c>
      <c r="D2617" s="6" t="s">
        <v>567</v>
      </c>
      <c r="E2617" s="6" t="s">
        <v>120</v>
      </c>
      <c r="F2617" s="7">
        <v>6</v>
      </c>
      <c r="G2617" s="7">
        <v>750</v>
      </c>
      <c r="H2617" s="16">
        <v>45268</v>
      </c>
      <c r="I2617" s="6">
        <v>49</v>
      </c>
      <c r="J2617" s="6" t="s">
        <v>121</v>
      </c>
      <c r="K2617" s="6" t="s">
        <v>568</v>
      </c>
      <c r="L2617" s="11">
        <f>F2617*Controls!$B$6</f>
        <v>6</v>
      </c>
      <c r="M2617" s="11">
        <f>G2617*Controls!$B$6</f>
        <v>750</v>
      </c>
      <c r="N2617" s="12">
        <f>IF(L2617=0,0,SUMIFS('PSI Plan'!$N$6:$N$173,'PSI Plan'!$B$6:$B$173,B2617,'PSI Plan'!$C$6:$C$173,I2617))</f>
        <v>0</v>
      </c>
      <c r="O2617" s="11">
        <f t="shared" si="80"/>
        <v>0</v>
      </c>
      <c r="P2617" s="11">
        <f t="shared" si="81"/>
        <v>0</v>
      </c>
      <c r="Q2617" s="6"/>
      <c r="R2617" s="6"/>
      <c r="S2617" s="6"/>
      <c r="T2617" s="6"/>
    </row>
    <row r="2618" spans="1:20">
      <c r="A2618" s="6" t="s">
        <v>2786</v>
      </c>
      <c r="B2618" s="6" t="s">
        <v>77</v>
      </c>
      <c r="C2618" s="6" t="s">
        <v>100</v>
      </c>
      <c r="D2618" s="6" t="s">
        <v>567</v>
      </c>
      <c r="E2618" s="6" t="s">
        <v>120</v>
      </c>
      <c r="F2618" s="7">
        <v>12</v>
      </c>
      <c r="G2618" s="7">
        <v>1500</v>
      </c>
      <c r="H2618" s="16">
        <v>45201</v>
      </c>
      <c r="I2618" s="6">
        <v>40</v>
      </c>
      <c r="J2618" s="6" t="s">
        <v>121</v>
      </c>
      <c r="K2618" s="6" t="s">
        <v>568</v>
      </c>
      <c r="L2618" s="11">
        <f>F2618*Controls!$B$6</f>
        <v>12</v>
      </c>
      <c r="M2618" s="11">
        <f>G2618*Controls!$B$6</f>
        <v>1500</v>
      </c>
      <c r="N2618" s="12">
        <f>IF(L2618=0,0,SUMIFS('PSI Plan'!$N$6:$N$173,'PSI Plan'!$B$6:$B$173,B2618,'PSI Plan'!$C$6:$C$173,I2618))</f>
        <v>0</v>
      </c>
      <c r="O2618" s="11">
        <f t="shared" si="80"/>
        <v>0</v>
      </c>
      <c r="P2618" s="11">
        <f t="shared" si="81"/>
        <v>0</v>
      </c>
      <c r="Q2618" s="6"/>
      <c r="R2618" s="6"/>
      <c r="S2618" s="6"/>
      <c r="T2618" s="6"/>
    </row>
    <row r="2619" spans="1:20">
      <c r="A2619" s="6" t="s">
        <v>2787</v>
      </c>
      <c r="B2619" s="6" t="s">
        <v>76</v>
      </c>
      <c r="C2619" s="6" t="s">
        <v>100</v>
      </c>
      <c r="D2619" s="6" t="s">
        <v>567</v>
      </c>
      <c r="E2619" s="6" t="s">
        <v>120</v>
      </c>
      <c r="F2619" s="7">
        <v>6</v>
      </c>
      <c r="G2619" s="7">
        <v>750</v>
      </c>
      <c r="H2619" s="16">
        <v>45272</v>
      </c>
      <c r="I2619" s="6">
        <v>50</v>
      </c>
      <c r="J2619" s="6" t="s">
        <v>121</v>
      </c>
      <c r="K2619" s="6" t="s">
        <v>568</v>
      </c>
      <c r="L2619" s="11">
        <f>F2619*Controls!$B$6</f>
        <v>6</v>
      </c>
      <c r="M2619" s="11">
        <f>G2619*Controls!$B$6</f>
        <v>750</v>
      </c>
      <c r="N2619" s="12">
        <f>IF(L2619=0,0,SUMIFS('PSI Plan'!$N$6:$N$173,'PSI Plan'!$B$6:$B$173,B2619,'PSI Plan'!$C$6:$C$173,I2619))</f>
        <v>0</v>
      </c>
      <c r="O2619" s="11">
        <f t="shared" si="80"/>
        <v>0</v>
      </c>
      <c r="P2619" s="11">
        <f t="shared" si="81"/>
        <v>0</v>
      </c>
      <c r="Q2619" s="6"/>
      <c r="R2619" s="6"/>
      <c r="S2619" s="6"/>
      <c r="T2619" s="6"/>
    </row>
    <row r="2620" spans="1:20">
      <c r="A2620" s="6" t="s">
        <v>2788</v>
      </c>
      <c r="B2620" s="6" t="s">
        <v>69</v>
      </c>
      <c r="C2620" s="6" t="s">
        <v>100</v>
      </c>
      <c r="D2620" s="6" t="s">
        <v>567</v>
      </c>
      <c r="E2620" s="6" t="s">
        <v>120</v>
      </c>
      <c r="F2620" s="7">
        <v>12</v>
      </c>
      <c r="G2620" s="7">
        <v>1500</v>
      </c>
      <c r="H2620" s="16">
        <v>45227</v>
      </c>
      <c r="I2620" s="6">
        <v>43</v>
      </c>
      <c r="J2620" s="6" t="s">
        <v>121</v>
      </c>
      <c r="K2620" s="6" t="s">
        <v>568</v>
      </c>
      <c r="L2620" s="11">
        <f>F2620*Controls!$B$6</f>
        <v>12</v>
      </c>
      <c r="M2620" s="11">
        <f>G2620*Controls!$B$6</f>
        <v>1500</v>
      </c>
      <c r="N2620" s="12">
        <f>IF(L2620=0,0,SUMIFS('PSI Plan'!$N$6:$N$173,'PSI Plan'!$B$6:$B$173,B2620,'PSI Plan'!$C$6:$C$173,I2620))</f>
        <v>0</v>
      </c>
      <c r="O2620" s="11">
        <f t="shared" si="80"/>
        <v>0</v>
      </c>
      <c r="P2620" s="11">
        <f t="shared" si="81"/>
        <v>0</v>
      </c>
      <c r="Q2620" s="6"/>
      <c r="R2620" s="6"/>
      <c r="S2620" s="6"/>
      <c r="T2620" s="6"/>
    </row>
    <row r="2621" spans="1:20">
      <c r="A2621" s="6" t="s">
        <v>2789</v>
      </c>
      <c r="B2621" s="6" t="s">
        <v>67</v>
      </c>
      <c r="C2621" s="6" t="s">
        <v>100</v>
      </c>
      <c r="D2621" s="6" t="s">
        <v>567</v>
      </c>
      <c r="E2621" s="6" t="s">
        <v>120</v>
      </c>
      <c r="F2621" s="7">
        <v>22</v>
      </c>
      <c r="G2621" s="7">
        <v>2750</v>
      </c>
      <c r="H2621" s="16">
        <v>45226</v>
      </c>
      <c r="I2621" s="6">
        <v>43</v>
      </c>
      <c r="J2621" s="6" t="s">
        <v>1791</v>
      </c>
      <c r="K2621" s="6" t="s">
        <v>1792</v>
      </c>
      <c r="L2621" s="11">
        <f>F2621*Controls!$B$6</f>
        <v>22</v>
      </c>
      <c r="M2621" s="11">
        <f>G2621*Controls!$B$6</f>
        <v>2750</v>
      </c>
      <c r="N2621" s="12">
        <f>IF(L2621=0,0,SUMIFS('PSI Plan'!$N$6:$N$173,'PSI Plan'!$B$6:$B$173,B2621,'PSI Plan'!$C$6:$C$173,I2621))</f>
        <v>0</v>
      </c>
      <c r="O2621" s="11">
        <f t="shared" si="80"/>
        <v>0</v>
      </c>
      <c r="P2621" s="11">
        <f t="shared" si="81"/>
        <v>0</v>
      </c>
      <c r="Q2621" s="6"/>
      <c r="R2621" s="6"/>
      <c r="S2621" s="6"/>
      <c r="T2621" s="6"/>
    </row>
    <row r="2622" spans="1:20">
      <c r="A2622" s="6" t="s">
        <v>2790</v>
      </c>
      <c r="B2622" s="6" t="s">
        <v>66</v>
      </c>
      <c r="C2622" s="6" t="s">
        <v>95</v>
      </c>
      <c r="D2622" s="6" t="s">
        <v>567</v>
      </c>
      <c r="E2622" s="6" t="s">
        <v>120</v>
      </c>
      <c r="F2622" s="7">
        <v>20</v>
      </c>
      <c r="G2622" s="7">
        <v>2500</v>
      </c>
      <c r="H2622" s="16">
        <v>45237</v>
      </c>
      <c r="I2622" s="6">
        <v>45</v>
      </c>
      <c r="J2622" s="6" t="s">
        <v>1791</v>
      </c>
      <c r="K2622" s="6" t="s">
        <v>1792</v>
      </c>
      <c r="L2622" s="11">
        <f>F2622*Controls!$B$6</f>
        <v>20</v>
      </c>
      <c r="M2622" s="11">
        <f>G2622*Controls!$B$6</f>
        <v>2500</v>
      </c>
      <c r="N2622" s="12">
        <f>IF(L2622=0,0,SUMIFS('PSI Plan'!$N$6:$N$173,'PSI Plan'!$B$6:$B$173,B2622,'PSI Plan'!$C$6:$C$173,I2622))</f>
        <v>0</v>
      </c>
      <c r="O2622" s="11">
        <f t="shared" si="80"/>
        <v>0</v>
      </c>
      <c r="P2622" s="11">
        <f t="shared" si="81"/>
        <v>0</v>
      </c>
      <c r="Q2622" s="6"/>
      <c r="R2622" s="6"/>
      <c r="S2622" s="6"/>
      <c r="T2622" s="6"/>
    </row>
    <row r="2623" spans="1:20">
      <c r="A2623" s="6" t="s">
        <v>2791</v>
      </c>
      <c r="B2623" s="6" t="s">
        <v>66</v>
      </c>
      <c r="C2623" s="6" t="s">
        <v>95</v>
      </c>
      <c r="D2623" s="6" t="s">
        <v>567</v>
      </c>
      <c r="E2623" s="6" t="s">
        <v>120</v>
      </c>
      <c r="F2623" s="7">
        <v>22</v>
      </c>
      <c r="G2623" s="7">
        <v>2750</v>
      </c>
      <c r="H2623" s="16">
        <v>45206</v>
      </c>
      <c r="I2623" s="6">
        <v>40</v>
      </c>
      <c r="J2623" s="6" t="s">
        <v>1791</v>
      </c>
      <c r="K2623" s="6" t="s">
        <v>1792</v>
      </c>
      <c r="L2623" s="11">
        <f>F2623*Controls!$B$6</f>
        <v>22</v>
      </c>
      <c r="M2623" s="11">
        <f>G2623*Controls!$B$6</f>
        <v>2750</v>
      </c>
      <c r="N2623" s="12">
        <f>IF(L2623=0,0,SUMIFS('PSI Plan'!$N$6:$N$173,'PSI Plan'!$B$6:$B$173,B2623,'PSI Plan'!$C$6:$C$173,I2623))</f>
        <v>0</v>
      </c>
      <c r="O2623" s="11">
        <f t="shared" si="80"/>
        <v>0</v>
      </c>
      <c r="P2623" s="11">
        <f t="shared" si="81"/>
        <v>0</v>
      </c>
      <c r="Q2623" s="6"/>
      <c r="R2623" s="6"/>
      <c r="S2623" s="6"/>
      <c r="T2623" s="6"/>
    </row>
    <row r="2624" spans="1:20">
      <c r="A2624" s="6" t="s">
        <v>2792</v>
      </c>
      <c r="B2624" s="6" t="s">
        <v>76</v>
      </c>
      <c r="C2624" s="6" t="s">
        <v>95</v>
      </c>
      <c r="D2624" s="6" t="s">
        <v>567</v>
      </c>
      <c r="E2624" s="6" t="s">
        <v>120</v>
      </c>
      <c r="F2624" s="7">
        <v>20</v>
      </c>
      <c r="G2624" s="7">
        <v>2500</v>
      </c>
      <c r="H2624" s="16">
        <v>45282</v>
      </c>
      <c r="I2624" s="6">
        <v>51</v>
      </c>
      <c r="J2624" s="6" t="s">
        <v>1791</v>
      </c>
      <c r="K2624" s="6" t="s">
        <v>1792</v>
      </c>
      <c r="L2624" s="11">
        <f>F2624*Controls!$B$6</f>
        <v>20</v>
      </c>
      <c r="M2624" s="11">
        <f>G2624*Controls!$B$6</f>
        <v>2500</v>
      </c>
      <c r="N2624" s="12">
        <f>IF(L2624=0,0,SUMIFS('PSI Plan'!$N$6:$N$173,'PSI Plan'!$B$6:$B$173,B2624,'PSI Plan'!$C$6:$C$173,I2624))</f>
        <v>0</v>
      </c>
      <c r="O2624" s="11">
        <f t="shared" si="80"/>
        <v>0</v>
      </c>
      <c r="P2624" s="11">
        <f t="shared" si="81"/>
        <v>0</v>
      </c>
      <c r="Q2624" s="6"/>
      <c r="R2624" s="6"/>
      <c r="S2624" s="6"/>
      <c r="T2624" s="6"/>
    </row>
    <row r="2625" spans="1:20">
      <c r="A2625" s="6" t="s">
        <v>2793</v>
      </c>
      <c r="B2625" s="6" t="s">
        <v>69</v>
      </c>
      <c r="C2625" s="6" t="s">
        <v>95</v>
      </c>
      <c r="D2625" s="6" t="s">
        <v>567</v>
      </c>
      <c r="E2625" s="6" t="s">
        <v>120</v>
      </c>
      <c r="F2625" s="7">
        <v>20</v>
      </c>
      <c r="G2625" s="7">
        <v>2500</v>
      </c>
      <c r="H2625" s="16">
        <v>45233</v>
      </c>
      <c r="I2625" s="6">
        <v>44</v>
      </c>
      <c r="J2625" s="6" t="s">
        <v>1791</v>
      </c>
      <c r="K2625" s="6" t="s">
        <v>1792</v>
      </c>
      <c r="L2625" s="11">
        <f>F2625*Controls!$B$6</f>
        <v>20</v>
      </c>
      <c r="M2625" s="11">
        <f>G2625*Controls!$B$6</f>
        <v>2500</v>
      </c>
      <c r="N2625" s="12">
        <f>IF(L2625=0,0,SUMIFS('PSI Plan'!$N$6:$N$173,'PSI Plan'!$B$6:$B$173,B2625,'PSI Plan'!$C$6:$C$173,I2625))</f>
        <v>0</v>
      </c>
      <c r="O2625" s="11">
        <f t="shared" si="80"/>
        <v>0</v>
      </c>
      <c r="P2625" s="11">
        <f t="shared" si="81"/>
        <v>0</v>
      </c>
      <c r="Q2625" s="6"/>
      <c r="R2625" s="6"/>
      <c r="S2625" s="6"/>
      <c r="T2625" s="6"/>
    </row>
    <row r="2626" spans="1:20">
      <c r="A2626" s="6" t="s">
        <v>2794</v>
      </c>
      <c r="B2626" s="6" t="s">
        <v>66</v>
      </c>
      <c r="C2626" s="6" t="s">
        <v>90</v>
      </c>
      <c r="D2626" s="6" t="s">
        <v>119</v>
      </c>
      <c r="E2626" s="6" t="s">
        <v>120</v>
      </c>
      <c r="F2626" s="7">
        <v>26</v>
      </c>
      <c r="G2626" s="7">
        <v>3250</v>
      </c>
      <c r="H2626" s="16">
        <v>45251</v>
      </c>
      <c r="I2626" s="6">
        <v>47</v>
      </c>
      <c r="J2626" s="6" t="s">
        <v>121</v>
      </c>
      <c r="K2626" s="6" t="s">
        <v>169</v>
      </c>
      <c r="L2626" s="11">
        <f>F2626*Controls!$B$6</f>
        <v>26</v>
      </c>
      <c r="M2626" s="11">
        <f>G2626*Controls!$B$6</f>
        <v>3250</v>
      </c>
      <c r="N2626" s="12">
        <f>IF(L2626=0,0,SUMIFS('PSI Plan'!$N$6:$N$173,'PSI Plan'!$B$6:$B$173,B2626,'PSI Plan'!$C$6:$C$173,I2626))</f>
        <v>0</v>
      </c>
      <c r="O2626" s="11">
        <f t="shared" ref="O2626:O2689" si="82">L2626*N2626</f>
        <v>0</v>
      </c>
      <c r="P2626" s="11">
        <f t="shared" ref="P2626:P2689" si="83">M2626*N2626</f>
        <v>0</v>
      </c>
      <c r="Q2626" s="6"/>
      <c r="R2626" s="6"/>
      <c r="S2626" s="6"/>
      <c r="T2626" s="6"/>
    </row>
    <row r="2627" spans="1:20">
      <c r="A2627" s="6" t="s">
        <v>2795</v>
      </c>
      <c r="B2627" s="6" t="s">
        <v>77</v>
      </c>
      <c r="C2627" s="6" t="s">
        <v>90</v>
      </c>
      <c r="D2627" s="6" t="s">
        <v>119</v>
      </c>
      <c r="E2627" s="6" t="s">
        <v>120</v>
      </c>
      <c r="F2627" s="7">
        <v>26</v>
      </c>
      <c r="G2627" s="7">
        <v>3250</v>
      </c>
      <c r="H2627" s="16">
        <v>45215</v>
      </c>
      <c r="I2627" s="6">
        <v>42</v>
      </c>
      <c r="J2627" s="6" t="s">
        <v>121</v>
      </c>
      <c r="K2627" s="6" t="s">
        <v>169</v>
      </c>
      <c r="L2627" s="11">
        <f>F2627*Controls!$B$6</f>
        <v>26</v>
      </c>
      <c r="M2627" s="11">
        <f>G2627*Controls!$B$6</f>
        <v>3250</v>
      </c>
      <c r="N2627" s="12">
        <f>IF(L2627=0,0,SUMIFS('PSI Plan'!$N$6:$N$173,'PSI Plan'!$B$6:$B$173,B2627,'PSI Plan'!$C$6:$C$173,I2627))</f>
        <v>0</v>
      </c>
      <c r="O2627" s="11">
        <f t="shared" si="82"/>
        <v>0</v>
      </c>
      <c r="P2627" s="11">
        <f t="shared" si="83"/>
        <v>0</v>
      </c>
      <c r="Q2627" s="6"/>
      <c r="R2627" s="6"/>
      <c r="S2627" s="6"/>
      <c r="T2627" s="6"/>
    </row>
    <row r="2628" spans="1:20">
      <c r="A2628" s="6" t="s">
        <v>2796</v>
      </c>
      <c r="B2628" s="6" t="s">
        <v>69</v>
      </c>
      <c r="C2628" s="6" t="s">
        <v>90</v>
      </c>
      <c r="D2628" s="6" t="s">
        <v>119</v>
      </c>
      <c r="E2628" s="6" t="s">
        <v>120</v>
      </c>
      <c r="F2628" s="7">
        <v>26</v>
      </c>
      <c r="G2628" s="7">
        <v>3250</v>
      </c>
      <c r="H2628" s="16">
        <v>45266</v>
      </c>
      <c r="I2628" s="6">
        <v>49</v>
      </c>
      <c r="J2628" s="6" t="s">
        <v>121</v>
      </c>
      <c r="K2628" s="6" t="s">
        <v>169</v>
      </c>
      <c r="L2628" s="11">
        <f>F2628*Controls!$B$6</f>
        <v>26</v>
      </c>
      <c r="M2628" s="11">
        <f>G2628*Controls!$B$6</f>
        <v>3250</v>
      </c>
      <c r="N2628" s="12">
        <f>IF(L2628=0,0,SUMIFS('PSI Plan'!$N$6:$N$173,'PSI Plan'!$B$6:$B$173,B2628,'PSI Plan'!$C$6:$C$173,I2628))</f>
        <v>0</v>
      </c>
      <c r="O2628" s="11">
        <f t="shared" si="82"/>
        <v>0</v>
      </c>
      <c r="P2628" s="11">
        <f t="shared" si="83"/>
        <v>0</v>
      </c>
      <c r="Q2628" s="6"/>
      <c r="R2628" s="6"/>
      <c r="S2628" s="6"/>
      <c r="T2628" s="6"/>
    </row>
    <row r="2629" spans="1:20">
      <c r="A2629" s="6" t="s">
        <v>2797</v>
      </c>
      <c r="B2629" s="6" t="s">
        <v>66</v>
      </c>
      <c r="C2629" s="6" t="s">
        <v>90</v>
      </c>
      <c r="D2629" s="6" t="s">
        <v>119</v>
      </c>
      <c r="E2629" s="6" t="s">
        <v>120</v>
      </c>
      <c r="F2629" s="7">
        <v>39</v>
      </c>
      <c r="G2629" s="7">
        <v>4875</v>
      </c>
      <c r="H2629" s="16">
        <v>45226</v>
      </c>
      <c r="I2629" s="6">
        <v>43</v>
      </c>
      <c r="J2629" s="6" t="s">
        <v>121</v>
      </c>
      <c r="K2629" s="6" t="s">
        <v>125</v>
      </c>
      <c r="L2629" s="11">
        <f>F2629*Controls!$B$6</f>
        <v>39</v>
      </c>
      <c r="M2629" s="11">
        <f>G2629*Controls!$B$6</f>
        <v>4875</v>
      </c>
      <c r="N2629" s="12">
        <f>IF(L2629=0,0,SUMIFS('PSI Plan'!$N$6:$N$173,'PSI Plan'!$B$6:$B$173,B2629,'PSI Plan'!$C$6:$C$173,I2629))</f>
        <v>0</v>
      </c>
      <c r="O2629" s="11">
        <f t="shared" si="82"/>
        <v>0</v>
      </c>
      <c r="P2629" s="11">
        <f t="shared" si="83"/>
        <v>0</v>
      </c>
      <c r="Q2629" s="6"/>
      <c r="R2629" s="6"/>
      <c r="S2629" s="6"/>
      <c r="T2629" s="6"/>
    </row>
    <row r="2630" spans="1:20">
      <c r="A2630" s="6" t="s">
        <v>2798</v>
      </c>
      <c r="B2630" s="6" t="s">
        <v>77</v>
      </c>
      <c r="C2630" s="6" t="s">
        <v>90</v>
      </c>
      <c r="D2630" s="6" t="s">
        <v>119</v>
      </c>
      <c r="E2630" s="6" t="s">
        <v>120</v>
      </c>
      <c r="F2630" s="7">
        <v>39</v>
      </c>
      <c r="G2630" s="7">
        <v>4875</v>
      </c>
      <c r="H2630" s="16">
        <v>45240</v>
      </c>
      <c r="I2630" s="6">
        <v>45</v>
      </c>
      <c r="J2630" s="6" t="s">
        <v>121</v>
      </c>
      <c r="K2630" s="6" t="s">
        <v>125</v>
      </c>
      <c r="L2630" s="11">
        <f>F2630*Controls!$B$6</f>
        <v>39</v>
      </c>
      <c r="M2630" s="11">
        <f>G2630*Controls!$B$6</f>
        <v>4875</v>
      </c>
      <c r="N2630" s="12">
        <f>IF(L2630=0,0,SUMIFS('PSI Plan'!$N$6:$N$173,'PSI Plan'!$B$6:$B$173,B2630,'PSI Plan'!$C$6:$C$173,I2630))</f>
        <v>0</v>
      </c>
      <c r="O2630" s="11">
        <f t="shared" si="82"/>
        <v>0</v>
      </c>
      <c r="P2630" s="11">
        <f t="shared" si="83"/>
        <v>0</v>
      </c>
      <c r="Q2630" s="6"/>
      <c r="R2630" s="6"/>
      <c r="S2630" s="6"/>
      <c r="T2630" s="6"/>
    </row>
    <row r="2631" spans="1:20">
      <c r="A2631" s="6" t="s">
        <v>2799</v>
      </c>
      <c r="B2631" s="6" t="s">
        <v>69</v>
      </c>
      <c r="C2631" s="6" t="s">
        <v>90</v>
      </c>
      <c r="D2631" s="6" t="s">
        <v>119</v>
      </c>
      <c r="E2631" s="6" t="s">
        <v>120</v>
      </c>
      <c r="F2631" s="7">
        <v>39</v>
      </c>
      <c r="G2631" s="7">
        <v>4875</v>
      </c>
      <c r="H2631" s="16">
        <v>45262</v>
      </c>
      <c r="I2631" s="6">
        <v>48</v>
      </c>
      <c r="J2631" s="6" t="s">
        <v>121</v>
      </c>
      <c r="K2631" s="6" t="s">
        <v>125</v>
      </c>
      <c r="L2631" s="11">
        <f>F2631*Controls!$B$6</f>
        <v>39</v>
      </c>
      <c r="M2631" s="11">
        <f>G2631*Controls!$B$6</f>
        <v>4875</v>
      </c>
      <c r="N2631" s="12">
        <f>IF(L2631=0,0,SUMIFS('PSI Plan'!$N$6:$N$173,'PSI Plan'!$B$6:$B$173,B2631,'PSI Plan'!$C$6:$C$173,I2631))</f>
        <v>0</v>
      </c>
      <c r="O2631" s="11">
        <f t="shared" si="82"/>
        <v>0</v>
      </c>
      <c r="P2631" s="11">
        <f t="shared" si="83"/>
        <v>0</v>
      </c>
      <c r="Q2631" s="6"/>
      <c r="R2631" s="6"/>
      <c r="S2631" s="6"/>
      <c r="T2631" s="6"/>
    </row>
    <row r="2632" spans="1:20">
      <c r="A2632" s="6" t="s">
        <v>2800</v>
      </c>
      <c r="B2632" s="6" t="s">
        <v>77</v>
      </c>
      <c r="C2632" s="6" t="s">
        <v>90</v>
      </c>
      <c r="D2632" s="6" t="s">
        <v>119</v>
      </c>
      <c r="E2632" s="6" t="s">
        <v>120</v>
      </c>
      <c r="F2632" s="7">
        <v>52</v>
      </c>
      <c r="G2632" s="7">
        <v>6500</v>
      </c>
      <c r="H2632" s="16">
        <v>45231</v>
      </c>
      <c r="I2632" s="6">
        <v>44</v>
      </c>
      <c r="J2632" s="6" t="s">
        <v>121</v>
      </c>
      <c r="K2632" s="6" t="s">
        <v>725</v>
      </c>
      <c r="L2632" s="11">
        <f>F2632*Controls!$B$6</f>
        <v>52</v>
      </c>
      <c r="M2632" s="11">
        <f>G2632*Controls!$B$6</f>
        <v>6500</v>
      </c>
      <c r="N2632" s="12">
        <f>IF(L2632=0,0,SUMIFS('PSI Plan'!$N$6:$N$173,'PSI Plan'!$B$6:$B$173,B2632,'PSI Plan'!$C$6:$C$173,I2632))</f>
        <v>0</v>
      </c>
      <c r="O2632" s="11">
        <f t="shared" si="82"/>
        <v>0</v>
      </c>
      <c r="P2632" s="11">
        <f t="shared" si="83"/>
        <v>0</v>
      </c>
      <c r="Q2632" s="6"/>
      <c r="R2632" s="6"/>
      <c r="S2632" s="6"/>
      <c r="T2632" s="6"/>
    </row>
    <row r="2633" spans="1:20">
      <c r="A2633" s="6" t="s">
        <v>2801</v>
      </c>
      <c r="B2633" s="6" t="s">
        <v>69</v>
      </c>
      <c r="C2633" s="6" t="s">
        <v>90</v>
      </c>
      <c r="D2633" s="6" t="s">
        <v>119</v>
      </c>
      <c r="E2633" s="6" t="s">
        <v>120</v>
      </c>
      <c r="F2633" s="7">
        <v>12</v>
      </c>
      <c r="G2633" s="7">
        <v>1500</v>
      </c>
      <c r="H2633" s="16">
        <v>45260</v>
      </c>
      <c r="I2633" s="6">
        <v>48</v>
      </c>
      <c r="J2633" s="6" t="s">
        <v>121</v>
      </c>
      <c r="K2633" s="6" t="s">
        <v>725</v>
      </c>
      <c r="L2633" s="11">
        <f>F2633*Controls!$B$6</f>
        <v>12</v>
      </c>
      <c r="M2633" s="11">
        <f>G2633*Controls!$B$6</f>
        <v>1500</v>
      </c>
      <c r="N2633" s="12">
        <f>IF(L2633=0,0,SUMIFS('PSI Plan'!$N$6:$N$173,'PSI Plan'!$B$6:$B$173,B2633,'PSI Plan'!$C$6:$C$173,I2633))</f>
        <v>0</v>
      </c>
      <c r="O2633" s="11">
        <f t="shared" si="82"/>
        <v>0</v>
      </c>
      <c r="P2633" s="11">
        <f t="shared" si="83"/>
        <v>0</v>
      </c>
      <c r="Q2633" s="6"/>
      <c r="R2633" s="6"/>
      <c r="S2633" s="6"/>
      <c r="T2633" s="6"/>
    </row>
    <row r="2634" spans="1:20">
      <c r="A2634" s="6" t="s">
        <v>2802</v>
      </c>
      <c r="B2634" s="6" t="s">
        <v>66</v>
      </c>
      <c r="C2634" s="6" t="s">
        <v>90</v>
      </c>
      <c r="D2634" s="6" t="s">
        <v>119</v>
      </c>
      <c r="E2634" s="6" t="s">
        <v>120</v>
      </c>
      <c r="F2634" s="7">
        <v>52</v>
      </c>
      <c r="G2634" s="7">
        <v>6500</v>
      </c>
      <c r="H2634" s="16">
        <v>45216</v>
      </c>
      <c r="I2634" s="6">
        <v>42</v>
      </c>
      <c r="J2634" s="6" t="s">
        <v>121</v>
      </c>
      <c r="K2634" s="6" t="s">
        <v>122</v>
      </c>
      <c r="L2634" s="11">
        <f>F2634*Controls!$B$6</f>
        <v>52</v>
      </c>
      <c r="M2634" s="11">
        <f>G2634*Controls!$B$6</f>
        <v>6500</v>
      </c>
      <c r="N2634" s="12">
        <f>IF(L2634=0,0,SUMIFS('PSI Plan'!$N$6:$N$173,'PSI Plan'!$B$6:$B$173,B2634,'PSI Plan'!$C$6:$C$173,I2634))</f>
        <v>0.59807073954983925</v>
      </c>
      <c r="O2634" s="11">
        <f t="shared" si="82"/>
        <v>31.09967845659164</v>
      </c>
      <c r="P2634" s="11">
        <f t="shared" si="83"/>
        <v>3887.4598070739553</v>
      </c>
      <c r="Q2634" s="6"/>
      <c r="R2634" s="6"/>
      <c r="S2634" s="6"/>
      <c r="T2634" s="6"/>
    </row>
    <row r="2635" spans="1:20">
      <c r="A2635" s="6" t="s">
        <v>2803</v>
      </c>
      <c r="B2635" s="6" t="s">
        <v>76</v>
      </c>
      <c r="C2635" s="6" t="s">
        <v>90</v>
      </c>
      <c r="D2635" s="6" t="s">
        <v>119</v>
      </c>
      <c r="E2635" s="6" t="s">
        <v>120</v>
      </c>
      <c r="F2635" s="7">
        <v>26</v>
      </c>
      <c r="G2635" s="7">
        <v>3250</v>
      </c>
      <c r="H2635" s="16">
        <v>45246</v>
      </c>
      <c r="I2635" s="6">
        <v>46</v>
      </c>
      <c r="J2635" s="6" t="s">
        <v>121</v>
      </c>
      <c r="K2635" s="6" t="s">
        <v>122</v>
      </c>
      <c r="L2635" s="11">
        <f>F2635*Controls!$B$6</f>
        <v>26</v>
      </c>
      <c r="M2635" s="11">
        <f>G2635*Controls!$B$6</f>
        <v>3250</v>
      </c>
      <c r="N2635" s="12">
        <f>IF(L2635=0,0,SUMIFS('PSI Plan'!$N$6:$N$173,'PSI Plan'!$B$6:$B$173,B2635,'PSI Plan'!$C$6:$C$173,I2635))</f>
        <v>0</v>
      </c>
      <c r="O2635" s="11">
        <f t="shared" si="82"/>
        <v>0</v>
      </c>
      <c r="P2635" s="11">
        <f t="shared" si="83"/>
        <v>0</v>
      </c>
      <c r="Q2635" s="6"/>
      <c r="R2635" s="6"/>
      <c r="S2635" s="6"/>
      <c r="T2635" s="6"/>
    </row>
    <row r="2636" spans="1:20">
      <c r="A2636" s="6" t="s">
        <v>2804</v>
      </c>
      <c r="B2636" s="6" t="s">
        <v>67</v>
      </c>
      <c r="C2636" s="6" t="s">
        <v>90</v>
      </c>
      <c r="D2636" s="6" t="s">
        <v>119</v>
      </c>
      <c r="E2636" s="6" t="s">
        <v>120</v>
      </c>
      <c r="F2636" s="7">
        <v>2</v>
      </c>
      <c r="G2636" s="7">
        <v>250</v>
      </c>
      <c r="H2636" s="16">
        <v>45248</v>
      </c>
      <c r="I2636" s="6">
        <v>46</v>
      </c>
      <c r="J2636" s="6" t="s">
        <v>121</v>
      </c>
      <c r="K2636" s="6" t="s">
        <v>122</v>
      </c>
      <c r="L2636" s="11">
        <f>F2636*Controls!$B$6</f>
        <v>2</v>
      </c>
      <c r="M2636" s="11">
        <f>G2636*Controls!$B$6</f>
        <v>250</v>
      </c>
      <c r="N2636" s="12">
        <f>IF(L2636=0,0,SUMIFS('PSI Plan'!$N$6:$N$173,'PSI Plan'!$B$6:$B$173,B2636,'PSI Plan'!$C$6:$C$173,I2636))</f>
        <v>0</v>
      </c>
      <c r="O2636" s="11">
        <f t="shared" si="82"/>
        <v>0</v>
      </c>
      <c r="P2636" s="11">
        <f t="shared" si="83"/>
        <v>0</v>
      </c>
      <c r="Q2636" s="6"/>
      <c r="R2636" s="6"/>
      <c r="S2636" s="6"/>
      <c r="T2636" s="6"/>
    </row>
    <row r="2637" spans="1:20">
      <c r="A2637" s="6" t="s">
        <v>2805</v>
      </c>
      <c r="B2637" s="6" t="s">
        <v>66</v>
      </c>
      <c r="C2637" s="6" t="s">
        <v>90</v>
      </c>
      <c r="D2637" s="6" t="s">
        <v>119</v>
      </c>
      <c r="E2637" s="6" t="s">
        <v>120</v>
      </c>
      <c r="F2637" s="7">
        <v>4</v>
      </c>
      <c r="G2637" s="7">
        <v>500</v>
      </c>
      <c r="H2637" s="16">
        <v>45205</v>
      </c>
      <c r="I2637" s="6">
        <v>40</v>
      </c>
      <c r="J2637" s="6" t="s">
        <v>121</v>
      </c>
      <c r="K2637" s="6" t="s">
        <v>139</v>
      </c>
      <c r="L2637" s="11">
        <f>F2637*Controls!$B$6</f>
        <v>4</v>
      </c>
      <c r="M2637" s="11">
        <f>G2637*Controls!$B$6</f>
        <v>500</v>
      </c>
      <c r="N2637" s="12">
        <f>IF(L2637=0,0,SUMIFS('PSI Plan'!$N$6:$N$173,'PSI Plan'!$B$6:$B$173,B2637,'PSI Plan'!$C$6:$C$173,I2637))</f>
        <v>0</v>
      </c>
      <c r="O2637" s="11">
        <f t="shared" si="82"/>
        <v>0</v>
      </c>
      <c r="P2637" s="11">
        <f t="shared" si="83"/>
        <v>0</v>
      </c>
      <c r="Q2637" s="6"/>
      <c r="R2637" s="6"/>
      <c r="S2637" s="6"/>
      <c r="T2637" s="6"/>
    </row>
    <row r="2638" spans="1:20">
      <c r="A2638" s="6" t="s">
        <v>2806</v>
      </c>
      <c r="B2638" s="6" t="s">
        <v>69</v>
      </c>
      <c r="C2638" s="6" t="s">
        <v>90</v>
      </c>
      <c r="D2638" s="6" t="s">
        <v>119</v>
      </c>
      <c r="E2638" s="6" t="s">
        <v>120</v>
      </c>
      <c r="F2638" s="7">
        <v>8</v>
      </c>
      <c r="G2638" s="7">
        <v>1000</v>
      </c>
      <c r="H2638" s="16">
        <v>45222</v>
      </c>
      <c r="I2638" s="6">
        <v>43</v>
      </c>
      <c r="J2638" s="6" t="s">
        <v>121</v>
      </c>
      <c r="K2638" s="6" t="s">
        <v>139</v>
      </c>
      <c r="L2638" s="11">
        <f>F2638*Controls!$B$6</f>
        <v>8</v>
      </c>
      <c r="M2638" s="11">
        <f>G2638*Controls!$B$6</f>
        <v>1000</v>
      </c>
      <c r="N2638" s="12">
        <f>IF(L2638=0,0,SUMIFS('PSI Plan'!$N$6:$N$173,'PSI Plan'!$B$6:$B$173,B2638,'PSI Plan'!$C$6:$C$173,I2638))</f>
        <v>0</v>
      </c>
      <c r="O2638" s="11">
        <f t="shared" si="82"/>
        <v>0</v>
      </c>
      <c r="P2638" s="11">
        <f t="shared" si="83"/>
        <v>0</v>
      </c>
      <c r="Q2638" s="6"/>
      <c r="R2638" s="6"/>
      <c r="S2638" s="6"/>
      <c r="T2638" s="6"/>
    </row>
    <row r="2639" spans="1:20">
      <c r="A2639" s="6" t="s">
        <v>2807</v>
      </c>
      <c r="B2639" s="6" t="s">
        <v>66</v>
      </c>
      <c r="C2639" s="6" t="s">
        <v>90</v>
      </c>
      <c r="D2639" s="6" t="s">
        <v>119</v>
      </c>
      <c r="E2639" s="6" t="s">
        <v>120</v>
      </c>
      <c r="F2639" s="7">
        <v>13</v>
      </c>
      <c r="G2639" s="7">
        <v>1625</v>
      </c>
      <c r="H2639" s="16">
        <v>45288</v>
      </c>
      <c r="I2639" s="6">
        <v>52</v>
      </c>
      <c r="J2639" s="6" t="s">
        <v>121</v>
      </c>
      <c r="K2639" s="6" t="s">
        <v>1695</v>
      </c>
      <c r="L2639" s="11">
        <f>F2639*Controls!$B$6</f>
        <v>13</v>
      </c>
      <c r="M2639" s="11">
        <f>G2639*Controls!$B$6</f>
        <v>1625</v>
      </c>
      <c r="N2639" s="12">
        <f>IF(L2639=0,0,SUMIFS('PSI Plan'!$N$6:$N$173,'PSI Plan'!$B$6:$B$173,B2639,'PSI Plan'!$C$6:$C$173,I2639))</f>
        <v>0</v>
      </c>
      <c r="O2639" s="11">
        <f t="shared" si="82"/>
        <v>0</v>
      </c>
      <c r="P2639" s="11">
        <f t="shared" si="83"/>
        <v>0</v>
      </c>
      <c r="Q2639" s="6"/>
      <c r="R2639" s="6"/>
      <c r="S2639" s="6"/>
      <c r="T2639" s="6"/>
    </row>
    <row r="2640" spans="1:20">
      <c r="A2640" s="6" t="s">
        <v>2808</v>
      </c>
      <c r="B2640" s="6" t="s">
        <v>77</v>
      </c>
      <c r="C2640" s="6" t="s">
        <v>90</v>
      </c>
      <c r="D2640" s="6" t="s">
        <v>119</v>
      </c>
      <c r="E2640" s="6" t="s">
        <v>120</v>
      </c>
      <c r="F2640" s="7">
        <v>13</v>
      </c>
      <c r="G2640" s="7">
        <v>1625</v>
      </c>
      <c r="H2640" s="16">
        <v>45278</v>
      </c>
      <c r="I2640" s="6">
        <v>51</v>
      </c>
      <c r="J2640" s="6" t="s">
        <v>121</v>
      </c>
      <c r="K2640" s="6" t="s">
        <v>1695</v>
      </c>
      <c r="L2640" s="11">
        <f>F2640*Controls!$B$6</f>
        <v>13</v>
      </c>
      <c r="M2640" s="11">
        <f>G2640*Controls!$B$6</f>
        <v>1625</v>
      </c>
      <c r="N2640" s="12">
        <f>IF(L2640=0,0,SUMIFS('PSI Plan'!$N$6:$N$173,'PSI Plan'!$B$6:$B$173,B2640,'PSI Plan'!$C$6:$C$173,I2640))</f>
        <v>0</v>
      </c>
      <c r="O2640" s="11">
        <f t="shared" si="82"/>
        <v>0</v>
      </c>
      <c r="P2640" s="11">
        <f t="shared" si="83"/>
        <v>0</v>
      </c>
      <c r="Q2640" s="6"/>
      <c r="R2640" s="6"/>
      <c r="S2640" s="6"/>
      <c r="T2640" s="6"/>
    </row>
    <row r="2641" spans="1:20">
      <c r="A2641" s="6" t="s">
        <v>2809</v>
      </c>
      <c r="B2641" s="6" t="s">
        <v>76</v>
      </c>
      <c r="C2641" s="6" t="s">
        <v>90</v>
      </c>
      <c r="D2641" s="6" t="s">
        <v>119</v>
      </c>
      <c r="E2641" s="6" t="s">
        <v>120</v>
      </c>
      <c r="F2641" s="7">
        <v>13</v>
      </c>
      <c r="G2641" s="7">
        <v>1625</v>
      </c>
      <c r="H2641" s="16">
        <v>45269</v>
      </c>
      <c r="I2641" s="6">
        <v>49</v>
      </c>
      <c r="J2641" s="6" t="s">
        <v>121</v>
      </c>
      <c r="K2641" s="6" t="s">
        <v>1695</v>
      </c>
      <c r="L2641" s="11">
        <f>F2641*Controls!$B$6</f>
        <v>13</v>
      </c>
      <c r="M2641" s="11">
        <f>G2641*Controls!$B$6</f>
        <v>1625</v>
      </c>
      <c r="N2641" s="12">
        <f>IF(L2641=0,0,SUMIFS('PSI Plan'!$N$6:$N$173,'PSI Plan'!$B$6:$B$173,B2641,'PSI Plan'!$C$6:$C$173,I2641))</f>
        <v>0</v>
      </c>
      <c r="O2641" s="11">
        <f t="shared" si="82"/>
        <v>0</v>
      </c>
      <c r="P2641" s="11">
        <f t="shared" si="83"/>
        <v>0</v>
      </c>
      <c r="Q2641" s="6"/>
      <c r="R2641" s="6"/>
      <c r="S2641" s="6"/>
      <c r="T2641" s="6"/>
    </row>
    <row r="2642" spans="1:20">
      <c r="A2642" s="6" t="s">
        <v>2810</v>
      </c>
      <c r="B2642" s="6" t="s">
        <v>69</v>
      </c>
      <c r="C2642" s="6" t="s">
        <v>90</v>
      </c>
      <c r="D2642" s="6" t="s">
        <v>119</v>
      </c>
      <c r="E2642" s="6" t="s">
        <v>120</v>
      </c>
      <c r="F2642" s="7">
        <v>13</v>
      </c>
      <c r="G2642" s="7">
        <v>1625</v>
      </c>
      <c r="H2642" s="16">
        <v>45288</v>
      </c>
      <c r="I2642" s="6">
        <v>52</v>
      </c>
      <c r="J2642" s="6" t="s">
        <v>121</v>
      </c>
      <c r="K2642" s="6" t="s">
        <v>1695</v>
      </c>
      <c r="L2642" s="11">
        <f>F2642*Controls!$B$6</f>
        <v>13</v>
      </c>
      <c r="M2642" s="11">
        <f>G2642*Controls!$B$6</f>
        <v>1625</v>
      </c>
      <c r="N2642" s="12">
        <f>IF(L2642=0,0,SUMIFS('PSI Plan'!$N$6:$N$173,'PSI Plan'!$B$6:$B$173,B2642,'PSI Plan'!$C$6:$C$173,I2642))</f>
        <v>0</v>
      </c>
      <c r="O2642" s="11">
        <f t="shared" si="82"/>
        <v>0</v>
      </c>
      <c r="P2642" s="11">
        <f t="shared" si="83"/>
        <v>0</v>
      </c>
      <c r="Q2642" s="6"/>
      <c r="R2642" s="6"/>
      <c r="S2642" s="6"/>
      <c r="T2642" s="6"/>
    </row>
    <row r="2643" spans="1:20">
      <c r="A2643" s="6" t="s">
        <v>2811</v>
      </c>
      <c r="B2643" s="6" t="s">
        <v>66</v>
      </c>
      <c r="C2643" s="6" t="s">
        <v>90</v>
      </c>
      <c r="D2643" s="6" t="s">
        <v>119</v>
      </c>
      <c r="E2643" s="6" t="s">
        <v>120</v>
      </c>
      <c r="F2643" s="7">
        <v>39</v>
      </c>
      <c r="G2643" s="7">
        <v>4875</v>
      </c>
      <c r="H2643" s="16">
        <v>45246</v>
      </c>
      <c r="I2643" s="6">
        <v>46</v>
      </c>
      <c r="J2643" s="6" t="s">
        <v>121</v>
      </c>
      <c r="K2643" s="6" t="s">
        <v>169</v>
      </c>
      <c r="L2643" s="11">
        <f>F2643*Controls!$B$6</f>
        <v>39</v>
      </c>
      <c r="M2643" s="11">
        <f>G2643*Controls!$B$6</f>
        <v>4875</v>
      </c>
      <c r="N2643" s="12">
        <f>IF(L2643=0,0,SUMIFS('PSI Plan'!$N$6:$N$173,'PSI Plan'!$B$6:$B$173,B2643,'PSI Plan'!$C$6:$C$173,I2643))</f>
        <v>0</v>
      </c>
      <c r="O2643" s="11">
        <f t="shared" si="82"/>
        <v>0</v>
      </c>
      <c r="P2643" s="11">
        <f t="shared" si="83"/>
        <v>0</v>
      </c>
      <c r="Q2643" s="6"/>
      <c r="R2643" s="6"/>
      <c r="S2643" s="6"/>
      <c r="T2643" s="6"/>
    </row>
    <row r="2644" spans="1:20">
      <c r="A2644" s="6" t="s">
        <v>2812</v>
      </c>
      <c r="B2644" s="6" t="s">
        <v>77</v>
      </c>
      <c r="C2644" s="6" t="s">
        <v>90</v>
      </c>
      <c r="D2644" s="6" t="s">
        <v>119</v>
      </c>
      <c r="E2644" s="6" t="s">
        <v>120</v>
      </c>
      <c r="F2644" s="7">
        <v>39</v>
      </c>
      <c r="G2644" s="7">
        <v>4875</v>
      </c>
      <c r="H2644" s="16">
        <v>45222</v>
      </c>
      <c r="I2644" s="6">
        <v>43</v>
      </c>
      <c r="J2644" s="6" t="s">
        <v>121</v>
      </c>
      <c r="K2644" s="6" t="s">
        <v>169</v>
      </c>
      <c r="L2644" s="11">
        <f>F2644*Controls!$B$6</f>
        <v>39</v>
      </c>
      <c r="M2644" s="11">
        <f>G2644*Controls!$B$6</f>
        <v>4875</v>
      </c>
      <c r="N2644" s="12">
        <f>IF(L2644=0,0,SUMIFS('PSI Plan'!$N$6:$N$173,'PSI Plan'!$B$6:$B$173,B2644,'PSI Plan'!$C$6:$C$173,I2644))</f>
        <v>0</v>
      </c>
      <c r="O2644" s="11">
        <f t="shared" si="82"/>
        <v>0</v>
      </c>
      <c r="P2644" s="11">
        <f t="shared" si="83"/>
        <v>0</v>
      </c>
      <c r="Q2644" s="6"/>
      <c r="R2644" s="6"/>
      <c r="S2644" s="6"/>
      <c r="T2644" s="6"/>
    </row>
    <row r="2645" spans="1:20">
      <c r="A2645" s="6" t="s">
        <v>2813</v>
      </c>
      <c r="B2645" s="6" t="s">
        <v>69</v>
      </c>
      <c r="C2645" s="6" t="s">
        <v>90</v>
      </c>
      <c r="D2645" s="6" t="s">
        <v>119</v>
      </c>
      <c r="E2645" s="6" t="s">
        <v>120</v>
      </c>
      <c r="F2645" s="7">
        <v>39</v>
      </c>
      <c r="G2645" s="7">
        <v>4875</v>
      </c>
      <c r="H2645" s="16">
        <v>45213</v>
      </c>
      <c r="I2645" s="6">
        <v>41</v>
      </c>
      <c r="J2645" s="6" t="s">
        <v>121</v>
      </c>
      <c r="K2645" s="6" t="s">
        <v>169</v>
      </c>
      <c r="L2645" s="11">
        <f>F2645*Controls!$B$6</f>
        <v>39</v>
      </c>
      <c r="M2645" s="11">
        <f>G2645*Controls!$B$6</f>
        <v>4875</v>
      </c>
      <c r="N2645" s="12">
        <f>IF(L2645=0,0,SUMIFS('PSI Plan'!$N$6:$N$173,'PSI Plan'!$B$6:$B$173,B2645,'PSI Plan'!$C$6:$C$173,I2645))</f>
        <v>0</v>
      </c>
      <c r="O2645" s="11">
        <f t="shared" si="82"/>
        <v>0</v>
      </c>
      <c r="P2645" s="11">
        <f t="shared" si="83"/>
        <v>0</v>
      </c>
      <c r="Q2645" s="6"/>
      <c r="R2645" s="6"/>
      <c r="S2645" s="6"/>
      <c r="T2645" s="6"/>
    </row>
    <row r="2646" spans="1:20">
      <c r="A2646" s="6" t="s">
        <v>2814</v>
      </c>
      <c r="B2646" s="6" t="s">
        <v>66</v>
      </c>
      <c r="C2646" s="6" t="s">
        <v>91</v>
      </c>
      <c r="D2646" s="6" t="s">
        <v>567</v>
      </c>
      <c r="E2646" s="6" t="s">
        <v>120</v>
      </c>
      <c r="F2646" s="7">
        <v>26</v>
      </c>
      <c r="G2646" s="7">
        <v>3250</v>
      </c>
      <c r="H2646" s="16">
        <v>45244</v>
      </c>
      <c r="I2646" s="6">
        <v>46</v>
      </c>
      <c r="J2646" s="6" t="s">
        <v>121</v>
      </c>
      <c r="K2646" s="6" t="s">
        <v>1740</v>
      </c>
      <c r="L2646" s="11">
        <f>F2646*Controls!$B$6</f>
        <v>26</v>
      </c>
      <c r="M2646" s="11">
        <f>G2646*Controls!$B$6</f>
        <v>3250</v>
      </c>
      <c r="N2646" s="12">
        <f>IF(L2646=0,0,SUMIFS('PSI Plan'!$N$6:$N$173,'PSI Plan'!$B$6:$B$173,B2646,'PSI Plan'!$C$6:$C$173,I2646))</f>
        <v>0</v>
      </c>
      <c r="O2646" s="11">
        <f t="shared" si="82"/>
        <v>0</v>
      </c>
      <c r="P2646" s="11">
        <f t="shared" si="83"/>
        <v>0</v>
      </c>
      <c r="Q2646" s="6"/>
      <c r="R2646" s="6"/>
      <c r="S2646" s="6"/>
      <c r="T2646" s="6"/>
    </row>
    <row r="2647" spans="1:20">
      <c r="A2647" s="6" t="s">
        <v>2815</v>
      </c>
      <c r="B2647" s="6" t="s">
        <v>77</v>
      </c>
      <c r="C2647" s="6" t="s">
        <v>91</v>
      </c>
      <c r="D2647" s="6" t="s">
        <v>567</v>
      </c>
      <c r="E2647" s="6" t="s">
        <v>120</v>
      </c>
      <c r="F2647" s="7">
        <v>26</v>
      </c>
      <c r="G2647" s="7">
        <v>3250</v>
      </c>
      <c r="H2647" s="16">
        <v>45246</v>
      </c>
      <c r="I2647" s="6">
        <v>46</v>
      </c>
      <c r="J2647" s="6" t="s">
        <v>121</v>
      </c>
      <c r="K2647" s="6" t="s">
        <v>1740</v>
      </c>
      <c r="L2647" s="11">
        <f>F2647*Controls!$B$6</f>
        <v>26</v>
      </c>
      <c r="M2647" s="11">
        <f>G2647*Controls!$B$6</f>
        <v>3250</v>
      </c>
      <c r="N2647" s="12">
        <f>IF(L2647=0,0,SUMIFS('PSI Plan'!$N$6:$N$173,'PSI Plan'!$B$6:$B$173,B2647,'PSI Plan'!$C$6:$C$173,I2647))</f>
        <v>0</v>
      </c>
      <c r="O2647" s="11">
        <f t="shared" si="82"/>
        <v>0</v>
      </c>
      <c r="P2647" s="11">
        <f t="shared" si="83"/>
        <v>0</v>
      </c>
      <c r="Q2647" s="6"/>
      <c r="R2647" s="6"/>
      <c r="S2647" s="6"/>
      <c r="T2647" s="6"/>
    </row>
    <row r="2648" spans="1:20">
      <c r="A2648" s="6" t="s">
        <v>2816</v>
      </c>
      <c r="B2648" s="6" t="s">
        <v>76</v>
      </c>
      <c r="C2648" s="6" t="s">
        <v>91</v>
      </c>
      <c r="D2648" s="6" t="s">
        <v>567</v>
      </c>
      <c r="E2648" s="6" t="s">
        <v>120</v>
      </c>
      <c r="F2648" s="7">
        <v>26</v>
      </c>
      <c r="G2648" s="7">
        <v>3250</v>
      </c>
      <c r="H2648" s="16">
        <v>45269</v>
      </c>
      <c r="I2648" s="6">
        <v>49</v>
      </c>
      <c r="J2648" s="6" t="s">
        <v>121</v>
      </c>
      <c r="K2648" s="6" t="s">
        <v>1740</v>
      </c>
      <c r="L2648" s="11">
        <f>F2648*Controls!$B$6</f>
        <v>26</v>
      </c>
      <c r="M2648" s="11">
        <f>G2648*Controls!$B$6</f>
        <v>3250</v>
      </c>
      <c r="N2648" s="12">
        <f>IF(L2648=0,0,SUMIFS('PSI Plan'!$N$6:$N$173,'PSI Plan'!$B$6:$B$173,B2648,'PSI Plan'!$C$6:$C$173,I2648))</f>
        <v>0</v>
      </c>
      <c r="O2648" s="11">
        <f t="shared" si="82"/>
        <v>0</v>
      </c>
      <c r="P2648" s="11">
        <f t="shared" si="83"/>
        <v>0</v>
      </c>
      <c r="Q2648" s="6"/>
      <c r="R2648" s="6"/>
      <c r="S2648" s="6"/>
      <c r="T2648" s="6"/>
    </row>
    <row r="2649" spans="1:20">
      <c r="A2649" s="6" t="s">
        <v>2817</v>
      </c>
      <c r="B2649" s="6" t="s">
        <v>69</v>
      </c>
      <c r="C2649" s="6" t="s">
        <v>91</v>
      </c>
      <c r="D2649" s="6" t="s">
        <v>567</v>
      </c>
      <c r="E2649" s="6" t="s">
        <v>120</v>
      </c>
      <c r="F2649" s="7">
        <v>26</v>
      </c>
      <c r="G2649" s="7">
        <v>3250</v>
      </c>
      <c r="H2649" s="16">
        <v>45223</v>
      </c>
      <c r="I2649" s="6">
        <v>43</v>
      </c>
      <c r="J2649" s="6" t="s">
        <v>121</v>
      </c>
      <c r="K2649" s="6" t="s">
        <v>1740</v>
      </c>
      <c r="L2649" s="11">
        <f>F2649*Controls!$B$6</f>
        <v>26</v>
      </c>
      <c r="M2649" s="11">
        <f>G2649*Controls!$B$6</f>
        <v>3250</v>
      </c>
      <c r="N2649" s="12">
        <f>IF(L2649=0,0,SUMIFS('PSI Plan'!$N$6:$N$173,'PSI Plan'!$B$6:$B$173,B2649,'PSI Plan'!$C$6:$C$173,I2649))</f>
        <v>0</v>
      </c>
      <c r="O2649" s="11">
        <f t="shared" si="82"/>
        <v>0</v>
      </c>
      <c r="P2649" s="11">
        <f t="shared" si="83"/>
        <v>0</v>
      </c>
      <c r="Q2649" s="6"/>
      <c r="R2649" s="6"/>
      <c r="S2649" s="6"/>
      <c r="T2649" s="6"/>
    </row>
    <row r="2650" spans="1:20">
      <c r="A2650" s="6" t="s">
        <v>2818</v>
      </c>
      <c r="B2650" s="6" t="s">
        <v>66</v>
      </c>
      <c r="C2650" s="6" t="s">
        <v>93</v>
      </c>
      <c r="D2650" s="6" t="s">
        <v>1895</v>
      </c>
      <c r="E2650" s="6" t="s">
        <v>120</v>
      </c>
      <c r="F2650" s="7">
        <v>141</v>
      </c>
      <c r="G2650" s="7">
        <v>17625</v>
      </c>
      <c r="H2650" s="16">
        <v>45200</v>
      </c>
      <c r="I2650" s="6">
        <v>40</v>
      </c>
      <c r="J2650" s="6" t="s">
        <v>1791</v>
      </c>
      <c r="K2650" s="6" t="s">
        <v>1896</v>
      </c>
      <c r="L2650" s="11">
        <f>F2650*Controls!$B$6</f>
        <v>141</v>
      </c>
      <c r="M2650" s="11">
        <f>G2650*Controls!$B$6</f>
        <v>17625</v>
      </c>
      <c r="N2650" s="12">
        <f>IF(L2650=0,0,SUMIFS('PSI Plan'!$N$6:$N$173,'PSI Plan'!$B$6:$B$173,B2650,'PSI Plan'!$C$6:$C$173,I2650))</f>
        <v>0</v>
      </c>
      <c r="O2650" s="11">
        <f t="shared" si="82"/>
        <v>0</v>
      </c>
      <c r="P2650" s="11">
        <f t="shared" si="83"/>
        <v>0</v>
      </c>
      <c r="Q2650" s="6"/>
      <c r="R2650" s="6"/>
      <c r="S2650" s="6"/>
      <c r="T2650" s="6"/>
    </row>
    <row r="2651" spans="1:20">
      <c r="A2651" s="6" t="s">
        <v>2819</v>
      </c>
      <c r="B2651" s="6" t="s">
        <v>66</v>
      </c>
      <c r="C2651" s="6" t="s">
        <v>93</v>
      </c>
      <c r="D2651" s="6" t="s">
        <v>1895</v>
      </c>
      <c r="E2651" s="6" t="s">
        <v>120</v>
      </c>
      <c r="F2651" s="7">
        <v>141</v>
      </c>
      <c r="G2651" s="7">
        <v>17625</v>
      </c>
      <c r="H2651" s="16">
        <v>45213</v>
      </c>
      <c r="I2651" s="6">
        <v>41</v>
      </c>
      <c r="J2651" s="6" t="s">
        <v>1791</v>
      </c>
      <c r="K2651" s="6" t="s">
        <v>1896</v>
      </c>
      <c r="L2651" s="11">
        <f>F2651*Controls!$B$6</f>
        <v>141</v>
      </c>
      <c r="M2651" s="11">
        <f>G2651*Controls!$B$6</f>
        <v>17625</v>
      </c>
      <c r="N2651" s="12">
        <f>IF(L2651=0,0,SUMIFS('PSI Plan'!$N$6:$N$173,'PSI Plan'!$B$6:$B$173,B2651,'PSI Plan'!$C$6:$C$173,I2651))</f>
        <v>0.22897465437788017</v>
      </c>
      <c r="O2651" s="11">
        <f t="shared" si="82"/>
        <v>32.285426267281103</v>
      </c>
      <c r="P2651" s="11">
        <f t="shared" si="83"/>
        <v>4035.6782834101382</v>
      </c>
      <c r="Q2651" s="6"/>
      <c r="R2651" s="6"/>
      <c r="S2651" s="6"/>
      <c r="T2651" s="6"/>
    </row>
    <row r="2652" spans="1:20">
      <c r="A2652" s="6" t="s">
        <v>2820</v>
      </c>
      <c r="B2652" s="6" t="s">
        <v>76</v>
      </c>
      <c r="C2652" s="6" t="s">
        <v>93</v>
      </c>
      <c r="D2652" s="6" t="s">
        <v>1895</v>
      </c>
      <c r="E2652" s="6" t="s">
        <v>120</v>
      </c>
      <c r="F2652" s="7">
        <v>141</v>
      </c>
      <c r="G2652" s="7">
        <v>17625</v>
      </c>
      <c r="H2652" s="16">
        <v>45274</v>
      </c>
      <c r="I2652" s="6">
        <v>50</v>
      </c>
      <c r="J2652" s="6" t="s">
        <v>1791</v>
      </c>
      <c r="K2652" s="6" t="s">
        <v>1896</v>
      </c>
      <c r="L2652" s="11">
        <f>F2652*Controls!$B$6</f>
        <v>141</v>
      </c>
      <c r="M2652" s="11">
        <f>G2652*Controls!$B$6</f>
        <v>17625</v>
      </c>
      <c r="N2652" s="12">
        <f>IF(L2652=0,0,SUMIFS('PSI Plan'!$N$6:$N$173,'PSI Plan'!$B$6:$B$173,B2652,'PSI Plan'!$C$6:$C$173,I2652))</f>
        <v>0</v>
      </c>
      <c r="O2652" s="11">
        <f t="shared" si="82"/>
        <v>0</v>
      </c>
      <c r="P2652" s="11">
        <f t="shared" si="83"/>
        <v>0</v>
      </c>
      <c r="Q2652" s="6"/>
      <c r="R2652" s="6"/>
      <c r="S2652" s="6"/>
      <c r="T2652" s="6"/>
    </row>
    <row r="2653" spans="1:20">
      <c r="A2653" s="6" t="s">
        <v>2821</v>
      </c>
      <c r="B2653" s="6" t="s">
        <v>67</v>
      </c>
      <c r="C2653" s="6" t="s">
        <v>93</v>
      </c>
      <c r="D2653" s="6" t="s">
        <v>1895</v>
      </c>
      <c r="E2653" s="6" t="s">
        <v>120</v>
      </c>
      <c r="F2653" s="7">
        <v>141</v>
      </c>
      <c r="G2653" s="7">
        <v>17625</v>
      </c>
      <c r="H2653" s="16">
        <v>45225</v>
      </c>
      <c r="I2653" s="6">
        <v>43</v>
      </c>
      <c r="J2653" s="6" t="s">
        <v>1791</v>
      </c>
      <c r="K2653" s="6" t="s">
        <v>1896</v>
      </c>
      <c r="L2653" s="11">
        <f>F2653*Controls!$B$6</f>
        <v>141</v>
      </c>
      <c r="M2653" s="11">
        <f>G2653*Controls!$B$6</f>
        <v>17625</v>
      </c>
      <c r="N2653" s="12">
        <f>IF(L2653=0,0,SUMIFS('PSI Plan'!$N$6:$N$173,'PSI Plan'!$B$6:$B$173,B2653,'PSI Plan'!$C$6:$C$173,I2653))</f>
        <v>0</v>
      </c>
      <c r="O2653" s="11">
        <f t="shared" si="82"/>
        <v>0</v>
      </c>
      <c r="P2653" s="11">
        <f t="shared" si="83"/>
        <v>0</v>
      </c>
      <c r="Q2653" s="6"/>
      <c r="R2653" s="6"/>
      <c r="S2653" s="6"/>
      <c r="T2653" s="6"/>
    </row>
    <row r="2654" spans="1:20">
      <c r="A2654" s="6" t="s">
        <v>2822</v>
      </c>
      <c r="B2654" s="6" t="s">
        <v>74</v>
      </c>
      <c r="C2654" s="6" t="s">
        <v>94</v>
      </c>
      <c r="D2654" s="6" t="s">
        <v>567</v>
      </c>
      <c r="E2654" s="6" t="s">
        <v>120</v>
      </c>
      <c r="F2654" s="7">
        <v>5</v>
      </c>
      <c r="G2654" s="7">
        <v>625</v>
      </c>
      <c r="H2654" s="16">
        <v>45268</v>
      </c>
      <c r="I2654" s="6">
        <v>49</v>
      </c>
      <c r="J2654" s="6" t="s">
        <v>121</v>
      </c>
      <c r="K2654" s="6" t="s">
        <v>1777</v>
      </c>
      <c r="L2654" s="11">
        <f>F2654*Controls!$B$6</f>
        <v>5</v>
      </c>
      <c r="M2654" s="11">
        <f>G2654*Controls!$B$6</f>
        <v>625</v>
      </c>
      <c r="N2654" s="12">
        <f>IF(L2654=0,0,SUMIFS('PSI Plan'!$N$6:$N$173,'PSI Plan'!$B$6:$B$173,B2654,'PSI Plan'!$C$6:$C$173,I2654))</f>
        <v>0</v>
      </c>
      <c r="O2654" s="11">
        <f t="shared" si="82"/>
        <v>0</v>
      </c>
      <c r="P2654" s="11">
        <f t="shared" si="83"/>
        <v>0</v>
      </c>
      <c r="Q2654" s="6"/>
      <c r="R2654" s="6"/>
      <c r="S2654" s="6"/>
      <c r="T2654" s="6"/>
    </row>
    <row r="2655" spans="1:20">
      <c r="A2655" s="6" t="s">
        <v>2823</v>
      </c>
      <c r="B2655" s="6" t="s">
        <v>66</v>
      </c>
      <c r="C2655" s="6" t="s">
        <v>100</v>
      </c>
      <c r="D2655" s="6" t="s">
        <v>567</v>
      </c>
      <c r="E2655" s="6" t="s">
        <v>120</v>
      </c>
      <c r="F2655" s="7">
        <v>10</v>
      </c>
      <c r="G2655" s="7">
        <v>1250</v>
      </c>
      <c r="H2655" s="16">
        <v>45289</v>
      </c>
      <c r="I2655" s="6">
        <v>52</v>
      </c>
      <c r="J2655" s="6" t="s">
        <v>121</v>
      </c>
      <c r="K2655" s="6" t="s">
        <v>1777</v>
      </c>
      <c r="L2655" s="11">
        <f>F2655*Controls!$B$6</f>
        <v>10</v>
      </c>
      <c r="M2655" s="11">
        <f>G2655*Controls!$B$6</f>
        <v>1250</v>
      </c>
      <c r="N2655" s="12">
        <f>IF(L2655=0,0,SUMIFS('PSI Plan'!$N$6:$N$173,'PSI Plan'!$B$6:$B$173,B2655,'PSI Plan'!$C$6:$C$173,I2655))</f>
        <v>0</v>
      </c>
      <c r="O2655" s="11">
        <f t="shared" si="82"/>
        <v>0</v>
      </c>
      <c r="P2655" s="11">
        <f t="shared" si="83"/>
        <v>0</v>
      </c>
      <c r="Q2655" s="6"/>
      <c r="R2655" s="6"/>
      <c r="S2655" s="6"/>
      <c r="T2655" s="6"/>
    </row>
    <row r="2656" spans="1:20">
      <c r="A2656" s="6" t="s">
        <v>2824</v>
      </c>
      <c r="B2656" s="6" t="s">
        <v>77</v>
      </c>
      <c r="C2656" s="6" t="s">
        <v>100</v>
      </c>
      <c r="D2656" s="6" t="s">
        <v>567</v>
      </c>
      <c r="E2656" s="6" t="s">
        <v>120</v>
      </c>
      <c r="F2656" s="7">
        <v>20</v>
      </c>
      <c r="G2656" s="7">
        <v>2500</v>
      </c>
      <c r="H2656" s="16">
        <v>45266</v>
      </c>
      <c r="I2656" s="6">
        <v>49</v>
      </c>
      <c r="J2656" s="6" t="s">
        <v>121</v>
      </c>
      <c r="K2656" s="6" t="s">
        <v>1777</v>
      </c>
      <c r="L2656" s="11">
        <f>F2656*Controls!$B$6</f>
        <v>20</v>
      </c>
      <c r="M2656" s="11">
        <f>G2656*Controls!$B$6</f>
        <v>2500</v>
      </c>
      <c r="N2656" s="12">
        <f>IF(L2656=0,0,SUMIFS('PSI Plan'!$N$6:$N$173,'PSI Plan'!$B$6:$B$173,B2656,'PSI Plan'!$C$6:$C$173,I2656))</f>
        <v>0</v>
      </c>
      <c r="O2656" s="11">
        <f t="shared" si="82"/>
        <v>0</v>
      </c>
      <c r="P2656" s="11">
        <f t="shared" si="83"/>
        <v>0</v>
      </c>
      <c r="Q2656" s="6"/>
      <c r="R2656" s="6"/>
      <c r="S2656" s="6"/>
      <c r="T2656" s="6"/>
    </row>
    <row r="2657" spans="1:20">
      <c r="A2657" s="6" t="s">
        <v>2825</v>
      </c>
      <c r="B2657" s="6" t="s">
        <v>76</v>
      </c>
      <c r="C2657" s="6" t="s">
        <v>100</v>
      </c>
      <c r="D2657" s="6" t="s">
        <v>567</v>
      </c>
      <c r="E2657" s="6" t="s">
        <v>120</v>
      </c>
      <c r="F2657" s="7">
        <v>10</v>
      </c>
      <c r="G2657" s="7">
        <v>1250</v>
      </c>
      <c r="H2657" s="16">
        <v>45222</v>
      </c>
      <c r="I2657" s="6">
        <v>43</v>
      </c>
      <c r="J2657" s="6" t="s">
        <v>121</v>
      </c>
      <c r="K2657" s="6" t="s">
        <v>1777</v>
      </c>
      <c r="L2657" s="11">
        <f>F2657*Controls!$B$6</f>
        <v>10</v>
      </c>
      <c r="M2657" s="11">
        <f>G2657*Controls!$B$6</f>
        <v>1250</v>
      </c>
      <c r="N2657" s="12">
        <f>IF(L2657=0,0,SUMIFS('PSI Plan'!$N$6:$N$173,'PSI Plan'!$B$6:$B$173,B2657,'PSI Plan'!$C$6:$C$173,I2657))</f>
        <v>0</v>
      </c>
      <c r="O2657" s="11">
        <f t="shared" si="82"/>
        <v>0</v>
      </c>
      <c r="P2657" s="11">
        <f t="shared" si="83"/>
        <v>0</v>
      </c>
      <c r="Q2657" s="6"/>
      <c r="R2657" s="6"/>
      <c r="S2657" s="6"/>
      <c r="T2657" s="6"/>
    </row>
    <row r="2658" spans="1:20">
      <c r="A2658" s="6" t="s">
        <v>2826</v>
      </c>
      <c r="B2658" s="6" t="s">
        <v>69</v>
      </c>
      <c r="C2658" s="6" t="s">
        <v>100</v>
      </c>
      <c r="D2658" s="6" t="s">
        <v>567</v>
      </c>
      <c r="E2658" s="6" t="s">
        <v>120</v>
      </c>
      <c r="F2658" s="7">
        <v>24</v>
      </c>
      <c r="G2658" s="7">
        <v>3000</v>
      </c>
      <c r="H2658" s="16">
        <v>45244</v>
      </c>
      <c r="I2658" s="6">
        <v>46</v>
      </c>
      <c r="J2658" s="6" t="s">
        <v>121</v>
      </c>
      <c r="K2658" s="6" t="s">
        <v>1777</v>
      </c>
      <c r="L2658" s="11">
        <f>F2658*Controls!$B$6</f>
        <v>24</v>
      </c>
      <c r="M2658" s="11">
        <f>G2658*Controls!$B$6</f>
        <v>3000</v>
      </c>
      <c r="N2658" s="12">
        <f>IF(L2658=0,0,SUMIFS('PSI Plan'!$N$6:$N$173,'PSI Plan'!$B$6:$B$173,B2658,'PSI Plan'!$C$6:$C$173,I2658))</f>
        <v>0</v>
      </c>
      <c r="O2658" s="11">
        <f t="shared" si="82"/>
        <v>0</v>
      </c>
      <c r="P2658" s="11">
        <f t="shared" si="83"/>
        <v>0</v>
      </c>
      <c r="Q2658" s="6"/>
      <c r="R2658" s="6"/>
      <c r="S2658" s="6"/>
      <c r="T2658" s="6"/>
    </row>
    <row r="2659" spans="1:20">
      <c r="A2659" s="6" t="s">
        <v>2827</v>
      </c>
      <c r="B2659" s="6" t="s">
        <v>66</v>
      </c>
      <c r="C2659" s="6" t="s">
        <v>99</v>
      </c>
      <c r="D2659" s="6" t="s">
        <v>319</v>
      </c>
      <c r="E2659" s="6" t="s">
        <v>120</v>
      </c>
      <c r="F2659" s="7">
        <v>18</v>
      </c>
      <c r="G2659" s="7">
        <v>2250</v>
      </c>
      <c r="H2659" s="16">
        <v>45237</v>
      </c>
      <c r="I2659" s="6">
        <v>45</v>
      </c>
      <c r="J2659" s="6" t="s">
        <v>121</v>
      </c>
      <c r="K2659" s="6" t="s">
        <v>374</v>
      </c>
      <c r="L2659" s="11">
        <f>F2659*Controls!$B$6</f>
        <v>18</v>
      </c>
      <c r="M2659" s="11">
        <f>G2659*Controls!$B$6</f>
        <v>2250</v>
      </c>
      <c r="N2659" s="12">
        <f>IF(L2659=0,0,SUMIFS('PSI Plan'!$N$6:$N$173,'PSI Plan'!$B$6:$B$173,B2659,'PSI Plan'!$C$6:$C$173,I2659))</f>
        <v>0</v>
      </c>
      <c r="O2659" s="11">
        <f t="shared" si="82"/>
        <v>0</v>
      </c>
      <c r="P2659" s="11">
        <f t="shared" si="83"/>
        <v>0</v>
      </c>
      <c r="Q2659" s="6"/>
      <c r="R2659" s="6"/>
      <c r="S2659" s="6"/>
      <c r="T2659" s="6"/>
    </row>
    <row r="2660" spans="1:20">
      <c r="A2660" s="6" t="s">
        <v>2828</v>
      </c>
      <c r="B2660" s="6" t="s">
        <v>77</v>
      </c>
      <c r="C2660" s="6" t="s">
        <v>99</v>
      </c>
      <c r="D2660" s="6" t="s">
        <v>319</v>
      </c>
      <c r="E2660" s="6" t="s">
        <v>120</v>
      </c>
      <c r="F2660" s="7">
        <v>18</v>
      </c>
      <c r="G2660" s="7">
        <v>2250</v>
      </c>
      <c r="H2660" s="16">
        <v>45251</v>
      </c>
      <c r="I2660" s="6">
        <v>47</v>
      </c>
      <c r="J2660" s="6" t="s">
        <v>121</v>
      </c>
      <c r="K2660" s="6" t="s">
        <v>374</v>
      </c>
      <c r="L2660" s="11">
        <f>F2660*Controls!$B$6</f>
        <v>18</v>
      </c>
      <c r="M2660" s="11">
        <f>G2660*Controls!$B$6</f>
        <v>2250</v>
      </c>
      <c r="N2660" s="12">
        <f>IF(L2660=0,0,SUMIFS('PSI Plan'!$N$6:$N$173,'PSI Plan'!$B$6:$B$173,B2660,'PSI Plan'!$C$6:$C$173,I2660))</f>
        <v>0</v>
      </c>
      <c r="O2660" s="11">
        <f t="shared" si="82"/>
        <v>0</v>
      </c>
      <c r="P2660" s="11">
        <f t="shared" si="83"/>
        <v>0</v>
      </c>
      <c r="Q2660" s="6"/>
      <c r="R2660" s="6"/>
      <c r="S2660" s="6"/>
      <c r="T2660" s="6"/>
    </row>
    <row r="2661" spans="1:20">
      <c r="A2661" s="6" t="s">
        <v>2829</v>
      </c>
      <c r="B2661" s="6" t="s">
        <v>76</v>
      </c>
      <c r="C2661" s="6" t="s">
        <v>99</v>
      </c>
      <c r="D2661" s="6" t="s">
        <v>319</v>
      </c>
      <c r="E2661" s="6" t="s">
        <v>120</v>
      </c>
      <c r="F2661" s="7">
        <v>14</v>
      </c>
      <c r="G2661" s="7">
        <v>1750</v>
      </c>
      <c r="H2661" s="16">
        <v>45249</v>
      </c>
      <c r="I2661" s="6">
        <v>47</v>
      </c>
      <c r="J2661" s="6" t="s">
        <v>121</v>
      </c>
      <c r="K2661" s="6" t="s">
        <v>374</v>
      </c>
      <c r="L2661" s="11">
        <f>F2661*Controls!$B$6</f>
        <v>14</v>
      </c>
      <c r="M2661" s="11">
        <f>G2661*Controls!$B$6</f>
        <v>1750</v>
      </c>
      <c r="N2661" s="12">
        <f>IF(L2661=0,0,SUMIFS('PSI Plan'!$N$6:$N$173,'PSI Plan'!$B$6:$B$173,B2661,'PSI Plan'!$C$6:$C$173,I2661))</f>
        <v>0</v>
      </c>
      <c r="O2661" s="11">
        <f t="shared" si="82"/>
        <v>0</v>
      </c>
      <c r="P2661" s="11">
        <f t="shared" si="83"/>
        <v>0</v>
      </c>
      <c r="Q2661" s="6"/>
      <c r="R2661" s="6"/>
      <c r="S2661" s="6"/>
      <c r="T2661" s="6"/>
    </row>
    <row r="2662" spans="1:20">
      <c r="A2662" s="6" t="s">
        <v>2830</v>
      </c>
      <c r="B2662" s="6" t="s">
        <v>69</v>
      </c>
      <c r="C2662" s="6" t="s">
        <v>99</v>
      </c>
      <c r="D2662" s="6" t="s">
        <v>319</v>
      </c>
      <c r="E2662" s="6" t="s">
        <v>120</v>
      </c>
      <c r="F2662" s="7">
        <v>16</v>
      </c>
      <c r="G2662" s="7">
        <v>2000</v>
      </c>
      <c r="H2662" s="16">
        <v>45262</v>
      </c>
      <c r="I2662" s="6">
        <v>48</v>
      </c>
      <c r="J2662" s="6" t="s">
        <v>121</v>
      </c>
      <c r="K2662" s="6" t="s">
        <v>374</v>
      </c>
      <c r="L2662" s="11">
        <f>F2662*Controls!$B$6</f>
        <v>16</v>
      </c>
      <c r="M2662" s="11">
        <f>G2662*Controls!$B$6</f>
        <v>2000</v>
      </c>
      <c r="N2662" s="12">
        <f>IF(L2662=0,0,SUMIFS('PSI Plan'!$N$6:$N$173,'PSI Plan'!$B$6:$B$173,B2662,'PSI Plan'!$C$6:$C$173,I2662))</f>
        <v>0</v>
      </c>
      <c r="O2662" s="11">
        <f t="shared" si="82"/>
        <v>0</v>
      </c>
      <c r="P2662" s="11">
        <f t="shared" si="83"/>
        <v>0</v>
      </c>
      <c r="Q2662" s="6"/>
      <c r="R2662" s="6"/>
      <c r="S2662" s="6"/>
      <c r="T2662" s="6"/>
    </row>
    <row r="2663" spans="1:20">
      <c r="A2663" s="6" t="s">
        <v>2831</v>
      </c>
      <c r="B2663" s="6" t="s">
        <v>66</v>
      </c>
      <c r="C2663" s="6" t="s">
        <v>95</v>
      </c>
      <c r="D2663" s="6" t="s">
        <v>567</v>
      </c>
      <c r="E2663" s="6" t="s">
        <v>120</v>
      </c>
      <c r="F2663" s="7">
        <v>60</v>
      </c>
      <c r="G2663" s="7">
        <v>7500</v>
      </c>
      <c r="H2663" s="16">
        <v>45222</v>
      </c>
      <c r="I2663" s="6">
        <v>43</v>
      </c>
      <c r="J2663" s="6" t="s">
        <v>2151</v>
      </c>
      <c r="K2663" s="6" t="s">
        <v>2526</v>
      </c>
      <c r="L2663" s="11">
        <f>F2663*Controls!$B$6</f>
        <v>60</v>
      </c>
      <c r="M2663" s="11">
        <f>G2663*Controls!$B$6</f>
        <v>7500</v>
      </c>
      <c r="N2663" s="12">
        <f>IF(L2663=0,0,SUMIFS('PSI Plan'!$N$6:$N$173,'PSI Plan'!$B$6:$B$173,B2663,'PSI Plan'!$C$6:$C$173,I2663))</f>
        <v>0</v>
      </c>
      <c r="O2663" s="11">
        <f t="shared" si="82"/>
        <v>0</v>
      </c>
      <c r="P2663" s="11">
        <f t="shared" si="83"/>
        <v>0</v>
      </c>
      <c r="Q2663" s="6"/>
      <c r="R2663" s="6"/>
      <c r="S2663" s="6"/>
      <c r="T2663" s="6"/>
    </row>
    <row r="2664" spans="1:20">
      <c r="A2664" s="6" t="s">
        <v>2832</v>
      </c>
      <c r="B2664" s="6" t="s">
        <v>66</v>
      </c>
      <c r="C2664" s="6" t="s">
        <v>95</v>
      </c>
      <c r="D2664" s="6" t="s">
        <v>567</v>
      </c>
      <c r="E2664" s="6" t="s">
        <v>120</v>
      </c>
      <c r="F2664" s="7">
        <v>60</v>
      </c>
      <c r="G2664" s="7">
        <v>7500</v>
      </c>
      <c r="H2664" s="16">
        <v>45265</v>
      </c>
      <c r="I2664" s="6">
        <v>49</v>
      </c>
      <c r="J2664" s="6" t="s">
        <v>2151</v>
      </c>
      <c r="K2664" s="6" t="s">
        <v>2526</v>
      </c>
      <c r="L2664" s="11">
        <f>F2664*Controls!$B$6</f>
        <v>60</v>
      </c>
      <c r="M2664" s="11">
        <f>G2664*Controls!$B$6</f>
        <v>7500</v>
      </c>
      <c r="N2664" s="12">
        <f>IF(L2664=0,0,SUMIFS('PSI Plan'!$N$6:$N$173,'PSI Plan'!$B$6:$B$173,B2664,'PSI Plan'!$C$6:$C$173,I2664))</f>
        <v>0</v>
      </c>
      <c r="O2664" s="11">
        <f t="shared" si="82"/>
        <v>0</v>
      </c>
      <c r="P2664" s="11">
        <f t="shared" si="83"/>
        <v>0</v>
      </c>
      <c r="Q2664" s="6"/>
      <c r="R2664" s="6"/>
      <c r="S2664" s="6"/>
      <c r="T2664" s="6"/>
    </row>
    <row r="2665" spans="1:20">
      <c r="A2665" s="6" t="s">
        <v>2833</v>
      </c>
      <c r="B2665" s="6" t="s">
        <v>76</v>
      </c>
      <c r="C2665" s="6" t="s">
        <v>95</v>
      </c>
      <c r="D2665" s="6" t="s">
        <v>567</v>
      </c>
      <c r="E2665" s="6" t="s">
        <v>120</v>
      </c>
      <c r="F2665" s="7">
        <v>60</v>
      </c>
      <c r="G2665" s="7">
        <v>7500</v>
      </c>
      <c r="H2665" s="16">
        <v>45282</v>
      </c>
      <c r="I2665" s="6">
        <v>51</v>
      </c>
      <c r="J2665" s="6" t="s">
        <v>2151</v>
      </c>
      <c r="K2665" s="6" t="s">
        <v>2526</v>
      </c>
      <c r="L2665" s="11">
        <f>F2665*Controls!$B$6</f>
        <v>60</v>
      </c>
      <c r="M2665" s="11">
        <f>G2665*Controls!$B$6</f>
        <v>7500</v>
      </c>
      <c r="N2665" s="12">
        <f>IF(L2665=0,0,SUMIFS('PSI Plan'!$N$6:$N$173,'PSI Plan'!$B$6:$B$173,B2665,'PSI Plan'!$C$6:$C$173,I2665))</f>
        <v>0</v>
      </c>
      <c r="O2665" s="11">
        <f t="shared" si="82"/>
        <v>0</v>
      </c>
      <c r="P2665" s="11">
        <f t="shared" si="83"/>
        <v>0</v>
      </c>
      <c r="Q2665" s="6"/>
      <c r="R2665" s="6"/>
      <c r="S2665" s="6"/>
      <c r="T2665" s="6"/>
    </row>
    <row r="2666" spans="1:20">
      <c r="A2666" s="6" t="s">
        <v>2834</v>
      </c>
      <c r="B2666" s="6" t="s">
        <v>67</v>
      </c>
      <c r="C2666" s="6" t="s">
        <v>95</v>
      </c>
      <c r="D2666" s="6" t="s">
        <v>567</v>
      </c>
      <c r="E2666" s="6" t="s">
        <v>120</v>
      </c>
      <c r="F2666" s="7">
        <v>60</v>
      </c>
      <c r="G2666" s="7">
        <v>7500</v>
      </c>
      <c r="H2666" s="16">
        <v>45253</v>
      </c>
      <c r="I2666" s="6">
        <v>47</v>
      </c>
      <c r="J2666" s="6" t="s">
        <v>2151</v>
      </c>
      <c r="K2666" s="6" t="s">
        <v>2526</v>
      </c>
      <c r="L2666" s="11">
        <f>F2666*Controls!$B$6</f>
        <v>60</v>
      </c>
      <c r="M2666" s="11">
        <f>G2666*Controls!$B$6</f>
        <v>7500</v>
      </c>
      <c r="N2666" s="12">
        <f>IF(L2666=0,0,SUMIFS('PSI Plan'!$N$6:$N$173,'PSI Plan'!$B$6:$B$173,B2666,'PSI Plan'!$C$6:$C$173,I2666))</f>
        <v>0</v>
      </c>
      <c r="O2666" s="11">
        <f t="shared" si="82"/>
        <v>0</v>
      </c>
      <c r="P2666" s="11">
        <f t="shared" si="83"/>
        <v>0</v>
      </c>
      <c r="Q2666" s="6"/>
      <c r="R2666" s="6"/>
      <c r="S2666" s="6"/>
      <c r="T2666" s="6"/>
    </row>
    <row r="2667" spans="1:20">
      <c r="A2667" s="6" t="s">
        <v>2835</v>
      </c>
      <c r="B2667" s="6" t="s">
        <v>69</v>
      </c>
      <c r="C2667" s="6" t="s">
        <v>95</v>
      </c>
      <c r="D2667" s="6" t="s">
        <v>567</v>
      </c>
      <c r="E2667" s="6" t="s">
        <v>120</v>
      </c>
      <c r="F2667" s="7">
        <v>60</v>
      </c>
      <c r="G2667" s="7">
        <v>7500</v>
      </c>
      <c r="H2667" s="16">
        <v>45212</v>
      </c>
      <c r="I2667" s="6">
        <v>41</v>
      </c>
      <c r="J2667" s="6" t="s">
        <v>2151</v>
      </c>
      <c r="K2667" s="6" t="s">
        <v>2526</v>
      </c>
      <c r="L2667" s="11">
        <f>F2667*Controls!$B$6</f>
        <v>60</v>
      </c>
      <c r="M2667" s="11">
        <f>G2667*Controls!$B$6</f>
        <v>7500</v>
      </c>
      <c r="N2667" s="12">
        <f>IF(L2667=0,0,SUMIFS('PSI Plan'!$N$6:$N$173,'PSI Plan'!$B$6:$B$173,B2667,'PSI Plan'!$C$6:$C$173,I2667))</f>
        <v>0</v>
      </c>
      <c r="O2667" s="11">
        <f t="shared" si="82"/>
        <v>0</v>
      </c>
      <c r="P2667" s="11">
        <f t="shared" si="83"/>
        <v>0</v>
      </c>
      <c r="Q2667" s="6"/>
      <c r="R2667" s="6"/>
      <c r="S2667" s="6"/>
      <c r="T2667" s="6"/>
    </row>
    <row r="2668" spans="1:20">
      <c r="A2668" s="6" t="s">
        <v>2836</v>
      </c>
      <c r="B2668" s="6" t="s">
        <v>66</v>
      </c>
      <c r="C2668" s="6" t="s">
        <v>90</v>
      </c>
      <c r="D2668" s="6" t="s">
        <v>119</v>
      </c>
      <c r="E2668" s="6" t="s">
        <v>120</v>
      </c>
      <c r="F2668" s="7">
        <v>39</v>
      </c>
      <c r="G2668" s="7">
        <v>4875</v>
      </c>
      <c r="H2668" s="16">
        <v>45209</v>
      </c>
      <c r="I2668" s="6">
        <v>41</v>
      </c>
      <c r="J2668" s="6" t="s">
        <v>121</v>
      </c>
      <c r="K2668" s="6" t="s">
        <v>171</v>
      </c>
      <c r="L2668" s="11">
        <f>F2668*Controls!$B$6</f>
        <v>39</v>
      </c>
      <c r="M2668" s="11">
        <f>G2668*Controls!$B$6</f>
        <v>4875</v>
      </c>
      <c r="N2668" s="12">
        <f>IF(L2668=0,0,SUMIFS('PSI Plan'!$N$6:$N$173,'PSI Plan'!$B$6:$B$173,B2668,'PSI Plan'!$C$6:$C$173,I2668))</f>
        <v>0.22897465437788017</v>
      </c>
      <c r="O2668" s="11">
        <f t="shared" si="82"/>
        <v>8.9300115207373274</v>
      </c>
      <c r="P2668" s="11">
        <f t="shared" si="83"/>
        <v>1116.2514400921659</v>
      </c>
      <c r="Q2668" s="6"/>
      <c r="R2668" s="6"/>
      <c r="S2668" s="6"/>
      <c r="T2668" s="6"/>
    </row>
    <row r="2669" spans="1:20">
      <c r="A2669" s="6" t="s">
        <v>2837</v>
      </c>
      <c r="B2669" s="6" t="s">
        <v>77</v>
      </c>
      <c r="C2669" s="6" t="s">
        <v>90</v>
      </c>
      <c r="D2669" s="6" t="s">
        <v>119</v>
      </c>
      <c r="E2669" s="6" t="s">
        <v>120</v>
      </c>
      <c r="F2669" s="7">
        <v>52</v>
      </c>
      <c r="G2669" s="7">
        <v>6500</v>
      </c>
      <c r="H2669" s="16">
        <v>45226</v>
      </c>
      <c r="I2669" s="6">
        <v>43</v>
      </c>
      <c r="J2669" s="6" t="s">
        <v>121</v>
      </c>
      <c r="K2669" s="6" t="s">
        <v>171</v>
      </c>
      <c r="L2669" s="11">
        <f>F2669*Controls!$B$6</f>
        <v>52</v>
      </c>
      <c r="M2669" s="11">
        <f>G2669*Controls!$B$6</f>
        <v>6500</v>
      </c>
      <c r="N2669" s="12">
        <f>IF(L2669=0,0,SUMIFS('PSI Plan'!$N$6:$N$173,'PSI Plan'!$B$6:$B$173,B2669,'PSI Plan'!$C$6:$C$173,I2669))</f>
        <v>0</v>
      </c>
      <c r="O2669" s="11">
        <f t="shared" si="82"/>
        <v>0</v>
      </c>
      <c r="P2669" s="11">
        <f t="shared" si="83"/>
        <v>0</v>
      </c>
      <c r="Q2669" s="6"/>
      <c r="R2669" s="6"/>
      <c r="S2669" s="6"/>
      <c r="T2669" s="6"/>
    </row>
    <row r="2670" spans="1:20">
      <c r="A2670" s="6" t="s">
        <v>2838</v>
      </c>
      <c r="B2670" s="6" t="s">
        <v>69</v>
      </c>
      <c r="C2670" s="6" t="s">
        <v>90</v>
      </c>
      <c r="D2670" s="6" t="s">
        <v>119</v>
      </c>
      <c r="E2670" s="6" t="s">
        <v>120</v>
      </c>
      <c r="F2670" s="7">
        <v>52</v>
      </c>
      <c r="G2670" s="7">
        <v>6500</v>
      </c>
      <c r="H2670" s="16">
        <v>45226</v>
      </c>
      <c r="I2670" s="6">
        <v>43</v>
      </c>
      <c r="J2670" s="6" t="s">
        <v>121</v>
      </c>
      <c r="K2670" s="6" t="s">
        <v>171</v>
      </c>
      <c r="L2670" s="11">
        <f>F2670*Controls!$B$6</f>
        <v>52</v>
      </c>
      <c r="M2670" s="11">
        <f>G2670*Controls!$B$6</f>
        <v>6500</v>
      </c>
      <c r="N2670" s="12">
        <f>IF(L2670=0,0,SUMIFS('PSI Plan'!$N$6:$N$173,'PSI Plan'!$B$6:$B$173,B2670,'PSI Plan'!$C$6:$C$173,I2670))</f>
        <v>0</v>
      </c>
      <c r="O2670" s="11">
        <f t="shared" si="82"/>
        <v>0</v>
      </c>
      <c r="P2670" s="11">
        <f t="shared" si="83"/>
        <v>0</v>
      </c>
      <c r="Q2670" s="6"/>
      <c r="R2670" s="6"/>
      <c r="S2670" s="6"/>
      <c r="T2670" s="6"/>
    </row>
    <row r="2671" spans="1:20">
      <c r="A2671" s="6" t="s">
        <v>2839</v>
      </c>
      <c r="B2671" s="6" t="s">
        <v>66</v>
      </c>
      <c r="C2671" s="6" t="s">
        <v>99</v>
      </c>
      <c r="D2671" s="6" t="s">
        <v>319</v>
      </c>
      <c r="E2671" s="6" t="s">
        <v>120</v>
      </c>
      <c r="F2671" s="7">
        <v>14</v>
      </c>
      <c r="G2671" s="7">
        <v>1750</v>
      </c>
      <c r="H2671" s="16">
        <v>45237</v>
      </c>
      <c r="I2671" s="6">
        <v>45</v>
      </c>
      <c r="J2671" s="6" t="s">
        <v>121</v>
      </c>
      <c r="K2671" s="6" t="s">
        <v>347</v>
      </c>
      <c r="L2671" s="11">
        <f>F2671*Controls!$B$6</f>
        <v>14</v>
      </c>
      <c r="M2671" s="11">
        <f>G2671*Controls!$B$6</f>
        <v>1750</v>
      </c>
      <c r="N2671" s="12">
        <f>IF(L2671=0,0,SUMIFS('PSI Plan'!$N$6:$N$173,'PSI Plan'!$B$6:$B$173,B2671,'PSI Plan'!$C$6:$C$173,I2671))</f>
        <v>0</v>
      </c>
      <c r="O2671" s="11">
        <f t="shared" si="82"/>
        <v>0</v>
      </c>
      <c r="P2671" s="11">
        <f t="shared" si="83"/>
        <v>0</v>
      </c>
      <c r="Q2671" s="6"/>
      <c r="R2671" s="6"/>
      <c r="S2671" s="6"/>
      <c r="T2671" s="6"/>
    </row>
    <row r="2672" spans="1:20">
      <c r="A2672" s="6" t="s">
        <v>2840</v>
      </c>
      <c r="B2672" s="6" t="s">
        <v>69</v>
      </c>
      <c r="C2672" s="6" t="s">
        <v>99</v>
      </c>
      <c r="D2672" s="6" t="s">
        <v>319</v>
      </c>
      <c r="E2672" s="6" t="s">
        <v>120</v>
      </c>
      <c r="F2672" s="7">
        <v>8</v>
      </c>
      <c r="G2672" s="7">
        <v>1000</v>
      </c>
      <c r="H2672" s="16">
        <v>45213</v>
      </c>
      <c r="I2672" s="6">
        <v>41</v>
      </c>
      <c r="J2672" s="6" t="s">
        <v>121</v>
      </c>
      <c r="K2672" s="6" t="s">
        <v>347</v>
      </c>
      <c r="L2672" s="11">
        <f>F2672*Controls!$B$6</f>
        <v>8</v>
      </c>
      <c r="M2672" s="11">
        <f>G2672*Controls!$B$6</f>
        <v>1000</v>
      </c>
      <c r="N2672" s="12">
        <f>IF(L2672=0,0,SUMIFS('PSI Plan'!$N$6:$N$173,'PSI Plan'!$B$6:$B$173,B2672,'PSI Plan'!$C$6:$C$173,I2672))</f>
        <v>0</v>
      </c>
      <c r="O2672" s="11">
        <f t="shared" si="82"/>
        <v>0</v>
      </c>
      <c r="P2672" s="11">
        <f t="shared" si="83"/>
        <v>0</v>
      </c>
      <c r="Q2672" s="6"/>
      <c r="R2672" s="6"/>
      <c r="S2672" s="6"/>
      <c r="T2672" s="6"/>
    </row>
    <row r="2673" spans="1:20">
      <c r="A2673" s="6" t="s">
        <v>2841</v>
      </c>
      <c r="B2673" s="6" t="s">
        <v>70</v>
      </c>
      <c r="C2673" s="6" t="s">
        <v>90</v>
      </c>
      <c r="D2673" s="6" t="s">
        <v>119</v>
      </c>
      <c r="E2673" s="6" t="s">
        <v>120</v>
      </c>
      <c r="F2673" s="7">
        <v>4</v>
      </c>
      <c r="G2673" s="7">
        <v>500</v>
      </c>
      <c r="H2673" s="16">
        <v>45223</v>
      </c>
      <c r="I2673" s="6">
        <v>43</v>
      </c>
      <c r="J2673" s="6" t="s">
        <v>121</v>
      </c>
      <c r="K2673" s="6" t="s">
        <v>139</v>
      </c>
      <c r="L2673" s="11">
        <f>F2673*Controls!$B$6</f>
        <v>4</v>
      </c>
      <c r="M2673" s="11">
        <f>G2673*Controls!$B$6</f>
        <v>500</v>
      </c>
      <c r="N2673" s="12">
        <f>IF(L2673=0,0,SUMIFS('PSI Plan'!$N$6:$N$173,'PSI Plan'!$B$6:$B$173,B2673,'PSI Plan'!$C$6:$C$173,I2673))</f>
        <v>0</v>
      </c>
      <c r="O2673" s="11">
        <f t="shared" si="82"/>
        <v>0</v>
      </c>
      <c r="P2673" s="11">
        <f t="shared" si="83"/>
        <v>0</v>
      </c>
      <c r="Q2673" s="6"/>
      <c r="R2673" s="6"/>
      <c r="S2673" s="6"/>
      <c r="T2673" s="6"/>
    </row>
    <row r="2674" spans="1:20">
      <c r="A2674" s="6" t="s">
        <v>2842</v>
      </c>
      <c r="B2674" s="6" t="s">
        <v>68</v>
      </c>
      <c r="C2674" s="6" t="s">
        <v>90</v>
      </c>
      <c r="D2674" s="6" t="s">
        <v>119</v>
      </c>
      <c r="E2674" s="6" t="s">
        <v>120</v>
      </c>
      <c r="F2674" s="7">
        <v>4</v>
      </c>
      <c r="G2674" s="7">
        <v>500</v>
      </c>
      <c r="H2674" s="16">
        <v>45261</v>
      </c>
      <c r="I2674" s="6">
        <v>48</v>
      </c>
      <c r="J2674" s="6" t="s">
        <v>121</v>
      </c>
      <c r="K2674" s="6" t="s">
        <v>139</v>
      </c>
      <c r="L2674" s="11">
        <f>F2674*Controls!$B$6</f>
        <v>4</v>
      </c>
      <c r="M2674" s="11">
        <f>G2674*Controls!$B$6</f>
        <v>500</v>
      </c>
      <c r="N2674" s="12">
        <f>IF(L2674=0,0,SUMIFS('PSI Plan'!$N$6:$N$173,'PSI Plan'!$B$6:$B$173,B2674,'PSI Plan'!$C$6:$C$173,I2674))</f>
        <v>0</v>
      </c>
      <c r="O2674" s="11">
        <f t="shared" si="82"/>
        <v>0</v>
      </c>
      <c r="P2674" s="11">
        <f t="shared" si="83"/>
        <v>0</v>
      </c>
      <c r="Q2674" s="6"/>
      <c r="R2674" s="6"/>
      <c r="S2674" s="6"/>
      <c r="T2674" s="6"/>
    </row>
    <row r="2675" spans="1:20">
      <c r="A2675" s="6" t="s">
        <v>2843</v>
      </c>
      <c r="B2675" s="6" t="s">
        <v>73</v>
      </c>
      <c r="C2675" s="6" t="s">
        <v>90</v>
      </c>
      <c r="D2675" s="6" t="s">
        <v>119</v>
      </c>
      <c r="E2675" s="6" t="s">
        <v>120</v>
      </c>
      <c r="F2675" s="7">
        <v>5</v>
      </c>
      <c r="G2675" s="7">
        <v>625</v>
      </c>
      <c r="H2675" s="16">
        <v>45251</v>
      </c>
      <c r="I2675" s="6">
        <v>47</v>
      </c>
      <c r="J2675" s="6" t="s">
        <v>121</v>
      </c>
      <c r="K2675" s="6" t="s">
        <v>298</v>
      </c>
      <c r="L2675" s="11">
        <f>F2675*Controls!$B$6</f>
        <v>5</v>
      </c>
      <c r="M2675" s="11">
        <f>G2675*Controls!$B$6</f>
        <v>625</v>
      </c>
      <c r="N2675" s="12">
        <f>IF(L2675=0,0,SUMIFS('PSI Plan'!$N$6:$N$173,'PSI Plan'!$B$6:$B$173,B2675,'PSI Plan'!$C$6:$C$173,I2675))</f>
        <v>0</v>
      </c>
      <c r="O2675" s="11">
        <f t="shared" si="82"/>
        <v>0</v>
      </c>
      <c r="P2675" s="11">
        <f t="shared" si="83"/>
        <v>0</v>
      </c>
      <c r="Q2675" s="6"/>
      <c r="R2675" s="6"/>
      <c r="S2675" s="6"/>
      <c r="T2675" s="6"/>
    </row>
    <row r="2676" spans="1:20">
      <c r="A2676" s="6" t="s">
        <v>2844</v>
      </c>
      <c r="B2676" s="6" t="s">
        <v>75</v>
      </c>
      <c r="C2676" s="6" t="s">
        <v>90</v>
      </c>
      <c r="D2676" s="6" t="s">
        <v>119</v>
      </c>
      <c r="E2676" s="6" t="s">
        <v>120</v>
      </c>
      <c r="F2676" s="7">
        <v>11</v>
      </c>
      <c r="G2676" s="7">
        <v>1375</v>
      </c>
      <c r="H2676" s="16">
        <v>45227</v>
      </c>
      <c r="I2676" s="6">
        <v>43</v>
      </c>
      <c r="J2676" s="6" t="s">
        <v>121</v>
      </c>
      <c r="K2676" s="6" t="s">
        <v>298</v>
      </c>
      <c r="L2676" s="11">
        <f>F2676*Controls!$B$6</f>
        <v>11</v>
      </c>
      <c r="M2676" s="11">
        <f>G2676*Controls!$B$6</f>
        <v>1375</v>
      </c>
      <c r="N2676" s="12">
        <f>IF(L2676=0,0,SUMIFS('PSI Plan'!$N$6:$N$173,'PSI Plan'!$B$6:$B$173,B2676,'PSI Plan'!$C$6:$C$173,I2676))</f>
        <v>0</v>
      </c>
      <c r="O2676" s="11">
        <f t="shared" si="82"/>
        <v>0</v>
      </c>
      <c r="P2676" s="11">
        <f t="shared" si="83"/>
        <v>0</v>
      </c>
      <c r="Q2676" s="6"/>
      <c r="R2676" s="6"/>
      <c r="S2676" s="6"/>
      <c r="T2676" s="6"/>
    </row>
    <row r="2677" spans="1:20">
      <c r="A2677" s="6" t="s">
        <v>2845</v>
      </c>
      <c r="B2677" s="6" t="s">
        <v>73</v>
      </c>
      <c r="C2677" s="6" t="s">
        <v>90</v>
      </c>
      <c r="D2677" s="6" t="s">
        <v>119</v>
      </c>
      <c r="E2677" s="6" t="s">
        <v>120</v>
      </c>
      <c r="F2677" s="7">
        <v>14</v>
      </c>
      <c r="G2677" s="7">
        <v>1750</v>
      </c>
      <c r="H2677" s="16">
        <v>45214</v>
      </c>
      <c r="I2677" s="6">
        <v>42</v>
      </c>
      <c r="J2677" s="6" t="s">
        <v>121</v>
      </c>
      <c r="K2677" s="6" t="s">
        <v>122</v>
      </c>
      <c r="L2677" s="11">
        <f>F2677*Controls!$B$6</f>
        <v>14</v>
      </c>
      <c r="M2677" s="11">
        <f>G2677*Controls!$B$6</f>
        <v>1750</v>
      </c>
      <c r="N2677" s="12">
        <f>IF(L2677=0,0,SUMIFS('PSI Plan'!$N$6:$N$173,'PSI Plan'!$B$6:$B$173,B2677,'PSI Plan'!$C$6:$C$173,I2677))</f>
        <v>0</v>
      </c>
      <c r="O2677" s="11">
        <f t="shared" si="82"/>
        <v>0</v>
      </c>
      <c r="P2677" s="11">
        <f t="shared" si="83"/>
        <v>0</v>
      </c>
      <c r="Q2677" s="6"/>
      <c r="R2677" s="6"/>
      <c r="S2677" s="6"/>
      <c r="T2677" s="6"/>
    </row>
    <row r="2678" spans="1:20">
      <c r="A2678" s="6" t="s">
        <v>2846</v>
      </c>
      <c r="B2678" s="6" t="s">
        <v>70</v>
      </c>
      <c r="C2678" s="6" t="s">
        <v>90</v>
      </c>
      <c r="D2678" s="6" t="s">
        <v>119</v>
      </c>
      <c r="E2678" s="6" t="s">
        <v>120</v>
      </c>
      <c r="F2678" s="7">
        <v>8</v>
      </c>
      <c r="G2678" s="7">
        <v>1000</v>
      </c>
      <c r="H2678" s="16">
        <v>45263</v>
      </c>
      <c r="I2678" s="6">
        <v>49</v>
      </c>
      <c r="J2678" s="6" t="s">
        <v>121</v>
      </c>
      <c r="K2678" s="6" t="s">
        <v>122</v>
      </c>
      <c r="L2678" s="11">
        <f>F2678*Controls!$B$6</f>
        <v>8</v>
      </c>
      <c r="M2678" s="11">
        <f>G2678*Controls!$B$6</f>
        <v>1000</v>
      </c>
      <c r="N2678" s="12">
        <f>IF(L2678=0,0,SUMIFS('PSI Plan'!$N$6:$N$173,'PSI Plan'!$B$6:$B$173,B2678,'PSI Plan'!$C$6:$C$173,I2678))</f>
        <v>0</v>
      </c>
      <c r="O2678" s="11">
        <f t="shared" si="82"/>
        <v>0</v>
      </c>
      <c r="P2678" s="11">
        <f t="shared" si="83"/>
        <v>0</v>
      </c>
      <c r="Q2678" s="6"/>
      <c r="R2678" s="6"/>
      <c r="S2678" s="6"/>
      <c r="T2678" s="6"/>
    </row>
    <row r="2679" spans="1:20">
      <c r="A2679" s="6" t="s">
        <v>2847</v>
      </c>
      <c r="B2679" s="6" t="s">
        <v>67</v>
      </c>
      <c r="C2679" s="6" t="s">
        <v>90</v>
      </c>
      <c r="D2679" s="6" t="s">
        <v>119</v>
      </c>
      <c r="E2679" s="6" t="s">
        <v>120</v>
      </c>
      <c r="F2679" s="7">
        <v>2</v>
      </c>
      <c r="G2679" s="7">
        <v>250</v>
      </c>
      <c r="H2679" s="16">
        <v>45287</v>
      </c>
      <c r="I2679" s="6">
        <v>52</v>
      </c>
      <c r="J2679" s="6" t="s">
        <v>121</v>
      </c>
      <c r="K2679" s="6" t="s">
        <v>122</v>
      </c>
      <c r="L2679" s="11">
        <f>F2679*Controls!$B$6</f>
        <v>2</v>
      </c>
      <c r="M2679" s="11">
        <f>G2679*Controls!$B$6</f>
        <v>250</v>
      </c>
      <c r="N2679" s="12">
        <f>IF(L2679=0,0,SUMIFS('PSI Plan'!$N$6:$N$173,'PSI Plan'!$B$6:$B$173,B2679,'PSI Plan'!$C$6:$C$173,I2679))</f>
        <v>0</v>
      </c>
      <c r="O2679" s="11">
        <f t="shared" si="82"/>
        <v>0</v>
      </c>
      <c r="P2679" s="11">
        <f t="shared" si="83"/>
        <v>0</v>
      </c>
      <c r="Q2679" s="6"/>
      <c r="R2679" s="6"/>
      <c r="S2679" s="6"/>
      <c r="T2679" s="6"/>
    </row>
    <row r="2680" spans="1:20">
      <c r="A2680" s="6" t="s">
        <v>2848</v>
      </c>
      <c r="B2680" s="6" t="s">
        <v>68</v>
      </c>
      <c r="C2680" s="6" t="s">
        <v>90</v>
      </c>
      <c r="D2680" s="6" t="s">
        <v>119</v>
      </c>
      <c r="E2680" s="6" t="s">
        <v>120</v>
      </c>
      <c r="F2680" s="7">
        <v>3</v>
      </c>
      <c r="G2680" s="7">
        <v>375</v>
      </c>
      <c r="H2680" s="16">
        <v>45251</v>
      </c>
      <c r="I2680" s="6">
        <v>47</v>
      </c>
      <c r="J2680" s="6" t="s">
        <v>121</v>
      </c>
      <c r="K2680" s="6" t="s">
        <v>122</v>
      </c>
      <c r="L2680" s="11">
        <f>F2680*Controls!$B$6</f>
        <v>3</v>
      </c>
      <c r="M2680" s="11">
        <f>G2680*Controls!$B$6</f>
        <v>375</v>
      </c>
      <c r="N2680" s="12">
        <f>IF(L2680=0,0,SUMIFS('PSI Plan'!$N$6:$N$173,'PSI Plan'!$B$6:$B$173,B2680,'PSI Plan'!$C$6:$C$173,I2680))</f>
        <v>0</v>
      </c>
      <c r="O2680" s="11">
        <f t="shared" si="82"/>
        <v>0</v>
      </c>
      <c r="P2680" s="11">
        <f t="shared" si="83"/>
        <v>0</v>
      </c>
      <c r="Q2680" s="6"/>
      <c r="R2680" s="6"/>
      <c r="S2680" s="6"/>
      <c r="T2680" s="6"/>
    </row>
    <row r="2681" spans="1:20">
      <c r="A2681" s="6" t="s">
        <v>2849</v>
      </c>
      <c r="B2681" s="6" t="s">
        <v>73</v>
      </c>
      <c r="C2681" s="6" t="s">
        <v>95</v>
      </c>
      <c r="D2681" s="6" t="s">
        <v>567</v>
      </c>
      <c r="E2681" s="6" t="s">
        <v>120</v>
      </c>
      <c r="F2681" s="7">
        <v>20</v>
      </c>
      <c r="G2681" s="7">
        <v>2500</v>
      </c>
      <c r="H2681" s="16">
        <v>45232</v>
      </c>
      <c r="I2681" s="6">
        <v>44</v>
      </c>
      <c r="J2681" s="6" t="s">
        <v>2151</v>
      </c>
      <c r="K2681" s="6" t="s">
        <v>2526</v>
      </c>
      <c r="L2681" s="11">
        <f>F2681*Controls!$B$6</f>
        <v>20</v>
      </c>
      <c r="M2681" s="11">
        <f>G2681*Controls!$B$6</f>
        <v>2500</v>
      </c>
      <c r="N2681" s="12">
        <f>IF(L2681=0,0,SUMIFS('PSI Plan'!$N$6:$N$173,'PSI Plan'!$B$6:$B$173,B2681,'PSI Plan'!$C$6:$C$173,I2681))</f>
        <v>0</v>
      </c>
      <c r="O2681" s="11">
        <f t="shared" si="82"/>
        <v>0</v>
      </c>
      <c r="P2681" s="11">
        <f t="shared" si="83"/>
        <v>0</v>
      </c>
      <c r="Q2681" s="6"/>
      <c r="R2681" s="6"/>
      <c r="S2681" s="6"/>
      <c r="T2681" s="6"/>
    </row>
    <row r="2682" spans="1:20">
      <c r="A2682" s="6" t="s">
        <v>2850</v>
      </c>
      <c r="B2682" s="6" t="s">
        <v>75</v>
      </c>
      <c r="C2682" s="6" t="s">
        <v>95</v>
      </c>
      <c r="D2682" s="6" t="s">
        <v>567</v>
      </c>
      <c r="E2682" s="6" t="s">
        <v>120</v>
      </c>
      <c r="F2682" s="7">
        <v>20</v>
      </c>
      <c r="G2682" s="7">
        <v>2500</v>
      </c>
      <c r="H2682" s="16">
        <v>45273</v>
      </c>
      <c r="I2682" s="6">
        <v>50</v>
      </c>
      <c r="J2682" s="6" t="s">
        <v>2151</v>
      </c>
      <c r="K2682" s="6" t="s">
        <v>2526</v>
      </c>
      <c r="L2682" s="11">
        <f>F2682*Controls!$B$6</f>
        <v>20</v>
      </c>
      <c r="M2682" s="11">
        <f>G2682*Controls!$B$6</f>
        <v>2500</v>
      </c>
      <c r="N2682" s="12">
        <f>IF(L2682=0,0,SUMIFS('PSI Plan'!$N$6:$N$173,'PSI Plan'!$B$6:$B$173,B2682,'PSI Plan'!$C$6:$C$173,I2682))</f>
        <v>0</v>
      </c>
      <c r="O2682" s="11">
        <f t="shared" si="82"/>
        <v>0</v>
      </c>
      <c r="P2682" s="11">
        <f t="shared" si="83"/>
        <v>0</v>
      </c>
      <c r="Q2682" s="6"/>
      <c r="R2682" s="6"/>
      <c r="S2682" s="6"/>
      <c r="T2682" s="6"/>
    </row>
    <row r="2683" spans="1:20">
      <c r="A2683" s="6" t="s">
        <v>2851</v>
      </c>
      <c r="B2683" s="6" t="s">
        <v>70</v>
      </c>
      <c r="C2683" s="6" t="s">
        <v>95</v>
      </c>
      <c r="D2683" s="6" t="s">
        <v>567</v>
      </c>
      <c r="E2683" s="6" t="s">
        <v>120</v>
      </c>
      <c r="F2683" s="7">
        <v>40</v>
      </c>
      <c r="G2683" s="7">
        <v>5000</v>
      </c>
      <c r="H2683" s="16">
        <v>45279</v>
      </c>
      <c r="I2683" s="6">
        <v>51</v>
      </c>
      <c r="J2683" s="6" t="s">
        <v>2151</v>
      </c>
      <c r="K2683" s="6" t="s">
        <v>2526</v>
      </c>
      <c r="L2683" s="11">
        <f>F2683*Controls!$B$6</f>
        <v>40</v>
      </c>
      <c r="M2683" s="11">
        <f>G2683*Controls!$B$6</f>
        <v>5000</v>
      </c>
      <c r="N2683" s="12">
        <f>IF(L2683=0,0,SUMIFS('PSI Plan'!$N$6:$N$173,'PSI Plan'!$B$6:$B$173,B2683,'PSI Plan'!$C$6:$C$173,I2683))</f>
        <v>0</v>
      </c>
      <c r="O2683" s="11">
        <f t="shared" si="82"/>
        <v>0</v>
      </c>
      <c r="P2683" s="11">
        <f t="shared" si="83"/>
        <v>0</v>
      </c>
      <c r="Q2683" s="6"/>
      <c r="R2683" s="6"/>
      <c r="S2683" s="6"/>
      <c r="T2683" s="6"/>
    </row>
    <row r="2684" spans="1:20">
      <c r="A2684" s="6" t="s">
        <v>2852</v>
      </c>
      <c r="B2684" s="6" t="s">
        <v>68</v>
      </c>
      <c r="C2684" s="6" t="s">
        <v>95</v>
      </c>
      <c r="D2684" s="6" t="s">
        <v>567</v>
      </c>
      <c r="E2684" s="6" t="s">
        <v>120</v>
      </c>
      <c r="F2684" s="7">
        <v>20</v>
      </c>
      <c r="G2684" s="7">
        <v>2500</v>
      </c>
      <c r="H2684" s="16">
        <v>45206</v>
      </c>
      <c r="I2684" s="6">
        <v>40</v>
      </c>
      <c r="J2684" s="6" t="s">
        <v>2151</v>
      </c>
      <c r="K2684" s="6" t="s">
        <v>2526</v>
      </c>
      <c r="L2684" s="11">
        <f>F2684*Controls!$B$6</f>
        <v>20</v>
      </c>
      <c r="M2684" s="11">
        <f>G2684*Controls!$B$6</f>
        <v>2500</v>
      </c>
      <c r="N2684" s="12">
        <f>IF(L2684=0,0,SUMIFS('PSI Plan'!$N$6:$N$173,'PSI Plan'!$B$6:$B$173,B2684,'PSI Plan'!$C$6:$C$173,I2684))</f>
        <v>0</v>
      </c>
      <c r="O2684" s="11">
        <f t="shared" si="82"/>
        <v>0</v>
      </c>
      <c r="P2684" s="11">
        <f t="shared" si="83"/>
        <v>0</v>
      </c>
      <c r="Q2684" s="6"/>
      <c r="R2684" s="6"/>
      <c r="S2684" s="6"/>
      <c r="T2684" s="6"/>
    </row>
    <row r="2685" spans="1:20">
      <c r="A2685" s="6" t="s">
        <v>2853</v>
      </c>
      <c r="B2685" s="6" t="s">
        <v>74</v>
      </c>
      <c r="C2685" s="6" t="s">
        <v>94</v>
      </c>
      <c r="D2685" s="6" t="s">
        <v>567</v>
      </c>
      <c r="E2685" s="6" t="s">
        <v>120</v>
      </c>
      <c r="F2685" s="7">
        <v>15</v>
      </c>
      <c r="G2685" s="7">
        <v>1875</v>
      </c>
      <c r="H2685" s="16">
        <v>45224</v>
      </c>
      <c r="I2685" s="6">
        <v>43</v>
      </c>
      <c r="J2685" s="6" t="s">
        <v>2151</v>
      </c>
      <c r="K2685" s="6" t="s">
        <v>2526</v>
      </c>
      <c r="L2685" s="11">
        <f>F2685*Controls!$B$6</f>
        <v>15</v>
      </c>
      <c r="M2685" s="11">
        <f>G2685*Controls!$B$6</f>
        <v>1875</v>
      </c>
      <c r="N2685" s="12">
        <f>IF(L2685=0,0,SUMIFS('PSI Plan'!$N$6:$N$173,'PSI Plan'!$B$6:$B$173,B2685,'PSI Plan'!$C$6:$C$173,I2685))</f>
        <v>0</v>
      </c>
      <c r="O2685" s="11">
        <f t="shared" si="82"/>
        <v>0</v>
      </c>
      <c r="P2685" s="11">
        <f t="shared" si="83"/>
        <v>0</v>
      </c>
      <c r="Q2685" s="6"/>
      <c r="R2685" s="6"/>
      <c r="S2685" s="6"/>
      <c r="T2685" s="6"/>
    </row>
    <row r="2686" spans="1:20">
      <c r="A2686" s="6" t="s">
        <v>2854</v>
      </c>
      <c r="B2686" s="6" t="s">
        <v>75</v>
      </c>
      <c r="C2686" s="6" t="s">
        <v>90</v>
      </c>
      <c r="D2686" s="6" t="s">
        <v>119</v>
      </c>
      <c r="E2686" s="6" t="s">
        <v>120</v>
      </c>
      <c r="F2686" s="7">
        <v>25</v>
      </c>
      <c r="G2686" s="7">
        <v>3125</v>
      </c>
      <c r="H2686" s="16">
        <v>45218</v>
      </c>
      <c r="I2686" s="6">
        <v>42</v>
      </c>
      <c r="J2686" s="6" t="s">
        <v>121</v>
      </c>
      <c r="K2686" s="6" t="s">
        <v>725</v>
      </c>
      <c r="L2686" s="11">
        <f>F2686*Controls!$B$6</f>
        <v>25</v>
      </c>
      <c r="M2686" s="11">
        <f>G2686*Controls!$B$6</f>
        <v>3125</v>
      </c>
      <c r="N2686" s="12">
        <f>IF(L2686=0,0,SUMIFS('PSI Plan'!$N$6:$N$173,'PSI Plan'!$B$6:$B$173,B2686,'PSI Plan'!$C$6:$C$173,I2686))</f>
        <v>0</v>
      </c>
      <c r="O2686" s="11">
        <f t="shared" si="82"/>
        <v>0</v>
      </c>
      <c r="P2686" s="11">
        <f t="shared" si="83"/>
        <v>0</v>
      </c>
      <c r="Q2686" s="6"/>
      <c r="R2686" s="6"/>
      <c r="S2686" s="6"/>
      <c r="T2686" s="6"/>
    </row>
    <row r="2687" spans="1:20">
      <c r="A2687" s="6" t="s">
        <v>2855</v>
      </c>
      <c r="B2687" s="6" t="s">
        <v>73</v>
      </c>
      <c r="C2687" s="6" t="s">
        <v>90</v>
      </c>
      <c r="D2687" s="6" t="s">
        <v>119</v>
      </c>
      <c r="E2687" s="6" t="s">
        <v>120</v>
      </c>
      <c r="F2687" s="7">
        <v>4</v>
      </c>
      <c r="G2687" s="7">
        <v>500</v>
      </c>
      <c r="H2687" s="16">
        <v>45250</v>
      </c>
      <c r="I2687" s="6">
        <v>47</v>
      </c>
      <c r="J2687" s="6" t="s">
        <v>121</v>
      </c>
      <c r="K2687" s="6" t="s">
        <v>139</v>
      </c>
      <c r="L2687" s="11">
        <f>F2687*Controls!$B$6</f>
        <v>4</v>
      </c>
      <c r="M2687" s="11">
        <f>G2687*Controls!$B$6</f>
        <v>500</v>
      </c>
      <c r="N2687" s="12">
        <f>IF(L2687=0,0,SUMIFS('PSI Plan'!$N$6:$N$173,'PSI Plan'!$B$6:$B$173,B2687,'PSI Plan'!$C$6:$C$173,I2687))</f>
        <v>0</v>
      </c>
      <c r="O2687" s="11">
        <f t="shared" si="82"/>
        <v>0</v>
      </c>
      <c r="P2687" s="11">
        <f t="shared" si="83"/>
        <v>0</v>
      </c>
      <c r="Q2687" s="6"/>
      <c r="R2687" s="6"/>
      <c r="S2687" s="6"/>
      <c r="T2687" s="6"/>
    </row>
    <row r="2688" spans="1:20">
      <c r="A2688" s="6" t="s">
        <v>2856</v>
      </c>
      <c r="B2688" s="6" t="s">
        <v>75</v>
      </c>
      <c r="C2688" s="6" t="s">
        <v>90</v>
      </c>
      <c r="D2688" s="6" t="s">
        <v>119</v>
      </c>
      <c r="E2688" s="6" t="s">
        <v>120</v>
      </c>
      <c r="F2688" s="7">
        <v>9</v>
      </c>
      <c r="G2688" s="7">
        <v>1125</v>
      </c>
      <c r="H2688" s="16">
        <v>45279</v>
      </c>
      <c r="I2688" s="6">
        <v>51</v>
      </c>
      <c r="J2688" s="6" t="s">
        <v>121</v>
      </c>
      <c r="K2688" s="6" t="s">
        <v>139</v>
      </c>
      <c r="L2688" s="11">
        <f>F2688*Controls!$B$6</f>
        <v>9</v>
      </c>
      <c r="M2688" s="11">
        <f>G2688*Controls!$B$6</f>
        <v>1125</v>
      </c>
      <c r="N2688" s="12">
        <f>IF(L2688=0,0,SUMIFS('PSI Plan'!$N$6:$N$173,'PSI Plan'!$B$6:$B$173,B2688,'PSI Plan'!$C$6:$C$173,I2688))</f>
        <v>0</v>
      </c>
      <c r="O2688" s="11">
        <f t="shared" si="82"/>
        <v>0</v>
      </c>
      <c r="P2688" s="11">
        <f t="shared" si="83"/>
        <v>0</v>
      </c>
      <c r="Q2688" s="6"/>
      <c r="R2688" s="6"/>
      <c r="S2688" s="6"/>
      <c r="T2688" s="6"/>
    </row>
    <row r="2689" spans="1:20">
      <c r="A2689" s="6" t="s">
        <v>2857</v>
      </c>
      <c r="B2689" s="6" t="s">
        <v>70</v>
      </c>
      <c r="C2689" s="6" t="s">
        <v>90</v>
      </c>
      <c r="D2689" s="6" t="s">
        <v>119</v>
      </c>
      <c r="E2689" s="6" t="s">
        <v>120</v>
      </c>
      <c r="F2689" s="7">
        <v>2</v>
      </c>
      <c r="G2689" s="7">
        <v>250</v>
      </c>
      <c r="H2689" s="16">
        <v>45289</v>
      </c>
      <c r="I2689" s="6">
        <v>52</v>
      </c>
      <c r="J2689" s="6" t="s">
        <v>121</v>
      </c>
      <c r="K2689" s="6" t="s">
        <v>139</v>
      </c>
      <c r="L2689" s="11">
        <f>F2689*Controls!$B$6</f>
        <v>2</v>
      </c>
      <c r="M2689" s="11">
        <f>G2689*Controls!$B$6</f>
        <v>250</v>
      </c>
      <c r="N2689" s="12">
        <f>IF(L2689=0,0,SUMIFS('PSI Plan'!$N$6:$N$173,'PSI Plan'!$B$6:$B$173,B2689,'PSI Plan'!$C$6:$C$173,I2689))</f>
        <v>0</v>
      </c>
      <c r="O2689" s="11">
        <f t="shared" si="82"/>
        <v>0</v>
      </c>
      <c r="P2689" s="11">
        <f t="shared" si="83"/>
        <v>0</v>
      </c>
      <c r="Q2689" s="6"/>
      <c r="R2689" s="6"/>
      <c r="S2689" s="6"/>
      <c r="T2689" s="6"/>
    </row>
    <row r="2690" spans="1:20">
      <c r="A2690" s="6" t="s">
        <v>2858</v>
      </c>
      <c r="B2690" s="6" t="s">
        <v>73</v>
      </c>
      <c r="C2690" s="6" t="s">
        <v>95</v>
      </c>
      <c r="D2690" s="6" t="s">
        <v>567</v>
      </c>
      <c r="E2690" s="6" t="s">
        <v>120</v>
      </c>
      <c r="F2690" s="7">
        <v>10</v>
      </c>
      <c r="G2690" s="7">
        <v>1250</v>
      </c>
      <c r="H2690" s="16">
        <v>45223</v>
      </c>
      <c r="I2690" s="6">
        <v>43</v>
      </c>
      <c r="J2690" s="6" t="s">
        <v>2151</v>
      </c>
      <c r="K2690" s="6" t="s">
        <v>2526</v>
      </c>
      <c r="L2690" s="11">
        <f>F2690*Controls!$B$6</f>
        <v>10</v>
      </c>
      <c r="M2690" s="11">
        <f>G2690*Controls!$B$6</f>
        <v>1250</v>
      </c>
      <c r="N2690" s="12">
        <f>IF(L2690=0,0,SUMIFS('PSI Plan'!$N$6:$N$173,'PSI Plan'!$B$6:$B$173,B2690,'PSI Plan'!$C$6:$C$173,I2690))</f>
        <v>0</v>
      </c>
      <c r="O2690" s="11">
        <f t="shared" ref="O2690:O2753" si="84">L2690*N2690</f>
        <v>0</v>
      </c>
      <c r="P2690" s="11">
        <f t="shared" ref="P2690:P2753" si="85">M2690*N2690</f>
        <v>0</v>
      </c>
      <c r="Q2690" s="6"/>
      <c r="R2690" s="6"/>
      <c r="S2690" s="6"/>
      <c r="T2690" s="6"/>
    </row>
    <row r="2691" spans="1:20">
      <c r="A2691" s="6" t="s">
        <v>2859</v>
      </c>
      <c r="B2691" s="6" t="s">
        <v>75</v>
      </c>
      <c r="C2691" s="6" t="s">
        <v>95</v>
      </c>
      <c r="D2691" s="6" t="s">
        <v>567</v>
      </c>
      <c r="E2691" s="6" t="s">
        <v>120</v>
      </c>
      <c r="F2691" s="7">
        <v>20</v>
      </c>
      <c r="G2691" s="7">
        <v>2500</v>
      </c>
      <c r="H2691" s="16">
        <v>45267</v>
      </c>
      <c r="I2691" s="6">
        <v>49</v>
      </c>
      <c r="J2691" s="6" t="s">
        <v>2151</v>
      </c>
      <c r="K2691" s="6" t="s">
        <v>2526</v>
      </c>
      <c r="L2691" s="11">
        <f>F2691*Controls!$B$6</f>
        <v>20</v>
      </c>
      <c r="M2691" s="11">
        <f>G2691*Controls!$B$6</f>
        <v>2500</v>
      </c>
      <c r="N2691" s="12">
        <f>IF(L2691=0,0,SUMIFS('PSI Plan'!$N$6:$N$173,'PSI Plan'!$B$6:$B$173,B2691,'PSI Plan'!$C$6:$C$173,I2691))</f>
        <v>0</v>
      </c>
      <c r="O2691" s="11">
        <f t="shared" si="84"/>
        <v>0</v>
      </c>
      <c r="P2691" s="11">
        <f t="shared" si="85"/>
        <v>0</v>
      </c>
      <c r="Q2691" s="6"/>
      <c r="R2691" s="6"/>
      <c r="S2691" s="6"/>
      <c r="T2691" s="6"/>
    </row>
    <row r="2692" spans="1:20">
      <c r="A2692" s="6" t="s">
        <v>2860</v>
      </c>
      <c r="B2692" s="6" t="s">
        <v>70</v>
      </c>
      <c r="C2692" s="6" t="s">
        <v>95</v>
      </c>
      <c r="D2692" s="6" t="s">
        <v>567</v>
      </c>
      <c r="E2692" s="6" t="s">
        <v>120</v>
      </c>
      <c r="F2692" s="7">
        <v>25</v>
      </c>
      <c r="G2692" s="7">
        <v>3125</v>
      </c>
      <c r="H2692" s="16">
        <v>45216</v>
      </c>
      <c r="I2692" s="6">
        <v>42</v>
      </c>
      <c r="J2692" s="6" t="s">
        <v>2151</v>
      </c>
      <c r="K2692" s="6" t="s">
        <v>2526</v>
      </c>
      <c r="L2692" s="11">
        <f>F2692*Controls!$B$6</f>
        <v>25</v>
      </c>
      <c r="M2692" s="11">
        <f>G2692*Controls!$B$6</f>
        <v>3125</v>
      </c>
      <c r="N2692" s="12">
        <f>IF(L2692=0,0,SUMIFS('PSI Plan'!$N$6:$N$173,'PSI Plan'!$B$6:$B$173,B2692,'PSI Plan'!$C$6:$C$173,I2692))</f>
        <v>0</v>
      </c>
      <c r="O2692" s="11">
        <f t="shared" si="84"/>
        <v>0</v>
      </c>
      <c r="P2692" s="11">
        <f t="shared" si="85"/>
        <v>0</v>
      </c>
      <c r="Q2692" s="6"/>
      <c r="R2692" s="6"/>
      <c r="S2692" s="6"/>
      <c r="T2692" s="6"/>
    </row>
    <row r="2693" spans="1:20">
      <c r="A2693" s="6" t="s">
        <v>2861</v>
      </c>
      <c r="B2693" s="6" t="s">
        <v>68</v>
      </c>
      <c r="C2693" s="6" t="s">
        <v>95</v>
      </c>
      <c r="D2693" s="6" t="s">
        <v>567</v>
      </c>
      <c r="E2693" s="6" t="s">
        <v>120</v>
      </c>
      <c r="F2693" s="7">
        <v>15</v>
      </c>
      <c r="G2693" s="7">
        <v>1875</v>
      </c>
      <c r="H2693" s="16">
        <v>45247</v>
      </c>
      <c r="I2693" s="6">
        <v>46</v>
      </c>
      <c r="J2693" s="6" t="s">
        <v>2151</v>
      </c>
      <c r="K2693" s="6" t="s">
        <v>2526</v>
      </c>
      <c r="L2693" s="11">
        <f>F2693*Controls!$B$6</f>
        <v>15</v>
      </c>
      <c r="M2693" s="11">
        <f>G2693*Controls!$B$6</f>
        <v>1875</v>
      </c>
      <c r="N2693" s="12">
        <f>IF(L2693=0,0,SUMIFS('PSI Plan'!$N$6:$N$173,'PSI Plan'!$B$6:$B$173,B2693,'PSI Plan'!$C$6:$C$173,I2693))</f>
        <v>0</v>
      </c>
      <c r="O2693" s="11">
        <f t="shared" si="84"/>
        <v>0</v>
      </c>
      <c r="P2693" s="11">
        <f t="shared" si="85"/>
        <v>0</v>
      </c>
      <c r="Q2693" s="6"/>
      <c r="R2693" s="6"/>
      <c r="S2693" s="6"/>
      <c r="T2693" s="6"/>
    </row>
    <row r="2694" spans="1:20">
      <c r="A2694" s="6" t="s">
        <v>2862</v>
      </c>
      <c r="B2694" s="6" t="s">
        <v>73</v>
      </c>
      <c r="C2694" s="6" t="s">
        <v>99</v>
      </c>
      <c r="D2694" s="6" t="s">
        <v>319</v>
      </c>
      <c r="E2694" s="6" t="s">
        <v>120</v>
      </c>
      <c r="F2694" s="7">
        <v>8</v>
      </c>
      <c r="G2694" s="7">
        <v>1000</v>
      </c>
      <c r="H2694" s="16">
        <v>45206</v>
      </c>
      <c r="I2694" s="6">
        <v>40</v>
      </c>
      <c r="J2694" s="6" t="s">
        <v>121</v>
      </c>
      <c r="K2694" s="6" t="s">
        <v>347</v>
      </c>
      <c r="L2694" s="11">
        <f>F2694*Controls!$B$6</f>
        <v>8</v>
      </c>
      <c r="M2694" s="11">
        <f>G2694*Controls!$B$6</f>
        <v>1000</v>
      </c>
      <c r="N2694" s="12">
        <f>IF(L2694=0,0,SUMIFS('PSI Plan'!$N$6:$N$173,'PSI Plan'!$B$6:$B$173,B2694,'PSI Plan'!$C$6:$C$173,I2694))</f>
        <v>0</v>
      </c>
      <c r="O2694" s="11">
        <f t="shared" si="84"/>
        <v>0</v>
      </c>
      <c r="P2694" s="11">
        <f t="shared" si="85"/>
        <v>0</v>
      </c>
      <c r="Q2694" s="6"/>
      <c r="R2694" s="6"/>
      <c r="S2694" s="6"/>
      <c r="T2694" s="6"/>
    </row>
    <row r="2695" spans="1:20">
      <c r="A2695" s="6" t="s">
        <v>2863</v>
      </c>
      <c r="B2695" s="6" t="s">
        <v>75</v>
      </c>
      <c r="C2695" s="6" t="s">
        <v>99</v>
      </c>
      <c r="D2695" s="6" t="s">
        <v>319</v>
      </c>
      <c r="E2695" s="6" t="s">
        <v>120</v>
      </c>
      <c r="F2695" s="7">
        <v>1</v>
      </c>
      <c r="G2695" s="7">
        <v>125</v>
      </c>
      <c r="H2695" s="16">
        <v>45215</v>
      </c>
      <c r="I2695" s="6">
        <v>42</v>
      </c>
      <c r="J2695" s="6" t="s">
        <v>121</v>
      </c>
      <c r="K2695" s="6" t="s">
        <v>347</v>
      </c>
      <c r="L2695" s="11">
        <f>F2695*Controls!$B$6</f>
        <v>1</v>
      </c>
      <c r="M2695" s="11">
        <f>G2695*Controls!$B$6</f>
        <v>125</v>
      </c>
      <c r="N2695" s="12">
        <f>IF(L2695=0,0,SUMIFS('PSI Plan'!$N$6:$N$173,'PSI Plan'!$B$6:$B$173,B2695,'PSI Plan'!$C$6:$C$173,I2695))</f>
        <v>0</v>
      </c>
      <c r="O2695" s="11">
        <f t="shared" si="84"/>
        <v>0</v>
      </c>
      <c r="P2695" s="11">
        <f t="shared" si="85"/>
        <v>0</v>
      </c>
      <c r="Q2695" s="6"/>
      <c r="R2695" s="6"/>
      <c r="S2695" s="6"/>
      <c r="T2695" s="6"/>
    </row>
    <row r="2696" spans="1:20">
      <c r="A2696" s="6" t="s">
        <v>2864</v>
      </c>
      <c r="B2696" s="6" t="s">
        <v>70</v>
      </c>
      <c r="C2696" s="6" t="s">
        <v>99</v>
      </c>
      <c r="D2696" s="6" t="s">
        <v>319</v>
      </c>
      <c r="E2696" s="6" t="s">
        <v>120</v>
      </c>
      <c r="F2696" s="7">
        <v>10</v>
      </c>
      <c r="G2696" s="7">
        <v>1250</v>
      </c>
      <c r="H2696" s="16">
        <v>45290</v>
      </c>
      <c r="I2696" s="6">
        <v>52</v>
      </c>
      <c r="J2696" s="6" t="s">
        <v>121</v>
      </c>
      <c r="K2696" s="6" t="s">
        <v>347</v>
      </c>
      <c r="L2696" s="11">
        <f>F2696*Controls!$B$6</f>
        <v>10</v>
      </c>
      <c r="M2696" s="11">
        <f>G2696*Controls!$B$6</f>
        <v>1250</v>
      </c>
      <c r="N2696" s="12">
        <f>IF(L2696=0,0,SUMIFS('PSI Plan'!$N$6:$N$173,'PSI Plan'!$B$6:$B$173,B2696,'PSI Plan'!$C$6:$C$173,I2696))</f>
        <v>0</v>
      </c>
      <c r="O2696" s="11">
        <f t="shared" si="84"/>
        <v>0</v>
      </c>
      <c r="P2696" s="11">
        <f t="shared" si="85"/>
        <v>0</v>
      </c>
      <c r="Q2696" s="6"/>
      <c r="R2696" s="6"/>
      <c r="S2696" s="6"/>
      <c r="T2696" s="6"/>
    </row>
    <row r="2697" spans="1:20">
      <c r="A2697" s="6" t="s">
        <v>2865</v>
      </c>
      <c r="B2697" s="6" t="s">
        <v>68</v>
      </c>
      <c r="C2697" s="6" t="s">
        <v>99</v>
      </c>
      <c r="D2697" s="6" t="s">
        <v>319</v>
      </c>
      <c r="E2697" s="6" t="s">
        <v>120</v>
      </c>
      <c r="F2697" s="7">
        <v>5</v>
      </c>
      <c r="G2697" s="7">
        <v>625</v>
      </c>
      <c r="H2697" s="16">
        <v>45242</v>
      </c>
      <c r="I2697" s="6">
        <v>46</v>
      </c>
      <c r="J2697" s="6" t="s">
        <v>121</v>
      </c>
      <c r="K2697" s="6" t="s">
        <v>347</v>
      </c>
      <c r="L2697" s="11">
        <f>F2697*Controls!$B$6</f>
        <v>5</v>
      </c>
      <c r="M2697" s="11">
        <f>G2697*Controls!$B$6</f>
        <v>625</v>
      </c>
      <c r="N2697" s="12">
        <f>IF(L2697=0,0,SUMIFS('PSI Plan'!$N$6:$N$173,'PSI Plan'!$B$6:$B$173,B2697,'PSI Plan'!$C$6:$C$173,I2697))</f>
        <v>0</v>
      </c>
      <c r="O2697" s="11">
        <f t="shared" si="84"/>
        <v>0</v>
      </c>
      <c r="P2697" s="11">
        <f t="shared" si="85"/>
        <v>0</v>
      </c>
      <c r="Q2697" s="6"/>
      <c r="R2697" s="6"/>
      <c r="S2697" s="6"/>
      <c r="T2697" s="6"/>
    </row>
    <row r="2698" spans="1:20">
      <c r="A2698" s="6" t="s">
        <v>2866</v>
      </c>
      <c r="B2698" s="6" t="s">
        <v>74</v>
      </c>
      <c r="C2698" s="6" t="s">
        <v>94</v>
      </c>
      <c r="D2698" s="6" t="s">
        <v>567</v>
      </c>
      <c r="E2698" s="6" t="s">
        <v>120</v>
      </c>
      <c r="F2698" s="7">
        <v>5</v>
      </c>
      <c r="G2698" s="7">
        <v>625</v>
      </c>
      <c r="H2698" s="16">
        <v>45237</v>
      </c>
      <c r="I2698" s="6">
        <v>45</v>
      </c>
      <c r="J2698" s="6" t="s">
        <v>121</v>
      </c>
      <c r="K2698" s="6" t="s">
        <v>1777</v>
      </c>
      <c r="L2698" s="11">
        <f>F2698*Controls!$B$6</f>
        <v>5</v>
      </c>
      <c r="M2698" s="11">
        <f>G2698*Controls!$B$6</f>
        <v>625</v>
      </c>
      <c r="N2698" s="12">
        <f>IF(L2698=0,0,SUMIFS('PSI Plan'!$N$6:$N$173,'PSI Plan'!$B$6:$B$173,B2698,'PSI Plan'!$C$6:$C$173,I2698))</f>
        <v>0</v>
      </c>
      <c r="O2698" s="11">
        <f t="shared" si="84"/>
        <v>0</v>
      </c>
      <c r="P2698" s="11">
        <f t="shared" si="85"/>
        <v>0</v>
      </c>
      <c r="Q2698" s="6"/>
      <c r="R2698" s="6"/>
      <c r="S2698" s="6"/>
      <c r="T2698" s="6"/>
    </row>
    <row r="2699" spans="1:20">
      <c r="A2699" s="6" t="s">
        <v>2867</v>
      </c>
      <c r="B2699" s="6" t="s">
        <v>73</v>
      </c>
      <c r="C2699" s="6" t="s">
        <v>96</v>
      </c>
      <c r="D2699" s="6" t="s">
        <v>567</v>
      </c>
      <c r="E2699" s="6" t="s">
        <v>120</v>
      </c>
      <c r="F2699" s="7">
        <v>6</v>
      </c>
      <c r="G2699" s="7">
        <v>750</v>
      </c>
      <c r="H2699" s="16">
        <v>45271</v>
      </c>
      <c r="I2699" s="6">
        <v>50</v>
      </c>
      <c r="J2699" s="6" t="s">
        <v>121</v>
      </c>
      <c r="K2699" s="6" t="s">
        <v>568</v>
      </c>
      <c r="L2699" s="11">
        <f>F2699*Controls!$B$6</f>
        <v>6</v>
      </c>
      <c r="M2699" s="11">
        <f>G2699*Controls!$B$6</f>
        <v>750</v>
      </c>
      <c r="N2699" s="12">
        <f>IF(L2699=0,0,SUMIFS('PSI Plan'!$N$6:$N$173,'PSI Plan'!$B$6:$B$173,B2699,'PSI Plan'!$C$6:$C$173,I2699))</f>
        <v>0</v>
      </c>
      <c r="O2699" s="11">
        <f t="shared" si="84"/>
        <v>0</v>
      </c>
      <c r="P2699" s="11">
        <f t="shared" si="85"/>
        <v>0</v>
      </c>
      <c r="Q2699" s="6"/>
      <c r="R2699" s="6"/>
      <c r="S2699" s="6"/>
      <c r="T2699" s="6"/>
    </row>
    <row r="2700" spans="1:20">
      <c r="A2700" s="6" t="s">
        <v>2868</v>
      </c>
      <c r="B2700" s="6" t="s">
        <v>75</v>
      </c>
      <c r="C2700" s="6" t="s">
        <v>96</v>
      </c>
      <c r="D2700" s="6" t="s">
        <v>567</v>
      </c>
      <c r="E2700" s="6" t="s">
        <v>120</v>
      </c>
      <c r="F2700" s="7">
        <v>6</v>
      </c>
      <c r="G2700" s="7">
        <v>750</v>
      </c>
      <c r="H2700" s="16">
        <v>45271</v>
      </c>
      <c r="I2700" s="6">
        <v>50</v>
      </c>
      <c r="J2700" s="6" t="s">
        <v>121</v>
      </c>
      <c r="K2700" s="6" t="s">
        <v>568</v>
      </c>
      <c r="L2700" s="11">
        <f>F2700*Controls!$B$6</f>
        <v>6</v>
      </c>
      <c r="M2700" s="11">
        <f>G2700*Controls!$B$6</f>
        <v>750</v>
      </c>
      <c r="N2700" s="12">
        <f>IF(L2700=0,0,SUMIFS('PSI Plan'!$N$6:$N$173,'PSI Plan'!$B$6:$B$173,B2700,'PSI Plan'!$C$6:$C$173,I2700))</f>
        <v>0</v>
      </c>
      <c r="O2700" s="11">
        <f t="shared" si="84"/>
        <v>0</v>
      </c>
      <c r="P2700" s="11">
        <f t="shared" si="85"/>
        <v>0</v>
      </c>
      <c r="Q2700" s="6"/>
      <c r="R2700" s="6"/>
      <c r="S2700" s="6"/>
      <c r="T2700" s="6"/>
    </row>
    <row r="2701" spans="1:20">
      <c r="A2701" s="6" t="s">
        <v>2869</v>
      </c>
      <c r="B2701" s="6" t="s">
        <v>68</v>
      </c>
      <c r="C2701" s="6" t="s">
        <v>96</v>
      </c>
      <c r="D2701" s="6" t="s">
        <v>567</v>
      </c>
      <c r="E2701" s="6" t="s">
        <v>120</v>
      </c>
      <c r="F2701" s="7">
        <v>4</v>
      </c>
      <c r="G2701" s="7">
        <v>500</v>
      </c>
      <c r="H2701" s="16">
        <v>45280</v>
      </c>
      <c r="I2701" s="6">
        <v>51</v>
      </c>
      <c r="J2701" s="6" t="s">
        <v>121</v>
      </c>
      <c r="K2701" s="6" t="s">
        <v>568</v>
      </c>
      <c r="L2701" s="11">
        <f>F2701*Controls!$B$6</f>
        <v>4</v>
      </c>
      <c r="M2701" s="11">
        <f>G2701*Controls!$B$6</f>
        <v>500</v>
      </c>
      <c r="N2701" s="12">
        <f>IF(L2701=0,0,SUMIFS('PSI Plan'!$N$6:$N$173,'PSI Plan'!$B$6:$B$173,B2701,'PSI Plan'!$C$6:$C$173,I2701))</f>
        <v>0</v>
      </c>
      <c r="O2701" s="11">
        <f t="shared" si="84"/>
        <v>0</v>
      </c>
      <c r="P2701" s="11">
        <f t="shared" si="85"/>
        <v>0</v>
      </c>
      <c r="Q2701" s="6"/>
      <c r="R2701" s="6"/>
      <c r="S2701" s="6"/>
      <c r="T2701" s="6"/>
    </row>
    <row r="2702" spans="1:20">
      <c r="A2702" s="6" t="s">
        <v>2870</v>
      </c>
      <c r="B2702" s="6" t="s">
        <v>68</v>
      </c>
      <c r="C2702" s="6" t="s">
        <v>90</v>
      </c>
      <c r="D2702" s="6" t="s">
        <v>119</v>
      </c>
      <c r="E2702" s="6" t="s">
        <v>120</v>
      </c>
      <c r="F2702" s="7">
        <v>18</v>
      </c>
      <c r="G2702" s="7">
        <v>2250</v>
      </c>
      <c r="H2702" s="16">
        <v>45278</v>
      </c>
      <c r="I2702" s="6">
        <v>51</v>
      </c>
      <c r="J2702" s="6" t="s">
        <v>121</v>
      </c>
      <c r="K2702" s="6" t="s">
        <v>725</v>
      </c>
      <c r="L2702" s="11">
        <f>F2702*Controls!$B$6</f>
        <v>18</v>
      </c>
      <c r="M2702" s="11">
        <f>G2702*Controls!$B$6</f>
        <v>2250</v>
      </c>
      <c r="N2702" s="12">
        <f>IF(L2702=0,0,SUMIFS('PSI Plan'!$N$6:$N$173,'PSI Plan'!$B$6:$B$173,B2702,'PSI Plan'!$C$6:$C$173,I2702))</f>
        <v>0</v>
      </c>
      <c r="O2702" s="11">
        <f t="shared" si="84"/>
        <v>0</v>
      </c>
      <c r="P2702" s="11">
        <f t="shared" si="85"/>
        <v>0</v>
      </c>
      <c r="Q2702" s="6"/>
      <c r="R2702" s="6"/>
      <c r="S2702" s="6"/>
      <c r="T2702" s="6"/>
    </row>
    <row r="2703" spans="1:20">
      <c r="A2703" s="6" t="s">
        <v>2871</v>
      </c>
      <c r="B2703" s="6" t="s">
        <v>73</v>
      </c>
      <c r="C2703" s="6" t="s">
        <v>95</v>
      </c>
      <c r="D2703" s="6" t="s">
        <v>567</v>
      </c>
      <c r="E2703" s="6" t="s">
        <v>120</v>
      </c>
      <c r="F2703" s="7">
        <v>11</v>
      </c>
      <c r="G2703" s="7">
        <v>1375</v>
      </c>
      <c r="H2703" s="16">
        <v>45289</v>
      </c>
      <c r="I2703" s="6">
        <v>52</v>
      </c>
      <c r="J2703" s="6" t="s">
        <v>121</v>
      </c>
      <c r="K2703" s="6" t="s">
        <v>1777</v>
      </c>
      <c r="L2703" s="11">
        <f>F2703*Controls!$B$6</f>
        <v>11</v>
      </c>
      <c r="M2703" s="11">
        <f>G2703*Controls!$B$6</f>
        <v>1375</v>
      </c>
      <c r="N2703" s="12">
        <f>IF(L2703=0,0,SUMIFS('PSI Plan'!$N$6:$N$173,'PSI Plan'!$B$6:$B$173,B2703,'PSI Plan'!$C$6:$C$173,I2703))</f>
        <v>0</v>
      </c>
      <c r="O2703" s="11">
        <f t="shared" si="84"/>
        <v>0</v>
      </c>
      <c r="P2703" s="11">
        <f t="shared" si="85"/>
        <v>0</v>
      </c>
      <c r="Q2703" s="6"/>
      <c r="R2703" s="6"/>
      <c r="S2703" s="6"/>
      <c r="T2703" s="6"/>
    </row>
    <row r="2704" spans="1:20">
      <c r="A2704" s="6" t="s">
        <v>2872</v>
      </c>
      <c r="B2704" s="6" t="s">
        <v>75</v>
      </c>
      <c r="C2704" s="6" t="s">
        <v>95</v>
      </c>
      <c r="D2704" s="6" t="s">
        <v>567</v>
      </c>
      <c r="E2704" s="6" t="s">
        <v>120</v>
      </c>
      <c r="F2704" s="7">
        <v>7</v>
      </c>
      <c r="G2704" s="7">
        <v>875</v>
      </c>
      <c r="H2704" s="16">
        <v>45275</v>
      </c>
      <c r="I2704" s="6">
        <v>50</v>
      </c>
      <c r="J2704" s="6" t="s">
        <v>121</v>
      </c>
      <c r="K2704" s="6" t="s">
        <v>1777</v>
      </c>
      <c r="L2704" s="11">
        <f>F2704*Controls!$B$6</f>
        <v>7</v>
      </c>
      <c r="M2704" s="11">
        <f>G2704*Controls!$B$6</f>
        <v>875</v>
      </c>
      <c r="N2704" s="12">
        <f>IF(L2704=0,0,SUMIFS('PSI Plan'!$N$6:$N$173,'PSI Plan'!$B$6:$B$173,B2704,'PSI Plan'!$C$6:$C$173,I2704))</f>
        <v>0</v>
      </c>
      <c r="O2704" s="11">
        <f t="shared" si="84"/>
        <v>0</v>
      </c>
      <c r="P2704" s="11">
        <f t="shared" si="85"/>
        <v>0</v>
      </c>
      <c r="Q2704" s="6"/>
      <c r="R2704" s="6"/>
      <c r="S2704" s="6"/>
      <c r="T2704" s="6"/>
    </row>
    <row r="2705" spans="1:20">
      <c r="A2705" s="6" t="s">
        <v>2873</v>
      </c>
      <c r="B2705" s="6" t="s">
        <v>70</v>
      </c>
      <c r="C2705" s="6" t="s">
        <v>95</v>
      </c>
      <c r="D2705" s="6" t="s">
        <v>567</v>
      </c>
      <c r="E2705" s="6" t="s">
        <v>120</v>
      </c>
      <c r="F2705" s="7">
        <v>9</v>
      </c>
      <c r="G2705" s="7">
        <v>1125</v>
      </c>
      <c r="H2705" s="16">
        <v>45252</v>
      </c>
      <c r="I2705" s="6">
        <v>47</v>
      </c>
      <c r="J2705" s="6" t="s">
        <v>121</v>
      </c>
      <c r="K2705" s="6" t="s">
        <v>1777</v>
      </c>
      <c r="L2705" s="11">
        <f>F2705*Controls!$B$6</f>
        <v>9</v>
      </c>
      <c r="M2705" s="11">
        <f>G2705*Controls!$B$6</f>
        <v>1125</v>
      </c>
      <c r="N2705" s="12">
        <f>IF(L2705=0,0,SUMIFS('PSI Plan'!$N$6:$N$173,'PSI Plan'!$B$6:$B$173,B2705,'PSI Plan'!$C$6:$C$173,I2705))</f>
        <v>0</v>
      </c>
      <c r="O2705" s="11">
        <f t="shared" si="84"/>
        <v>0</v>
      </c>
      <c r="P2705" s="11">
        <f t="shared" si="85"/>
        <v>0</v>
      </c>
      <c r="Q2705" s="6"/>
      <c r="R2705" s="6"/>
      <c r="S2705" s="6"/>
      <c r="T2705" s="6"/>
    </row>
    <row r="2706" spans="1:20">
      <c r="A2706" s="6" t="s">
        <v>2874</v>
      </c>
      <c r="B2706" s="6" t="s">
        <v>68</v>
      </c>
      <c r="C2706" s="6" t="s">
        <v>95</v>
      </c>
      <c r="D2706" s="6" t="s">
        <v>567</v>
      </c>
      <c r="E2706" s="6" t="s">
        <v>120</v>
      </c>
      <c r="F2706" s="7">
        <v>5</v>
      </c>
      <c r="G2706" s="7">
        <v>625</v>
      </c>
      <c r="H2706" s="16">
        <v>45237</v>
      </c>
      <c r="I2706" s="6">
        <v>45</v>
      </c>
      <c r="J2706" s="6" t="s">
        <v>121</v>
      </c>
      <c r="K2706" s="6" t="s">
        <v>1777</v>
      </c>
      <c r="L2706" s="11">
        <f>F2706*Controls!$B$6</f>
        <v>5</v>
      </c>
      <c r="M2706" s="11">
        <f>G2706*Controls!$B$6</f>
        <v>625</v>
      </c>
      <c r="N2706" s="12">
        <f>IF(L2706=0,0,SUMIFS('PSI Plan'!$N$6:$N$173,'PSI Plan'!$B$6:$B$173,B2706,'PSI Plan'!$C$6:$C$173,I2706))</f>
        <v>0</v>
      </c>
      <c r="O2706" s="11">
        <f t="shared" si="84"/>
        <v>0</v>
      </c>
      <c r="P2706" s="11">
        <f t="shared" si="85"/>
        <v>0</v>
      </c>
      <c r="Q2706" s="6"/>
      <c r="R2706" s="6"/>
      <c r="S2706" s="6"/>
      <c r="T2706" s="6"/>
    </row>
    <row r="2707" spans="1:20">
      <c r="A2707" s="6" t="s">
        <v>2875</v>
      </c>
      <c r="B2707" s="6" t="s">
        <v>74</v>
      </c>
      <c r="C2707" s="6" t="s">
        <v>95</v>
      </c>
      <c r="D2707" s="6" t="s">
        <v>567</v>
      </c>
      <c r="E2707" s="6" t="s">
        <v>120</v>
      </c>
      <c r="F2707" s="7">
        <v>40</v>
      </c>
      <c r="G2707" s="7">
        <v>5000</v>
      </c>
      <c r="H2707" s="16">
        <v>45203</v>
      </c>
      <c r="I2707" s="6">
        <v>40</v>
      </c>
      <c r="J2707" s="6" t="s">
        <v>2151</v>
      </c>
      <c r="K2707" s="6" t="s">
        <v>2526</v>
      </c>
      <c r="L2707" s="11">
        <f>F2707*Controls!$B$6</f>
        <v>40</v>
      </c>
      <c r="M2707" s="11">
        <f>G2707*Controls!$B$6</f>
        <v>5000</v>
      </c>
      <c r="N2707" s="12">
        <f>IF(L2707=0,0,SUMIFS('PSI Plan'!$N$6:$N$173,'PSI Plan'!$B$6:$B$173,B2707,'PSI Plan'!$C$6:$C$173,I2707))</f>
        <v>0</v>
      </c>
      <c r="O2707" s="11">
        <f t="shared" si="84"/>
        <v>0</v>
      </c>
      <c r="P2707" s="11">
        <f t="shared" si="85"/>
        <v>0</v>
      </c>
      <c r="Q2707" s="6"/>
      <c r="R2707" s="6"/>
      <c r="S2707" s="6"/>
      <c r="T2707" s="6"/>
    </row>
    <row r="2708" spans="1:20">
      <c r="A2708" s="6" t="s">
        <v>2876</v>
      </c>
      <c r="B2708" s="6" t="s">
        <v>75</v>
      </c>
      <c r="C2708" s="6" t="s">
        <v>90</v>
      </c>
      <c r="D2708" s="6" t="s">
        <v>119</v>
      </c>
      <c r="E2708" s="6" t="s">
        <v>120</v>
      </c>
      <c r="F2708" s="7">
        <v>2</v>
      </c>
      <c r="G2708" s="7">
        <v>250</v>
      </c>
      <c r="H2708" s="16">
        <v>45228</v>
      </c>
      <c r="I2708" s="6">
        <v>44</v>
      </c>
      <c r="J2708" s="6" t="s">
        <v>121</v>
      </c>
      <c r="K2708" s="6" t="s">
        <v>725</v>
      </c>
      <c r="L2708" s="11">
        <f>F2708*Controls!$B$6</f>
        <v>2</v>
      </c>
      <c r="M2708" s="11">
        <f>G2708*Controls!$B$6</f>
        <v>250</v>
      </c>
      <c r="N2708" s="12">
        <f>IF(L2708=0,0,SUMIFS('PSI Plan'!$N$6:$N$173,'PSI Plan'!$B$6:$B$173,B2708,'PSI Plan'!$C$6:$C$173,I2708))</f>
        <v>0</v>
      </c>
      <c r="O2708" s="11">
        <f t="shared" si="84"/>
        <v>0</v>
      </c>
      <c r="P2708" s="11">
        <f t="shared" si="85"/>
        <v>0</v>
      </c>
      <c r="Q2708" s="6"/>
      <c r="R2708" s="6"/>
      <c r="S2708" s="6"/>
      <c r="T2708" s="6"/>
    </row>
    <row r="2709" spans="1:20">
      <c r="A2709" s="6" t="s">
        <v>2877</v>
      </c>
      <c r="B2709" s="6" t="s">
        <v>68</v>
      </c>
      <c r="C2709" s="6" t="s">
        <v>90</v>
      </c>
      <c r="D2709" s="6" t="s">
        <v>119</v>
      </c>
      <c r="E2709" s="6" t="s">
        <v>120</v>
      </c>
      <c r="F2709" s="7">
        <v>8</v>
      </c>
      <c r="G2709" s="7">
        <v>1000</v>
      </c>
      <c r="H2709" s="16">
        <v>45258</v>
      </c>
      <c r="I2709" s="6">
        <v>48</v>
      </c>
      <c r="J2709" s="6" t="s">
        <v>121</v>
      </c>
      <c r="K2709" s="6" t="s">
        <v>725</v>
      </c>
      <c r="L2709" s="11">
        <f>F2709*Controls!$B$6</f>
        <v>8</v>
      </c>
      <c r="M2709" s="11">
        <f>G2709*Controls!$B$6</f>
        <v>1000</v>
      </c>
      <c r="N2709" s="12">
        <f>IF(L2709=0,0,SUMIFS('PSI Plan'!$N$6:$N$173,'PSI Plan'!$B$6:$B$173,B2709,'PSI Plan'!$C$6:$C$173,I2709))</f>
        <v>0</v>
      </c>
      <c r="O2709" s="11">
        <f t="shared" si="84"/>
        <v>0</v>
      </c>
      <c r="P2709" s="11">
        <f t="shared" si="85"/>
        <v>0</v>
      </c>
      <c r="Q2709" s="6"/>
      <c r="R2709" s="6"/>
      <c r="S2709" s="6"/>
      <c r="T2709" s="6"/>
    </row>
    <row r="2710" spans="1:20">
      <c r="A2710" s="6" t="s">
        <v>2878</v>
      </c>
      <c r="B2710" s="6" t="s">
        <v>73</v>
      </c>
      <c r="C2710" s="6" t="s">
        <v>90</v>
      </c>
      <c r="D2710" s="6" t="s">
        <v>119</v>
      </c>
      <c r="E2710" s="6" t="s">
        <v>120</v>
      </c>
      <c r="F2710" s="7">
        <v>26</v>
      </c>
      <c r="G2710" s="7">
        <v>3250</v>
      </c>
      <c r="H2710" s="16">
        <v>45283</v>
      </c>
      <c r="I2710" s="6">
        <v>51</v>
      </c>
      <c r="J2710" s="6" t="s">
        <v>121</v>
      </c>
      <c r="K2710" s="6" t="s">
        <v>122</v>
      </c>
      <c r="L2710" s="11">
        <f>F2710*Controls!$B$6</f>
        <v>26</v>
      </c>
      <c r="M2710" s="11">
        <f>G2710*Controls!$B$6</f>
        <v>3250</v>
      </c>
      <c r="N2710" s="12">
        <f>IF(L2710=0,0,SUMIFS('PSI Plan'!$N$6:$N$173,'PSI Plan'!$B$6:$B$173,B2710,'PSI Plan'!$C$6:$C$173,I2710))</f>
        <v>0</v>
      </c>
      <c r="O2710" s="11">
        <f t="shared" si="84"/>
        <v>0</v>
      </c>
      <c r="P2710" s="11">
        <f t="shared" si="85"/>
        <v>0</v>
      </c>
      <c r="Q2710" s="6"/>
      <c r="R2710" s="6"/>
      <c r="S2710" s="6"/>
      <c r="T2710" s="6"/>
    </row>
    <row r="2711" spans="1:20">
      <c r="A2711" s="6" t="s">
        <v>2879</v>
      </c>
      <c r="B2711" s="6" t="s">
        <v>75</v>
      </c>
      <c r="C2711" s="6" t="s">
        <v>90</v>
      </c>
      <c r="D2711" s="6" t="s">
        <v>119</v>
      </c>
      <c r="E2711" s="6" t="s">
        <v>120</v>
      </c>
      <c r="F2711" s="7">
        <v>52</v>
      </c>
      <c r="G2711" s="7">
        <v>6500</v>
      </c>
      <c r="H2711" s="16">
        <v>45224</v>
      </c>
      <c r="I2711" s="6">
        <v>43</v>
      </c>
      <c r="J2711" s="6" t="s">
        <v>121</v>
      </c>
      <c r="K2711" s="6" t="s">
        <v>122</v>
      </c>
      <c r="L2711" s="11">
        <f>F2711*Controls!$B$6</f>
        <v>52</v>
      </c>
      <c r="M2711" s="11">
        <f>G2711*Controls!$B$6</f>
        <v>6500</v>
      </c>
      <c r="N2711" s="12">
        <f>IF(L2711=0,0,SUMIFS('PSI Plan'!$N$6:$N$173,'PSI Plan'!$B$6:$B$173,B2711,'PSI Plan'!$C$6:$C$173,I2711))</f>
        <v>0</v>
      </c>
      <c r="O2711" s="11">
        <f t="shared" si="84"/>
        <v>0</v>
      </c>
      <c r="P2711" s="11">
        <f t="shared" si="85"/>
        <v>0</v>
      </c>
      <c r="Q2711" s="6"/>
      <c r="R2711" s="6"/>
      <c r="S2711" s="6"/>
      <c r="T2711" s="6"/>
    </row>
    <row r="2712" spans="1:20">
      <c r="A2712" s="6" t="s">
        <v>2880</v>
      </c>
      <c r="B2712" s="6" t="s">
        <v>70</v>
      </c>
      <c r="C2712" s="6" t="s">
        <v>90</v>
      </c>
      <c r="D2712" s="6" t="s">
        <v>119</v>
      </c>
      <c r="E2712" s="6" t="s">
        <v>120</v>
      </c>
      <c r="F2712" s="7">
        <v>32</v>
      </c>
      <c r="G2712" s="7">
        <v>4000</v>
      </c>
      <c r="H2712" s="16">
        <v>45276</v>
      </c>
      <c r="I2712" s="6">
        <v>50</v>
      </c>
      <c r="J2712" s="6" t="s">
        <v>121</v>
      </c>
      <c r="K2712" s="6" t="s">
        <v>122</v>
      </c>
      <c r="L2712" s="11">
        <f>F2712*Controls!$B$6</f>
        <v>32</v>
      </c>
      <c r="M2712" s="11">
        <f>G2712*Controls!$B$6</f>
        <v>4000</v>
      </c>
      <c r="N2712" s="12">
        <f>IF(L2712=0,0,SUMIFS('PSI Plan'!$N$6:$N$173,'PSI Plan'!$B$6:$B$173,B2712,'PSI Plan'!$C$6:$C$173,I2712))</f>
        <v>0</v>
      </c>
      <c r="O2712" s="11">
        <f t="shared" si="84"/>
        <v>0</v>
      </c>
      <c r="P2712" s="11">
        <f t="shared" si="85"/>
        <v>0</v>
      </c>
      <c r="Q2712" s="6"/>
      <c r="R2712" s="6"/>
      <c r="S2712" s="6"/>
      <c r="T2712" s="6"/>
    </row>
    <row r="2713" spans="1:20">
      <c r="A2713" s="6" t="s">
        <v>2881</v>
      </c>
      <c r="B2713" s="6" t="s">
        <v>68</v>
      </c>
      <c r="C2713" s="6" t="s">
        <v>90</v>
      </c>
      <c r="D2713" s="6" t="s">
        <v>119</v>
      </c>
      <c r="E2713" s="6" t="s">
        <v>120</v>
      </c>
      <c r="F2713" s="7">
        <v>38</v>
      </c>
      <c r="G2713" s="7">
        <v>4750</v>
      </c>
      <c r="H2713" s="16">
        <v>45284</v>
      </c>
      <c r="I2713" s="6">
        <v>52</v>
      </c>
      <c r="J2713" s="6" t="s">
        <v>121</v>
      </c>
      <c r="K2713" s="6" t="s">
        <v>122</v>
      </c>
      <c r="L2713" s="11">
        <f>F2713*Controls!$B$6</f>
        <v>38</v>
      </c>
      <c r="M2713" s="11">
        <f>G2713*Controls!$B$6</f>
        <v>4750</v>
      </c>
      <c r="N2713" s="12">
        <f>IF(L2713=0,0,SUMIFS('PSI Plan'!$N$6:$N$173,'PSI Plan'!$B$6:$B$173,B2713,'PSI Plan'!$C$6:$C$173,I2713))</f>
        <v>0</v>
      </c>
      <c r="O2713" s="11">
        <f t="shared" si="84"/>
        <v>0</v>
      </c>
      <c r="P2713" s="11">
        <f t="shared" si="85"/>
        <v>0</v>
      </c>
      <c r="Q2713" s="6"/>
      <c r="R2713" s="6"/>
      <c r="S2713" s="6"/>
      <c r="T2713" s="6"/>
    </row>
    <row r="2714" spans="1:20">
      <c r="A2714" s="6" t="s">
        <v>2882</v>
      </c>
      <c r="B2714" s="6" t="s">
        <v>73</v>
      </c>
      <c r="C2714" s="6" t="s">
        <v>90</v>
      </c>
      <c r="D2714" s="6" t="s">
        <v>119</v>
      </c>
      <c r="E2714" s="6" t="s">
        <v>120</v>
      </c>
      <c r="F2714" s="7">
        <v>1</v>
      </c>
      <c r="G2714" s="7">
        <v>125</v>
      </c>
      <c r="H2714" s="16">
        <v>45207</v>
      </c>
      <c r="I2714" s="6">
        <v>41</v>
      </c>
      <c r="J2714" s="6" t="s">
        <v>121</v>
      </c>
      <c r="K2714" s="6" t="s">
        <v>139</v>
      </c>
      <c r="L2714" s="11">
        <f>F2714*Controls!$B$6</f>
        <v>1</v>
      </c>
      <c r="M2714" s="11">
        <f>G2714*Controls!$B$6</f>
        <v>125</v>
      </c>
      <c r="N2714" s="12">
        <f>IF(L2714=0,0,SUMIFS('PSI Plan'!$N$6:$N$173,'PSI Plan'!$B$6:$B$173,B2714,'PSI Plan'!$C$6:$C$173,I2714))</f>
        <v>0</v>
      </c>
      <c r="O2714" s="11">
        <f t="shared" si="84"/>
        <v>0</v>
      </c>
      <c r="P2714" s="11">
        <f t="shared" si="85"/>
        <v>0</v>
      </c>
      <c r="Q2714" s="6"/>
      <c r="R2714" s="6"/>
      <c r="S2714" s="6"/>
      <c r="T2714" s="6"/>
    </row>
    <row r="2715" spans="1:20">
      <c r="A2715" s="6" t="s">
        <v>2883</v>
      </c>
      <c r="B2715" s="6" t="s">
        <v>75</v>
      </c>
      <c r="C2715" s="6" t="s">
        <v>90</v>
      </c>
      <c r="D2715" s="6" t="s">
        <v>119</v>
      </c>
      <c r="E2715" s="6" t="s">
        <v>120</v>
      </c>
      <c r="F2715" s="7">
        <v>6</v>
      </c>
      <c r="G2715" s="7">
        <v>750</v>
      </c>
      <c r="H2715" s="16">
        <v>45278</v>
      </c>
      <c r="I2715" s="6">
        <v>51</v>
      </c>
      <c r="J2715" s="6" t="s">
        <v>121</v>
      </c>
      <c r="K2715" s="6" t="s">
        <v>139</v>
      </c>
      <c r="L2715" s="11">
        <f>F2715*Controls!$B$6</f>
        <v>6</v>
      </c>
      <c r="M2715" s="11">
        <f>G2715*Controls!$B$6</f>
        <v>750</v>
      </c>
      <c r="N2715" s="12">
        <f>IF(L2715=0,0,SUMIFS('PSI Plan'!$N$6:$N$173,'PSI Plan'!$B$6:$B$173,B2715,'PSI Plan'!$C$6:$C$173,I2715))</f>
        <v>0</v>
      </c>
      <c r="O2715" s="11">
        <f t="shared" si="84"/>
        <v>0</v>
      </c>
      <c r="P2715" s="11">
        <f t="shared" si="85"/>
        <v>0</v>
      </c>
      <c r="Q2715" s="6"/>
      <c r="R2715" s="6"/>
      <c r="S2715" s="6"/>
      <c r="T2715" s="6"/>
    </row>
    <row r="2716" spans="1:20">
      <c r="A2716" s="6" t="s">
        <v>2884</v>
      </c>
      <c r="B2716" s="6" t="s">
        <v>74</v>
      </c>
      <c r="C2716" s="6" t="s">
        <v>95</v>
      </c>
      <c r="D2716" s="6" t="s">
        <v>567</v>
      </c>
      <c r="E2716" s="6" t="s">
        <v>120</v>
      </c>
      <c r="F2716" s="7">
        <v>32</v>
      </c>
      <c r="G2716" s="7">
        <v>4000</v>
      </c>
      <c r="H2716" s="16">
        <v>45241</v>
      </c>
      <c r="I2716" s="6">
        <v>45</v>
      </c>
      <c r="J2716" s="6" t="s">
        <v>2151</v>
      </c>
      <c r="K2716" s="6" t="s">
        <v>2526</v>
      </c>
      <c r="L2716" s="11">
        <f>F2716*Controls!$B$6</f>
        <v>32</v>
      </c>
      <c r="M2716" s="11">
        <f>G2716*Controls!$B$6</f>
        <v>4000</v>
      </c>
      <c r="N2716" s="12">
        <f>IF(L2716=0,0,SUMIFS('PSI Plan'!$N$6:$N$173,'PSI Plan'!$B$6:$B$173,B2716,'PSI Plan'!$C$6:$C$173,I2716))</f>
        <v>0</v>
      </c>
      <c r="O2716" s="11">
        <f t="shared" si="84"/>
        <v>0</v>
      </c>
      <c r="P2716" s="11">
        <f t="shared" si="85"/>
        <v>0</v>
      </c>
      <c r="Q2716" s="6"/>
      <c r="R2716" s="6"/>
      <c r="S2716" s="6"/>
      <c r="T2716" s="6"/>
    </row>
    <row r="2717" spans="1:20">
      <c r="A2717" s="6" t="s">
        <v>2885</v>
      </c>
      <c r="B2717" s="6" t="s">
        <v>75</v>
      </c>
      <c r="C2717" s="6" t="s">
        <v>90</v>
      </c>
      <c r="D2717" s="6" t="s">
        <v>119</v>
      </c>
      <c r="E2717" s="6" t="s">
        <v>120</v>
      </c>
      <c r="F2717" s="7">
        <v>8</v>
      </c>
      <c r="G2717" s="7">
        <v>1000</v>
      </c>
      <c r="H2717" s="16">
        <v>45213</v>
      </c>
      <c r="I2717" s="6">
        <v>41</v>
      </c>
      <c r="J2717" s="6" t="s">
        <v>121</v>
      </c>
      <c r="K2717" s="6" t="s">
        <v>725</v>
      </c>
      <c r="L2717" s="11">
        <f>F2717*Controls!$B$6</f>
        <v>8</v>
      </c>
      <c r="M2717" s="11">
        <f>G2717*Controls!$B$6</f>
        <v>1000</v>
      </c>
      <c r="N2717" s="12">
        <f>IF(L2717=0,0,SUMIFS('PSI Plan'!$N$6:$N$173,'PSI Plan'!$B$6:$B$173,B2717,'PSI Plan'!$C$6:$C$173,I2717))</f>
        <v>0</v>
      </c>
      <c r="O2717" s="11">
        <f t="shared" si="84"/>
        <v>0</v>
      </c>
      <c r="P2717" s="11">
        <f t="shared" si="85"/>
        <v>0</v>
      </c>
      <c r="Q2717" s="6"/>
      <c r="R2717" s="6"/>
      <c r="S2717" s="6"/>
      <c r="T2717" s="6"/>
    </row>
    <row r="2718" spans="1:20">
      <c r="A2718" s="6" t="s">
        <v>2886</v>
      </c>
      <c r="B2718" s="6" t="s">
        <v>75</v>
      </c>
      <c r="C2718" s="6" t="s">
        <v>90</v>
      </c>
      <c r="D2718" s="6" t="s">
        <v>119</v>
      </c>
      <c r="E2718" s="6" t="s">
        <v>120</v>
      </c>
      <c r="F2718" s="7">
        <v>23</v>
      </c>
      <c r="G2718" s="7">
        <v>2875</v>
      </c>
      <c r="H2718" s="16">
        <v>45260</v>
      </c>
      <c r="I2718" s="6">
        <v>48</v>
      </c>
      <c r="J2718" s="6" t="s">
        <v>121</v>
      </c>
      <c r="K2718" s="6" t="s">
        <v>122</v>
      </c>
      <c r="L2718" s="11">
        <f>F2718*Controls!$B$6</f>
        <v>23</v>
      </c>
      <c r="M2718" s="11">
        <f>G2718*Controls!$B$6</f>
        <v>2875</v>
      </c>
      <c r="N2718" s="12">
        <f>IF(L2718=0,0,SUMIFS('PSI Plan'!$N$6:$N$173,'PSI Plan'!$B$6:$B$173,B2718,'PSI Plan'!$C$6:$C$173,I2718))</f>
        <v>0</v>
      </c>
      <c r="O2718" s="11">
        <f t="shared" si="84"/>
        <v>0</v>
      </c>
      <c r="P2718" s="11">
        <f t="shared" si="85"/>
        <v>0</v>
      </c>
      <c r="Q2718" s="6"/>
      <c r="R2718" s="6"/>
      <c r="S2718" s="6"/>
      <c r="T2718" s="6"/>
    </row>
    <row r="2719" spans="1:20">
      <c r="A2719" s="6" t="s">
        <v>2887</v>
      </c>
      <c r="B2719" s="6" t="s">
        <v>70</v>
      </c>
      <c r="C2719" s="6" t="s">
        <v>90</v>
      </c>
      <c r="D2719" s="6" t="s">
        <v>119</v>
      </c>
      <c r="E2719" s="6" t="s">
        <v>120</v>
      </c>
      <c r="F2719" s="7">
        <v>6</v>
      </c>
      <c r="G2719" s="7">
        <v>750</v>
      </c>
      <c r="H2719" s="16">
        <v>45279</v>
      </c>
      <c r="I2719" s="6">
        <v>51</v>
      </c>
      <c r="J2719" s="6" t="s">
        <v>121</v>
      </c>
      <c r="K2719" s="6" t="s">
        <v>122</v>
      </c>
      <c r="L2719" s="11">
        <f>F2719*Controls!$B$6</f>
        <v>6</v>
      </c>
      <c r="M2719" s="11">
        <f>G2719*Controls!$B$6</f>
        <v>750</v>
      </c>
      <c r="N2719" s="12">
        <f>IF(L2719=0,0,SUMIFS('PSI Plan'!$N$6:$N$173,'PSI Plan'!$B$6:$B$173,B2719,'PSI Plan'!$C$6:$C$173,I2719))</f>
        <v>0</v>
      </c>
      <c r="O2719" s="11">
        <f t="shared" si="84"/>
        <v>0</v>
      </c>
      <c r="P2719" s="11">
        <f t="shared" si="85"/>
        <v>0</v>
      </c>
      <c r="Q2719" s="6"/>
      <c r="R2719" s="6"/>
      <c r="S2719" s="6"/>
      <c r="T2719" s="6"/>
    </row>
    <row r="2720" spans="1:20">
      <c r="A2720" s="6" t="s">
        <v>2888</v>
      </c>
      <c r="B2720" s="6" t="s">
        <v>68</v>
      </c>
      <c r="C2720" s="6" t="s">
        <v>90</v>
      </c>
      <c r="D2720" s="6" t="s">
        <v>119</v>
      </c>
      <c r="E2720" s="6" t="s">
        <v>120</v>
      </c>
      <c r="F2720" s="7">
        <v>15</v>
      </c>
      <c r="G2720" s="7">
        <v>1875</v>
      </c>
      <c r="H2720" s="16">
        <v>45220</v>
      </c>
      <c r="I2720" s="6">
        <v>42</v>
      </c>
      <c r="J2720" s="6" t="s">
        <v>121</v>
      </c>
      <c r="K2720" s="6" t="s">
        <v>122</v>
      </c>
      <c r="L2720" s="11">
        <f>F2720*Controls!$B$6</f>
        <v>15</v>
      </c>
      <c r="M2720" s="11">
        <f>G2720*Controls!$B$6</f>
        <v>1875</v>
      </c>
      <c r="N2720" s="12">
        <f>IF(L2720=0,0,SUMIFS('PSI Plan'!$N$6:$N$173,'PSI Plan'!$B$6:$B$173,B2720,'PSI Plan'!$C$6:$C$173,I2720))</f>
        <v>0</v>
      </c>
      <c r="O2720" s="11">
        <f t="shared" si="84"/>
        <v>0</v>
      </c>
      <c r="P2720" s="11">
        <f t="shared" si="85"/>
        <v>0</v>
      </c>
      <c r="Q2720" s="6"/>
      <c r="R2720" s="6"/>
      <c r="S2720" s="6"/>
      <c r="T2720" s="6"/>
    </row>
    <row r="2721" spans="1:20">
      <c r="A2721" s="6" t="s">
        <v>2889</v>
      </c>
      <c r="B2721" s="6" t="s">
        <v>73</v>
      </c>
      <c r="C2721" s="6" t="s">
        <v>90</v>
      </c>
      <c r="D2721" s="6" t="s">
        <v>119</v>
      </c>
      <c r="E2721" s="6" t="s">
        <v>120</v>
      </c>
      <c r="F2721" s="7">
        <v>4</v>
      </c>
      <c r="G2721" s="7">
        <v>500</v>
      </c>
      <c r="H2721" s="16">
        <v>45206</v>
      </c>
      <c r="I2721" s="6">
        <v>40</v>
      </c>
      <c r="J2721" s="6" t="s">
        <v>121</v>
      </c>
      <c r="K2721" s="6" t="s">
        <v>139</v>
      </c>
      <c r="L2721" s="11">
        <f>F2721*Controls!$B$6</f>
        <v>4</v>
      </c>
      <c r="M2721" s="11">
        <f>G2721*Controls!$B$6</f>
        <v>500</v>
      </c>
      <c r="N2721" s="12">
        <f>IF(L2721=0,0,SUMIFS('PSI Plan'!$N$6:$N$173,'PSI Plan'!$B$6:$B$173,B2721,'PSI Plan'!$C$6:$C$173,I2721))</f>
        <v>0</v>
      </c>
      <c r="O2721" s="11">
        <f t="shared" si="84"/>
        <v>0</v>
      </c>
      <c r="P2721" s="11">
        <f t="shared" si="85"/>
        <v>0</v>
      </c>
      <c r="Q2721" s="6"/>
      <c r="R2721" s="6"/>
      <c r="S2721" s="6"/>
      <c r="T2721" s="6"/>
    </row>
    <row r="2722" spans="1:20">
      <c r="A2722" s="6" t="s">
        <v>2890</v>
      </c>
      <c r="B2722" s="6" t="s">
        <v>75</v>
      </c>
      <c r="C2722" s="6" t="s">
        <v>90</v>
      </c>
      <c r="D2722" s="6" t="s">
        <v>119</v>
      </c>
      <c r="E2722" s="6" t="s">
        <v>120</v>
      </c>
      <c r="F2722" s="7">
        <v>14</v>
      </c>
      <c r="G2722" s="7">
        <v>1750</v>
      </c>
      <c r="H2722" s="16">
        <v>45217</v>
      </c>
      <c r="I2722" s="6">
        <v>42</v>
      </c>
      <c r="J2722" s="6" t="s">
        <v>121</v>
      </c>
      <c r="K2722" s="6" t="s">
        <v>139</v>
      </c>
      <c r="L2722" s="11">
        <f>F2722*Controls!$B$6</f>
        <v>14</v>
      </c>
      <c r="M2722" s="11">
        <f>G2722*Controls!$B$6</f>
        <v>1750</v>
      </c>
      <c r="N2722" s="12">
        <f>IF(L2722=0,0,SUMIFS('PSI Plan'!$N$6:$N$173,'PSI Plan'!$B$6:$B$173,B2722,'PSI Plan'!$C$6:$C$173,I2722))</f>
        <v>0</v>
      </c>
      <c r="O2722" s="11">
        <f t="shared" si="84"/>
        <v>0</v>
      </c>
      <c r="P2722" s="11">
        <f t="shared" si="85"/>
        <v>0</v>
      </c>
      <c r="Q2722" s="6"/>
      <c r="R2722" s="6"/>
      <c r="S2722" s="6"/>
      <c r="T2722" s="6"/>
    </row>
    <row r="2723" spans="1:20">
      <c r="A2723" s="6" t="s">
        <v>2891</v>
      </c>
      <c r="B2723" s="6" t="s">
        <v>70</v>
      </c>
      <c r="C2723" s="6" t="s">
        <v>90</v>
      </c>
      <c r="D2723" s="6" t="s">
        <v>119</v>
      </c>
      <c r="E2723" s="6" t="s">
        <v>120</v>
      </c>
      <c r="F2723" s="7">
        <v>9</v>
      </c>
      <c r="G2723" s="7">
        <v>1125</v>
      </c>
      <c r="H2723" s="16">
        <v>45221</v>
      </c>
      <c r="I2723" s="6">
        <v>43</v>
      </c>
      <c r="J2723" s="6" t="s">
        <v>121</v>
      </c>
      <c r="K2723" s="6" t="s">
        <v>139</v>
      </c>
      <c r="L2723" s="11">
        <f>F2723*Controls!$B$6</f>
        <v>9</v>
      </c>
      <c r="M2723" s="11">
        <f>G2723*Controls!$B$6</f>
        <v>1125</v>
      </c>
      <c r="N2723" s="12">
        <f>IF(L2723=0,0,SUMIFS('PSI Plan'!$N$6:$N$173,'PSI Plan'!$B$6:$B$173,B2723,'PSI Plan'!$C$6:$C$173,I2723))</f>
        <v>0</v>
      </c>
      <c r="O2723" s="11">
        <f t="shared" si="84"/>
        <v>0</v>
      </c>
      <c r="P2723" s="11">
        <f t="shared" si="85"/>
        <v>0</v>
      </c>
      <c r="Q2723" s="6"/>
      <c r="R2723" s="6"/>
      <c r="S2723" s="6"/>
      <c r="T2723" s="6"/>
    </row>
    <row r="2724" spans="1:20">
      <c r="A2724" s="6" t="s">
        <v>2892</v>
      </c>
      <c r="B2724" s="6" t="s">
        <v>74</v>
      </c>
      <c r="C2724" s="6" t="s">
        <v>94</v>
      </c>
      <c r="D2724" s="6" t="s">
        <v>567</v>
      </c>
      <c r="E2724" s="6" t="s">
        <v>120</v>
      </c>
      <c r="F2724" s="7">
        <v>12</v>
      </c>
      <c r="G2724" s="7">
        <v>1500</v>
      </c>
      <c r="H2724" s="16">
        <v>45216</v>
      </c>
      <c r="I2724" s="6">
        <v>42</v>
      </c>
      <c r="J2724" s="6" t="s">
        <v>121</v>
      </c>
      <c r="K2724" s="6" t="s">
        <v>1777</v>
      </c>
      <c r="L2724" s="11">
        <f>F2724*Controls!$B$6</f>
        <v>12</v>
      </c>
      <c r="M2724" s="11">
        <f>G2724*Controls!$B$6</f>
        <v>1500</v>
      </c>
      <c r="N2724" s="12">
        <f>IF(L2724=0,0,SUMIFS('PSI Plan'!$N$6:$N$173,'PSI Plan'!$B$6:$B$173,B2724,'PSI Plan'!$C$6:$C$173,I2724))</f>
        <v>0</v>
      </c>
      <c r="O2724" s="11">
        <f t="shared" si="84"/>
        <v>0</v>
      </c>
      <c r="P2724" s="11">
        <f t="shared" si="85"/>
        <v>0</v>
      </c>
      <c r="Q2724" s="6"/>
      <c r="R2724" s="6"/>
      <c r="S2724" s="6"/>
      <c r="T2724" s="6"/>
    </row>
    <row r="2725" spans="1:20">
      <c r="A2725" s="6" t="s">
        <v>2893</v>
      </c>
      <c r="B2725" s="6" t="s">
        <v>73</v>
      </c>
      <c r="C2725" s="6" t="s">
        <v>93</v>
      </c>
      <c r="D2725" s="6" t="s">
        <v>567</v>
      </c>
      <c r="E2725" s="6" t="s">
        <v>120</v>
      </c>
      <c r="F2725" s="7">
        <v>6</v>
      </c>
      <c r="G2725" s="7">
        <v>750</v>
      </c>
      <c r="H2725" s="16">
        <v>45282</v>
      </c>
      <c r="I2725" s="6">
        <v>51</v>
      </c>
      <c r="J2725" s="6" t="s">
        <v>121</v>
      </c>
      <c r="K2725" s="6" t="s">
        <v>568</v>
      </c>
      <c r="L2725" s="11">
        <f>F2725*Controls!$B$6</f>
        <v>6</v>
      </c>
      <c r="M2725" s="11">
        <f>G2725*Controls!$B$6</f>
        <v>750</v>
      </c>
      <c r="N2725" s="12">
        <f>IF(L2725=0,0,SUMIFS('PSI Plan'!$N$6:$N$173,'PSI Plan'!$B$6:$B$173,B2725,'PSI Plan'!$C$6:$C$173,I2725))</f>
        <v>0</v>
      </c>
      <c r="O2725" s="11">
        <f t="shared" si="84"/>
        <v>0</v>
      </c>
      <c r="P2725" s="11">
        <f t="shared" si="85"/>
        <v>0</v>
      </c>
      <c r="Q2725" s="6"/>
      <c r="R2725" s="6"/>
      <c r="S2725" s="6"/>
      <c r="T2725" s="6"/>
    </row>
    <row r="2726" spans="1:20">
      <c r="A2726" s="6" t="s">
        <v>2894</v>
      </c>
      <c r="B2726" s="6" t="s">
        <v>75</v>
      </c>
      <c r="C2726" s="6" t="s">
        <v>93</v>
      </c>
      <c r="D2726" s="6" t="s">
        <v>567</v>
      </c>
      <c r="E2726" s="6" t="s">
        <v>120</v>
      </c>
      <c r="F2726" s="7">
        <v>6</v>
      </c>
      <c r="G2726" s="7">
        <v>750</v>
      </c>
      <c r="H2726" s="16">
        <v>45272</v>
      </c>
      <c r="I2726" s="6">
        <v>50</v>
      </c>
      <c r="J2726" s="6" t="s">
        <v>121</v>
      </c>
      <c r="K2726" s="6" t="s">
        <v>568</v>
      </c>
      <c r="L2726" s="11">
        <f>F2726*Controls!$B$6</f>
        <v>6</v>
      </c>
      <c r="M2726" s="11">
        <f>G2726*Controls!$B$6</f>
        <v>750</v>
      </c>
      <c r="N2726" s="12">
        <f>IF(L2726=0,0,SUMIFS('PSI Plan'!$N$6:$N$173,'PSI Plan'!$B$6:$B$173,B2726,'PSI Plan'!$C$6:$C$173,I2726))</f>
        <v>0</v>
      </c>
      <c r="O2726" s="11">
        <f t="shared" si="84"/>
        <v>0</v>
      </c>
      <c r="P2726" s="11">
        <f t="shared" si="85"/>
        <v>0</v>
      </c>
      <c r="Q2726" s="6"/>
      <c r="R2726" s="6"/>
      <c r="S2726" s="6"/>
      <c r="T2726" s="6"/>
    </row>
    <row r="2727" spans="1:20">
      <c r="A2727" s="6" t="s">
        <v>2895</v>
      </c>
      <c r="B2727" s="6" t="s">
        <v>70</v>
      </c>
      <c r="C2727" s="6" t="s">
        <v>93</v>
      </c>
      <c r="D2727" s="6" t="s">
        <v>567</v>
      </c>
      <c r="E2727" s="6" t="s">
        <v>120</v>
      </c>
      <c r="F2727" s="7">
        <v>6</v>
      </c>
      <c r="G2727" s="7">
        <v>750</v>
      </c>
      <c r="H2727" s="16">
        <v>45237</v>
      </c>
      <c r="I2727" s="6">
        <v>45</v>
      </c>
      <c r="J2727" s="6" t="s">
        <v>121</v>
      </c>
      <c r="K2727" s="6" t="s">
        <v>568</v>
      </c>
      <c r="L2727" s="11">
        <f>F2727*Controls!$B$6</f>
        <v>6</v>
      </c>
      <c r="M2727" s="11">
        <f>G2727*Controls!$B$6</f>
        <v>750</v>
      </c>
      <c r="N2727" s="12">
        <f>IF(L2727=0,0,SUMIFS('PSI Plan'!$N$6:$N$173,'PSI Plan'!$B$6:$B$173,B2727,'PSI Plan'!$C$6:$C$173,I2727))</f>
        <v>0</v>
      </c>
      <c r="O2727" s="11">
        <f t="shared" si="84"/>
        <v>0</v>
      </c>
      <c r="P2727" s="11">
        <f t="shared" si="85"/>
        <v>0</v>
      </c>
      <c r="Q2727" s="6"/>
      <c r="R2727" s="6"/>
      <c r="S2727" s="6"/>
      <c r="T2727" s="6"/>
    </row>
    <row r="2728" spans="1:20">
      <c r="A2728" s="6" t="s">
        <v>2896</v>
      </c>
      <c r="B2728" s="6" t="s">
        <v>68</v>
      </c>
      <c r="C2728" s="6" t="s">
        <v>93</v>
      </c>
      <c r="D2728" s="6" t="s">
        <v>567</v>
      </c>
      <c r="E2728" s="6" t="s">
        <v>120</v>
      </c>
      <c r="F2728" s="7">
        <v>6</v>
      </c>
      <c r="G2728" s="7">
        <v>750</v>
      </c>
      <c r="H2728" s="16">
        <v>45202</v>
      </c>
      <c r="I2728" s="6">
        <v>40</v>
      </c>
      <c r="J2728" s="6" t="s">
        <v>121</v>
      </c>
      <c r="K2728" s="6" t="s">
        <v>568</v>
      </c>
      <c r="L2728" s="11">
        <f>F2728*Controls!$B$6</f>
        <v>6</v>
      </c>
      <c r="M2728" s="11">
        <f>G2728*Controls!$B$6</f>
        <v>750</v>
      </c>
      <c r="N2728" s="12">
        <f>IF(L2728=0,0,SUMIFS('PSI Plan'!$N$6:$N$173,'PSI Plan'!$B$6:$B$173,B2728,'PSI Plan'!$C$6:$C$173,I2728))</f>
        <v>0</v>
      </c>
      <c r="O2728" s="11">
        <f t="shared" si="84"/>
        <v>0</v>
      </c>
      <c r="P2728" s="11">
        <f t="shared" si="85"/>
        <v>0</v>
      </c>
      <c r="Q2728" s="6"/>
      <c r="R2728" s="6"/>
      <c r="S2728" s="6"/>
      <c r="T2728" s="6"/>
    </row>
    <row r="2729" spans="1:20">
      <c r="A2729" s="6" t="s">
        <v>2897</v>
      </c>
      <c r="B2729" s="6" t="s">
        <v>73</v>
      </c>
      <c r="C2729" s="6" t="s">
        <v>99</v>
      </c>
      <c r="D2729" s="6" t="s">
        <v>319</v>
      </c>
      <c r="E2729" s="6" t="s">
        <v>120</v>
      </c>
      <c r="F2729" s="7">
        <v>8</v>
      </c>
      <c r="G2729" s="7">
        <v>1000</v>
      </c>
      <c r="H2729" s="16">
        <v>45216</v>
      </c>
      <c r="I2729" s="6">
        <v>42</v>
      </c>
      <c r="J2729" s="6" t="s">
        <v>1791</v>
      </c>
      <c r="K2729" s="6" t="s">
        <v>1810</v>
      </c>
      <c r="L2729" s="11">
        <f>F2729*Controls!$B$6</f>
        <v>8</v>
      </c>
      <c r="M2729" s="11">
        <f>G2729*Controls!$B$6</f>
        <v>1000</v>
      </c>
      <c r="N2729" s="12">
        <f>IF(L2729=0,0,SUMIFS('PSI Plan'!$N$6:$N$173,'PSI Plan'!$B$6:$B$173,B2729,'PSI Plan'!$C$6:$C$173,I2729))</f>
        <v>0</v>
      </c>
      <c r="O2729" s="11">
        <f t="shared" si="84"/>
        <v>0</v>
      </c>
      <c r="P2729" s="11">
        <f t="shared" si="85"/>
        <v>0</v>
      </c>
      <c r="Q2729" s="6"/>
      <c r="R2729" s="6"/>
      <c r="S2729" s="6"/>
      <c r="T2729" s="6"/>
    </row>
    <row r="2730" spans="1:20">
      <c r="A2730" s="6" t="s">
        <v>2898</v>
      </c>
      <c r="B2730" s="6" t="s">
        <v>75</v>
      </c>
      <c r="C2730" s="6" t="s">
        <v>99</v>
      </c>
      <c r="D2730" s="6" t="s">
        <v>319</v>
      </c>
      <c r="E2730" s="6" t="s">
        <v>120</v>
      </c>
      <c r="F2730" s="7">
        <v>4</v>
      </c>
      <c r="G2730" s="7">
        <v>500</v>
      </c>
      <c r="H2730" s="16">
        <v>45207</v>
      </c>
      <c r="I2730" s="6">
        <v>41</v>
      </c>
      <c r="J2730" s="6" t="s">
        <v>1791</v>
      </c>
      <c r="K2730" s="6" t="s">
        <v>1810</v>
      </c>
      <c r="L2730" s="11">
        <f>F2730*Controls!$B$6</f>
        <v>4</v>
      </c>
      <c r="M2730" s="11">
        <f>G2730*Controls!$B$6</f>
        <v>500</v>
      </c>
      <c r="N2730" s="12">
        <f>IF(L2730=0,0,SUMIFS('PSI Plan'!$N$6:$N$173,'PSI Plan'!$B$6:$B$173,B2730,'PSI Plan'!$C$6:$C$173,I2730))</f>
        <v>0</v>
      </c>
      <c r="O2730" s="11">
        <f t="shared" si="84"/>
        <v>0</v>
      </c>
      <c r="P2730" s="11">
        <f t="shared" si="85"/>
        <v>0</v>
      </c>
      <c r="Q2730" s="6"/>
      <c r="R2730" s="6"/>
      <c r="S2730" s="6"/>
      <c r="T2730" s="6"/>
    </row>
    <row r="2731" spans="1:20">
      <c r="A2731" s="6" t="s">
        <v>2899</v>
      </c>
      <c r="B2731" s="6" t="s">
        <v>70</v>
      </c>
      <c r="C2731" s="6" t="s">
        <v>99</v>
      </c>
      <c r="D2731" s="6" t="s">
        <v>319</v>
      </c>
      <c r="E2731" s="6" t="s">
        <v>120</v>
      </c>
      <c r="F2731" s="7">
        <v>8</v>
      </c>
      <c r="G2731" s="7">
        <v>1000</v>
      </c>
      <c r="H2731" s="16">
        <v>45219</v>
      </c>
      <c r="I2731" s="6">
        <v>42</v>
      </c>
      <c r="J2731" s="6" t="s">
        <v>1791</v>
      </c>
      <c r="K2731" s="6" t="s">
        <v>1810</v>
      </c>
      <c r="L2731" s="11">
        <f>F2731*Controls!$B$6</f>
        <v>8</v>
      </c>
      <c r="M2731" s="11">
        <f>G2731*Controls!$B$6</f>
        <v>1000</v>
      </c>
      <c r="N2731" s="12">
        <f>IF(L2731=0,0,SUMIFS('PSI Plan'!$N$6:$N$173,'PSI Plan'!$B$6:$B$173,B2731,'PSI Plan'!$C$6:$C$173,I2731))</f>
        <v>0</v>
      </c>
      <c r="O2731" s="11">
        <f t="shared" si="84"/>
        <v>0</v>
      </c>
      <c r="P2731" s="11">
        <f t="shared" si="85"/>
        <v>0</v>
      </c>
      <c r="Q2731" s="6"/>
      <c r="R2731" s="6"/>
      <c r="S2731" s="6"/>
      <c r="T2731" s="6"/>
    </row>
    <row r="2732" spans="1:20">
      <c r="A2732" s="6" t="s">
        <v>2900</v>
      </c>
      <c r="B2732" s="6" t="s">
        <v>68</v>
      </c>
      <c r="C2732" s="6" t="s">
        <v>99</v>
      </c>
      <c r="D2732" s="6" t="s">
        <v>319</v>
      </c>
      <c r="E2732" s="6" t="s">
        <v>120</v>
      </c>
      <c r="F2732" s="7">
        <v>4</v>
      </c>
      <c r="G2732" s="7">
        <v>500</v>
      </c>
      <c r="H2732" s="16">
        <v>45260</v>
      </c>
      <c r="I2732" s="6">
        <v>48</v>
      </c>
      <c r="J2732" s="6" t="s">
        <v>1791</v>
      </c>
      <c r="K2732" s="6" t="s">
        <v>1810</v>
      </c>
      <c r="L2732" s="11">
        <f>F2732*Controls!$B$6</f>
        <v>4</v>
      </c>
      <c r="M2732" s="11">
        <f>G2732*Controls!$B$6</f>
        <v>500</v>
      </c>
      <c r="N2732" s="12">
        <f>IF(L2732=0,0,SUMIFS('PSI Plan'!$N$6:$N$173,'PSI Plan'!$B$6:$B$173,B2732,'PSI Plan'!$C$6:$C$173,I2732))</f>
        <v>0</v>
      </c>
      <c r="O2732" s="11">
        <f t="shared" si="84"/>
        <v>0</v>
      </c>
      <c r="P2732" s="11">
        <f t="shared" si="85"/>
        <v>0</v>
      </c>
      <c r="Q2732" s="6"/>
      <c r="R2732" s="6"/>
      <c r="S2732" s="6"/>
      <c r="T2732" s="6"/>
    </row>
    <row r="2733" spans="1:20">
      <c r="A2733" s="6" t="s">
        <v>2901</v>
      </c>
      <c r="B2733" s="6" t="s">
        <v>75</v>
      </c>
      <c r="C2733" s="6" t="s">
        <v>95</v>
      </c>
      <c r="D2733" s="6" t="s">
        <v>567</v>
      </c>
      <c r="E2733" s="6" t="s">
        <v>120</v>
      </c>
      <c r="F2733" s="7">
        <v>12</v>
      </c>
      <c r="G2733" s="7">
        <v>1500</v>
      </c>
      <c r="H2733" s="16">
        <v>45246</v>
      </c>
      <c r="I2733" s="6">
        <v>46</v>
      </c>
      <c r="J2733" s="6" t="s">
        <v>121</v>
      </c>
      <c r="K2733" s="6" t="s">
        <v>1777</v>
      </c>
      <c r="L2733" s="11">
        <f>F2733*Controls!$B$6</f>
        <v>12</v>
      </c>
      <c r="M2733" s="11">
        <f>G2733*Controls!$B$6</f>
        <v>1500</v>
      </c>
      <c r="N2733" s="12">
        <f>IF(L2733=0,0,SUMIFS('PSI Plan'!$N$6:$N$173,'PSI Plan'!$B$6:$B$173,B2733,'PSI Plan'!$C$6:$C$173,I2733))</f>
        <v>0</v>
      </c>
      <c r="O2733" s="11">
        <f t="shared" si="84"/>
        <v>0</v>
      </c>
      <c r="P2733" s="11">
        <f t="shared" si="85"/>
        <v>0</v>
      </c>
      <c r="Q2733" s="6"/>
      <c r="R2733" s="6"/>
      <c r="S2733" s="6"/>
      <c r="T2733" s="6"/>
    </row>
    <row r="2734" spans="1:20">
      <c r="A2734" s="6" t="s">
        <v>2902</v>
      </c>
      <c r="B2734" s="6" t="s">
        <v>70</v>
      </c>
      <c r="C2734" s="6" t="s">
        <v>95</v>
      </c>
      <c r="D2734" s="6" t="s">
        <v>567</v>
      </c>
      <c r="E2734" s="6" t="s">
        <v>120</v>
      </c>
      <c r="F2734" s="7">
        <v>8</v>
      </c>
      <c r="G2734" s="7">
        <v>1000</v>
      </c>
      <c r="H2734" s="16">
        <v>45241</v>
      </c>
      <c r="I2734" s="6">
        <v>45</v>
      </c>
      <c r="J2734" s="6" t="s">
        <v>121</v>
      </c>
      <c r="K2734" s="6" t="s">
        <v>1777</v>
      </c>
      <c r="L2734" s="11">
        <f>F2734*Controls!$B$6</f>
        <v>8</v>
      </c>
      <c r="M2734" s="11">
        <f>G2734*Controls!$B$6</f>
        <v>1000</v>
      </c>
      <c r="N2734" s="12">
        <f>IF(L2734=0,0,SUMIFS('PSI Plan'!$N$6:$N$173,'PSI Plan'!$B$6:$B$173,B2734,'PSI Plan'!$C$6:$C$173,I2734))</f>
        <v>0</v>
      </c>
      <c r="O2734" s="11">
        <f t="shared" si="84"/>
        <v>0</v>
      </c>
      <c r="P2734" s="11">
        <f t="shared" si="85"/>
        <v>0</v>
      </c>
      <c r="Q2734" s="6"/>
      <c r="R2734" s="6"/>
      <c r="S2734" s="6"/>
      <c r="T2734" s="6"/>
    </row>
    <row r="2735" spans="1:20">
      <c r="A2735" s="6" t="s">
        <v>2903</v>
      </c>
      <c r="B2735" s="6" t="s">
        <v>68</v>
      </c>
      <c r="C2735" s="6" t="s">
        <v>95</v>
      </c>
      <c r="D2735" s="6" t="s">
        <v>567</v>
      </c>
      <c r="E2735" s="6" t="s">
        <v>120</v>
      </c>
      <c r="F2735" s="7">
        <v>8</v>
      </c>
      <c r="G2735" s="7">
        <v>1000</v>
      </c>
      <c r="H2735" s="16">
        <v>45223</v>
      </c>
      <c r="I2735" s="6">
        <v>43</v>
      </c>
      <c r="J2735" s="6" t="s">
        <v>121</v>
      </c>
      <c r="K2735" s="6" t="s">
        <v>1777</v>
      </c>
      <c r="L2735" s="11">
        <f>F2735*Controls!$B$6</f>
        <v>8</v>
      </c>
      <c r="M2735" s="11">
        <f>G2735*Controls!$B$6</f>
        <v>1000</v>
      </c>
      <c r="N2735" s="12">
        <f>IF(L2735=0,0,SUMIFS('PSI Plan'!$N$6:$N$173,'PSI Plan'!$B$6:$B$173,B2735,'PSI Plan'!$C$6:$C$173,I2735))</f>
        <v>0</v>
      </c>
      <c r="O2735" s="11">
        <f t="shared" si="84"/>
        <v>0</v>
      </c>
      <c r="P2735" s="11">
        <f t="shared" si="85"/>
        <v>0</v>
      </c>
      <c r="Q2735" s="6"/>
      <c r="R2735" s="6"/>
      <c r="S2735" s="6"/>
      <c r="T2735" s="6"/>
    </row>
    <row r="2736" spans="1:20">
      <c r="A2736" s="6" t="s">
        <v>2904</v>
      </c>
      <c r="B2736" s="6" t="s">
        <v>73</v>
      </c>
      <c r="C2736" s="6" t="s">
        <v>99</v>
      </c>
      <c r="D2736" s="6" t="s">
        <v>319</v>
      </c>
      <c r="E2736" s="6" t="s">
        <v>120</v>
      </c>
      <c r="F2736" s="7">
        <v>7</v>
      </c>
      <c r="G2736" s="7">
        <v>875</v>
      </c>
      <c r="H2736" s="16">
        <v>45217</v>
      </c>
      <c r="I2736" s="6">
        <v>42</v>
      </c>
      <c r="J2736" s="6" t="s">
        <v>121</v>
      </c>
      <c r="K2736" s="6" t="s">
        <v>1576</v>
      </c>
      <c r="L2736" s="11">
        <f>F2736*Controls!$B$6</f>
        <v>7</v>
      </c>
      <c r="M2736" s="11">
        <f>G2736*Controls!$B$6</f>
        <v>875</v>
      </c>
      <c r="N2736" s="12">
        <f>IF(L2736=0,0,SUMIFS('PSI Plan'!$N$6:$N$173,'PSI Plan'!$B$6:$B$173,B2736,'PSI Plan'!$C$6:$C$173,I2736))</f>
        <v>0</v>
      </c>
      <c r="O2736" s="11">
        <f t="shared" si="84"/>
        <v>0</v>
      </c>
      <c r="P2736" s="11">
        <f t="shared" si="85"/>
        <v>0</v>
      </c>
      <c r="Q2736" s="6"/>
      <c r="R2736" s="6"/>
      <c r="S2736" s="6"/>
      <c r="T2736" s="6"/>
    </row>
    <row r="2737" spans="1:20">
      <c r="A2737" s="6" t="s">
        <v>2905</v>
      </c>
      <c r="B2737" s="6" t="s">
        <v>75</v>
      </c>
      <c r="C2737" s="6" t="s">
        <v>99</v>
      </c>
      <c r="D2737" s="6" t="s">
        <v>319</v>
      </c>
      <c r="E2737" s="6" t="s">
        <v>120</v>
      </c>
      <c r="F2737" s="7">
        <v>6</v>
      </c>
      <c r="G2737" s="7">
        <v>750</v>
      </c>
      <c r="H2737" s="16">
        <v>45211</v>
      </c>
      <c r="I2737" s="6">
        <v>41</v>
      </c>
      <c r="J2737" s="6" t="s">
        <v>121</v>
      </c>
      <c r="K2737" s="6" t="s">
        <v>1576</v>
      </c>
      <c r="L2737" s="11">
        <f>F2737*Controls!$B$6</f>
        <v>6</v>
      </c>
      <c r="M2737" s="11">
        <f>G2737*Controls!$B$6</f>
        <v>750</v>
      </c>
      <c r="N2737" s="12">
        <f>IF(L2737=0,0,SUMIFS('PSI Plan'!$N$6:$N$173,'PSI Plan'!$B$6:$B$173,B2737,'PSI Plan'!$C$6:$C$173,I2737))</f>
        <v>0</v>
      </c>
      <c r="O2737" s="11">
        <f t="shared" si="84"/>
        <v>0</v>
      </c>
      <c r="P2737" s="11">
        <f t="shared" si="85"/>
        <v>0</v>
      </c>
      <c r="Q2737" s="6"/>
      <c r="R2737" s="6"/>
      <c r="S2737" s="6"/>
      <c r="T2737" s="6"/>
    </row>
    <row r="2738" spans="1:20">
      <c r="A2738" s="6" t="s">
        <v>2906</v>
      </c>
      <c r="B2738" s="6" t="s">
        <v>70</v>
      </c>
      <c r="C2738" s="6" t="s">
        <v>99</v>
      </c>
      <c r="D2738" s="6" t="s">
        <v>319</v>
      </c>
      <c r="E2738" s="6" t="s">
        <v>120</v>
      </c>
      <c r="F2738" s="7">
        <v>5</v>
      </c>
      <c r="G2738" s="7">
        <v>625</v>
      </c>
      <c r="H2738" s="16">
        <v>45223</v>
      </c>
      <c r="I2738" s="6">
        <v>43</v>
      </c>
      <c r="J2738" s="6" t="s">
        <v>121</v>
      </c>
      <c r="K2738" s="6" t="s">
        <v>1576</v>
      </c>
      <c r="L2738" s="11">
        <f>F2738*Controls!$B$6</f>
        <v>5</v>
      </c>
      <c r="M2738" s="11">
        <f>G2738*Controls!$B$6</f>
        <v>625</v>
      </c>
      <c r="N2738" s="12">
        <f>IF(L2738=0,0,SUMIFS('PSI Plan'!$N$6:$N$173,'PSI Plan'!$B$6:$B$173,B2738,'PSI Plan'!$C$6:$C$173,I2738))</f>
        <v>0</v>
      </c>
      <c r="O2738" s="11">
        <f t="shared" si="84"/>
        <v>0</v>
      </c>
      <c r="P2738" s="11">
        <f t="shared" si="85"/>
        <v>0</v>
      </c>
      <c r="Q2738" s="6"/>
      <c r="R2738" s="6"/>
      <c r="S2738" s="6"/>
      <c r="T2738" s="6"/>
    </row>
    <row r="2739" spans="1:20">
      <c r="A2739" s="6" t="s">
        <v>2907</v>
      </c>
      <c r="B2739" s="6" t="s">
        <v>68</v>
      </c>
      <c r="C2739" s="6" t="s">
        <v>99</v>
      </c>
      <c r="D2739" s="6" t="s">
        <v>319</v>
      </c>
      <c r="E2739" s="6" t="s">
        <v>120</v>
      </c>
      <c r="F2739" s="7">
        <v>6</v>
      </c>
      <c r="G2739" s="7">
        <v>750</v>
      </c>
      <c r="H2739" s="16">
        <v>45245</v>
      </c>
      <c r="I2739" s="6">
        <v>46</v>
      </c>
      <c r="J2739" s="6" t="s">
        <v>121</v>
      </c>
      <c r="K2739" s="6" t="s">
        <v>1576</v>
      </c>
      <c r="L2739" s="11">
        <f>F2739*Controls!$B$6</f>
        <v>6</v>
      </c>
      <c r="M2739" s="11">
        <f>G2739*Controls!$B$6</f>
        <v>750</v>
      </c>
      <c r="N2739" s="12">
        <f>IF(L2739=0,0,SUMIFS('PSI Plan'!$N$6:$N$173,'PSI Plan'!$B$6:$B$173,B2739,'PSI Plan'!$C$6:$C$173,I2739))</f>
        <v>0</v>
      </c>
      <c r="O2739" s="11">
        <f t="shared" si="84"/>
        <v>0</v>
      </c>
      <c r="P2739" s="11">
        <f t="shared" si="85"/>
        <v>0</v>
      </c>
      <c r="Q2739" s="6"/>
      <c r="R2739" s="6"/>
      <c r="S2739" s="6"/>
      <c r="T2739" s="6"/>
    </row>
    <row r="2740" spans="1:20">
      <c r="A2740" s="6" t="s">
        <v>2908</v>
      </c>
      <c r="B2740" s="6" t="s">
        <v>73</v>
      </c>
      <c r="C2740" s="6" t="s">
        <v>96</v>
      </c>
      <c r="D2740" s="6" t="s">
        <v>567</v>
      </c>
      <c r="E2740" s="6" t="s">
        <v>120</v>
      </c>
      <c r="F2740" s="7">
        <v>2</v>
      </c>
      <c r="G2740" s="7">
        <v>250</v>
      </c>
      <c r="H2740" s="16">
        <v>45236</v>
      </c>
      <c r="I2740" s="6">
        <v>45</v>
      </c>
      <c r="J2740" s="6" t="s">
        <v>121</v>
      </c>
      <c r="K2740" s="6" t="s">
        <v>568</v>
      </c>
      <c r="L2740" s="11">
        <f>F2740*Controls!$B$6</f>
        <v>2</v>
      </c>
      <c r="M2740" s="11">
        <f>G2740*Controls!$B$6</f>
        <v>250</v>
      </c>
      <c r="N2740" s="12">
        <f>IF(L2740=0,0,SUMIFS('PSI Plan'!$N$6:$N$173,'PSI Plan'!$B$6:$B$173,B2740,'PSI Plan'!$C$6:$C$173,I2740))</f>
        <v>0</v>
      </c>
      <c r="O2740" s="11">
        <f t="shared" si="84"/>
        <v>0</v>
      </c>
      <c r="P2740" s="11">
        <f t="shared" si="85"/>
        <v>0</v>
      </c>
      <c r="Q2740" s="6"/>
      <c r="R2740" s="6"/>
      <c r="S2740" s="6"/>
      <c r="T2740" s="6"/>
    </row>
    <row r="2741" spans="1:20">
      <c r="A2741" s="6" t="s">
        <v>2909</v>
      </c>
      <c r="B2741" s="6" t="s">
        <v>75</v>
      </c>
      <c r="C2741" s="6" t="s">
        <v>96</v>
      </c>
      <c r="D2741" s="6" t="s">
        <v>567</v>
      </c>
      <c r="E2741" s="6" t="s">
        <v>120</v>
      </c>
      <c r="F2741" s="7">
        <v>3</v>
      </c>
      <c r="G2741" s="7">
        <v>375</v>
      </c>
      <c r="H2741" s="16">
        <v>45246</v>
      </c>
      <c r="I2741" s="6">
        <v>46</v>
      </c>
      <c r="J2741" s="6" t="s">
        <v>121</v>
      </c>
      <c r="K2741" s="6" t="s">
        <v>568</v>
      </c>
      <c r="L2741" s="11">
        <f>F2741*Controls!$B$6</f>
        <v>3</v>
      </c>
      <c r="M2741" s="11">
        <f>G2741*Controls!$B$6</f>
        <v>375</v>
      </c>
      <c r="N2741" s="12">
        <f>IF(L2741=0,0,SUMIFS('PSI Plan'!$N$6:$N$173,'PSI Plan'!$B$6:$B$173,B2741,'PSI Plan'!$C$6:$C$173,I2741))</f>
        <v>0</v>
      </c>
      <c r="O2741" s="11">
        <f t="shared" si="84"/>
        <v>0</v>
      </c>
      <c r="P2741" s="11">
        <f t="shared" si="85"/>
        <v>0</v>
      </c>
      <c r="Q2741" s="6"/>
      <c r="R2741" s="6"/>
      <c r="S2741" s="6"/>
      <c r="T2741" s="6"/>
    </row>
    <row r="2742" spans="1:20">
      <c r="A2742" s="6" t="s">
        <v>2910</v>
      </c>
      <c r="B2742" s="6" t="s">
        <v>70</v>
      </c>
      <c r="C2742" s="6" t="s">
        <v>96</v>
      </c>
      <c r="D2742" s="6" t="s">
        <v>567</v>
      </c>
      <c r="E2742" s="6" t="s">
        <v>120</v>
      </c>
      <c r="F2742" s="7">
        <v>2</v>
      </c>
      <c r="G2742" s="7">
        <v>250</v>
      </c>
      <c r="H2742" s="16">
        <v>45264</v>
      </c>
      <c r="I2742" s="6">
        <v>49</v>
      </c>
      <c r="J2742" s="6" t="s">
        <v>121</v>
      </c>
      <c r="K2742" s="6" t="s">
        <v>568</v>
      </c>
      <c r="L2742" s="11">
        <f>F2742*Controls!$B$6</f>
        <v>2</v>
      </c>
      <c r="M2742" s="11">
        <f>G2742*Controls!$B$6</f>
        <v>250</v>
      </c>
      <c r="N2742" s="12">
        <f>IF(L2742=0,0,SUMIFS('PSI Plan'!$N$6:$N$173,'PSI Plan'!$B$6:$B$173,B2742,'PSI Plan'!$C$6:$C$173,I2742))</f>
        <v>0</v>
      </c>
      <c r="O2742" s="11">
        <f t="shared" si="84"/>
        <v>0</v>
      </c>
      <c r="P2742" s="11">
        <f t="shared" si="85"/>
        <v>0</v>
      </c>
      <c r="Q2742" s="6"/>
      <c r="R2742" s="6"/>
      <c r="S2742" s="6"/>
      <c r="T2742" s="6"/>
    </row>
    <row r="2743" spans="1:20">
      <c r="A2743" s="6" t="s">
        <v>2911</v>
      </c>
      <c r="B2743" s="6" t="s">
        <v>74</v>
      </c>
      <c r="C2743" s="6" t="s">
        <v>96</v>
      </c>
      <c r="D2743" s="6" t="s">
        <v>567</v>
      </c>
      <c r="E2743" s="6" t="s">
        <v>120</v>
      </c>
      <c r="F2743" s="7">
        <v>2</v>
      </c>
      <c r="G2743" s="7">
        <v>250</v>
      </c>
      <c r="H2743" s="16">
        <v>45225</v>
      </c>
      <c r="I2743" s="6">
        <v>43</v>
      </c>
      <c r="J2743" s="6" t="s">
        <v>121</v>
      </c>
      <c r="K2743" s="6" t="s">
        <v>568</v>
      </c>
      <c r="L2743" s="11">
        <f>F2743*Controls!$B$6</f>
        <v>2</v>
      </c>
      <c r="M2743" s="11">
        <f>G2743*Controls!$B$6</f>
        <v>250</v>
      </c>
      <c r="N2743" s="12">
        <f>IF(L2743=0,0,SUMIFS('PSI Plan'!$N$6:$N$173,'PSI Plan'!$B$6:$B$173,B2743,'PSI Plan'!$C$6:$C$173,I2743))</f>
        <v>0</v>
      </c>
      <c r="O2743" s="11">
        <f t="shared" si="84"/>
        <v>0</v>
      </c>
      <c r="P2743" s="11">
        <f t="shared" si="85"/>
        <v>0</v>
      </c>
      <c r="Q2743" s="6"/>
      <c r="R2743" s="6"/>
      <c r="S2743" s="6"/>
      <c r="T2743" s="6"/>
    </row>
    <row r="2744" spans="1:20">
      <c r="A2744" s="6" t="s">
        <v>2912</v>
      </c>
      <c r="B2744" s="6" t="s">
        <v>68</v>
      </c>
      <c r="C2744" s="6" t="s">
        <v>96</v>
      </c>
      <c r="D2744" s="6" t="s">
        <v>567</v>
      </c>
      <c r="E2744" s="6" t="s">
        <v>120</v>
      </c>
      <c r="F2744" s="7">
        <v>2</v>
      </c>
      <c r="G2744" s="7">
        <v>250</v>
      </c>
      <c r="H2744" s="16">
        <v>45213</v>
      </c>
      <c r="I2744" s="6">
        <v>41</v>
      </c>
      <c r="J2744" s="6" t="s">
        <v>121</v>
      </c>
      <c r="K2744" s="6" t="s">
        <v>568</v>
      </c>
      <c r="L2744" s="11">
        <f>F2744*Controls!$B$6</f>
        <v>2</v>
      </c>
      <c r="M2744" s="11">
        <f>G2744*Controls!$B$6</f>
        <v>250</v>
      </c>
      <c r="N2744" s="12">
        <f>IF(L2744=0,0,SUMIFS('PSI Plan'!$N$6:$N$173,'PSI Plan'!$B$6:$B$173,B2744,'PSI Plan'!$C$6:$C$173,I2744))</f>
        <v>0</v>
      </c>
      <c r="O2744" s="11">
        <f t="shared" si="84"/>
        <v>0</v>
      </c>
      <c r="P2744" s="11">
        <f t="shared" si="85"/>
        <v>0</v>
      </c>
      <c r="Q2744" s="6"/>
      <c r="R2744" s="6"/>
      <c r="S2744" s="6"/>
      <c r="T2744" s="6"/>
    </row>
    <row r="2745" spans="1:20">
      <c r="A2745" s="6" t="s">
        <v>2913</v>
      </c>
      <c r="B2745" s="6" t="s">
        <v>75</v>
      </c>
      <c r="C2745" s="6" t="s">
        <v>90</v>
      </c>
      <c r="D2745" s="6" t="s">
        <v>119</v>
      </c>
      <c r="E2745" s="6" t="s">
        <v>120</v>
      </c>
      <c r="F2745" s="7">
        <v>14</v>
      </c>
      <c r="G2745" s="7">
        <v>1750</v>
      </c>
      <c r="H2745" s="16">
        <v>45276</v>
      </c>
      <c r="I2745" s="6">
        <v>50</v>
      </c>
      <c r="J2745" s="6" t="s">
        <v>121</v>
      </c>
      <c r="K2745" s="6" t="s">
        <v>725</v>
      </c>
      <c r="L2745" s="11">
        <f>F2745*Controls!$B$6</f>
        <v>14</v>
      </c>
      <c r="M2745" s="11">
        <f>G2745*Controls!$B$6</f>
        <v>1750</v>
      </c>
      <c r="N2745" s="12">
        <f>IF(L2745=0,0,SUMIFS('PSI Plan'!$N$6:$N$173,'PSI Plan'!$B$6:$B$173,B2745,'PSI Plan'!$C$6:$C$173,I2745))</f>
        <v>0</v>
      </c>
      <c r="O2745" s="11">
        <f t="shared" si="84"/>
        <v>0</v>
      </c>
      <c r="P2745" s="11">
        <f t="shared" si="85"/>
        <v>0</v>
      </c>
      <c r="Q2745" s="6"/>
      <c r="R2745" s="6"/>
      <c r="S2745" s="6"/>
      <c r="T2745" s="6"/>
    </row>
    <row r="2746" spans="1:20">
      <c r="A2746" s="6" t="s">
        <v>2914</v>
      </c>
      <c r="B2746" s="6" t="s">
        <v>68</v>
      </c>
      <c r="C2746" s="6" t="s">
        <v>90</v>
      </c>
      <c r="D2746" s="6" t="s">
        <v>119</v>
      </c>
      <c r="E2746" s="6" t="s">
        <v>120</v>
      </c>
      <c r="F2746" s="7">
        <v>10</v>
      </c>
      <c r="G2746" s="7">
        <v>1250</v>
      </c>
      <c r="H2746" s="16">
        <v>45270</v>
      </c>
      <c r="I2746" s="6">
        <v>50</v>
      </c>
      <c r="J2746" s="6" t="s">
        <v>121</v>
      </c>
      <c r="K2746" s="6" t="s">
        <v>725</v>
      </c>
      <c r="L2746" s="11">
        <f>F2746*Controls!$B$6</f>
        <v>10</v>
      </c>
      <c r="M2746" s="11">
        <f>G2746*Controls!$B$6</f>
        <v>1250</v>
      </c>
      <c r="N2746" s="12">
        <f>IF(L2746=0,0,SUMIFS('PSI Plan'!$N$6:$N$173,'PSI Plan'!$B$6:$B$173,B2746,'PSI Plan'!$C$6:$C$173,I2746))</f>
        <v>0</v>
      </c>
      <c r="O2746" s="11">
        <f t="shared" si="84"/>
        <v>0</v>
      </c>
      <c r="P2746" s="11">
        <f t="shared" si="85"/>
        <v>0</v>
      </c>
      <c r="Q2746" s="6"/>
      <c r="R2746" s="6"/>
      <c r="S2746" s="6"/>
      <c r="T2746" s="6"/>
    </row>
    <row r="2747" spans="1:20">
      <c r="A2747" s="6" t="s">
        <v>2915</v>
      </c>
      <c r="B2747" s="6" t="s">
        <v>75</v>
      </c>
      <c r="C2747" s="6" t="s">
        <v>90</v>
      </c>
      <c r="D2747" s="6" t="s">
        <v>119</v>
      </c>
      <c r="E2747" s="6" t="s">
        <v>120</v>
      </c>
      <c r="F2747" s="7">
        <v>38</v>
      </c>
      <c r="G2747" s="7">
        <v>4750</v>
      </c>
      <c r="H2747" s="16">
        <v>45246</v>
      </c>
      <c r="I2747" s="6">
        <v>46</v>
      </c>
      <c r="J2747" s="6" t="s">
        <v>121</v>
      </c>
      <c r="K2747" s="6" t="s">
        <v>122</v>
      </c>
      <c r="L2747" s="11">
        <f>F2747*Controls!$B$6</f>
        <v>38</v>
      </c>
      <c r="M2747" s="11">
        <f>G2747*Controls!$B$6</f>
        <v>4750</v>
      </c>
      <c r="N2747" s="12">
        <f>IF(L2747=0,0,SUMIFS('PSI Plan'!$N$6:$N$173,'PSI Plan'!$B$6:$B$173,B2747,'PSI Plan'!$C$6:$C$173,I2747))</f>
        <v>0</v>
      </c>
      <c r="O2747" s="11">
        <f t="shared" si="84"/>
        <v>0</v>
      </c>
      <c r="P2747" s="11">
        <f t="shared" si="85"/>
        <v>0</v>
      </c>
      <c r="Q2747" s="6"/>
      <c r="R2747" s="6"/>
      <c r="S2747" s="6"/>
      <c r="T2747" s="6"/>
    </row>
    <row r="2748" spans="1:20">
      <c r="A2748" s="6" t="s">
        <v>2916</v>
      </c>
      <c r="B2748" s="6" t="s">
        <v>70</v>
      </c>
      <c r="C2748" s="6" t="s">
        <v>90</v>
      </c>
      <c r="D2748" s="6" t="s">
        <v>119</v>
      </c>
      <c r="E2748" s="6" t="s">
        <v>120</v>
      </c>
      <c r="F2748" s="7">
        <v>20</v>
      </c>
      <c r="G2748" s="7">
        <v>2500</v>
      </c>
      <c r="H2748" s="16">
        <v>45238</v>
      </c>
      <c r="I2748" s="6">
        <v>45</v>
      </c>
      <c r="J2748" s="6" t="s">
        <v>121</v>
      </c>
      <c r="K2748" s="6" t="s">
        <v>122</v>
      </c>
      <c r="L2748" s="11">
        <f>F2748*Controls!$B$6</f>
        <v>20</v>
      </c>
      <c r="M2748" s="11">
        <f>G2748*Controls!$B$6</f>
        <v>2500</v>
      </c>
      <c r="N2748" s="12">
        <f>IF(L2748=0,0,SUMIFS('PSI Plan'!$N$6:$N$173,'PSI Plan'!$B$6:$B$173,B2748,'PSI Plan'!$C$6:$C$173,I2748))</f>
        <v>0</v>
      </c>
      <c r="O2748" s="11">
        <f t="shared" si="84"/>
        <v>0</v>
      </c>
      <c r="P2748" s="11">
        <f t="shared" si="85"/>
        <v>0</v>
      </c>
      <c r="Q2748" s="6"/>
      <c r="R2748" s="6"/>
      <c r="S2748" s="6"/>
      <c r="T2748" s="6"/>
    </row>
    <row r="2749" spans="1:20">
      <c r="A2749" s="6" t="s">
        <v>2917</v>
      </c>
      <c r="B2749" s="6" t="s">
        <v>68</v>
      </c>
      <c r="C2749" s="6" t="s">
        <v>90</v>
      </c>
      <c r="D2749" s="6" t="s">
        <v>119</v>
      </c>
      <c r="E2749" s="6" t="s">
        <v>120</v>
      </c>
      <c r="F2749" s="7">
        <v>35</v>
      </c>
      <c r="G2749" s="7">
        <v>4375</v>
      </c>
      <c r="H2749" s="16">
        <v>45223</v>
      </c>
      <c r="I2749" s="6">
        <v>43</v>
      </c>
      <c r="J2749" s="6" t="s">
        <v>121</v>
      </c>
      <c r="K2749" s="6" t="s">
        <v>122</v>
      </c>
      <c r="L2749" s="11">
        <f>F2749*Controls!$B$6</f>
        <v>35</v>
      </c>
      <c r="M2749" s="11">
        <f>G2749*Controls!$B$6</f>
        <v>4375</v>
      </c>
      <c r="N2749" s="12">
        <f>IF(L2749=0,0,SUMIFS('PSI Plan'!$N$6:$N$173,'PSI Plan'!$B$6:$B$173,B2749,'PSI Plan'!$C$6:$C$173,I2749))</f>
        <v>0</v>
      </c>
      <c r="O2749" s="11">
        <f t="shared" si="84"/>
        <v>0</v>
      </c>
      <c r="P2749" s="11">
        <f t="shared" si="85"/>
        <v>0</v>
      </c>
      <c r="Q2749" s="6"/>
      <c r="R2749" s="6"/>
      <c r="S2749" s="6"/>
      <c r="T2749" s="6"/>
    </row>
    <row r="2750" spans="1:20">
      <c r="A2750" s="6" t="s">
        <v>2918</v>
      </c>
      <c r="B2750" s="6" t="s">
        <v>73</v>
      </c>
      <c r="C2750" s="6" t="s">
        <v>99</v>
      </c>
      <c r="D2750" s="6" t="s">
        <v>319</v>
      </c>
      <c r="E2750" s="6" t="s">
        <v>120</v>
      </c>
      <c r="F2750" s="7">
        <v>7</v>
      </c>
      <c r="G2750" s="7">
        <v>875</v>
      </c>
      <c r="H2750" s="16">
        <v>45261</v>
      </c>
      <c r="I2750" s="6">
        <v>48</v>
      </c>
      <c r="J2750" s="6" t="s">
        <v>121</v>
      </c>
      <c r="K2750" s="6" t="s">
        <v>347</v>
      </c>
      <c r="L2750" s="11">
        <f>F2750*Controls!$B$6</f>
        <v>7</v>
      </c>
      <c r="M2750" s="11">
        <f>G2750*Controls!$B$6</f>
        <v>875</v>
      </c>
      <c r="N2750" s="12">
        <f>IF(L2750=0,0,SUMIFS('PSI Plan'!$N$6:$N$173,'PSI Plan'!$B$6:$B$173,B2750,'PSI Plan'!$C$6:$C$173,I2750))</f>
        <v>0</v>
      </c>
      <c r="O2750" s="11">
        <f t="shared" si="84"/>
        <v>0</v>
      </c>
      <c r="P2750" s="11">
        <f t="shared" si="85"/>
        <v>0</v>
      </c>
      <c r="Q2750" s="6"/>
      <c r="R2750" s="6"/>
      <c r="S2750" s="6"/>
      <c r="T2750" s="6"/>
    </row>
    <row r="2751" spans="1:20">
      <c r="A2751" s="6" t="s">
        <v>2919</v>
      </c>
      <c r="B2751" s="6" t="s">
        <v>75</v>
      </c>
      <c r="C2751" s="6" t="s">
        <v>99</v>
      </c>
      <c r="D2751" s="6" t="s">
        <v>319</v>
      </c>
      <c r="E2751" s="6" t="s">
        <v>120</v>
      </c>
      <c r="F2751" s="7">
        <v>15</v>
      </c>
      <c r="G2751" s="7">
        <v>1875</v>
      </c>
      <c r="H2751" s="16">
        <v>45236</v>
      </c>
      <c r="I2751" s="6">
        <v>45</v>
      </c>
      <c r="J2751" s="6" t="s">
        <v>121</v>
      </c>
      <c r="K2751" s="6" t="s">
        <v>347</v>
      </c>
      <c r="L2751" s="11">
        <f>F2751*Controls!$B$6</f>
        <v>15</v>
      </c>
      <c r="M2751" s="11">
        <f>G2751*Controls!$B$6</f>
        <v>1875</v>
      </c>
      <c r="N2751" s="12">
        <f>IF(L2751=0,0,SUMIFS('PSI Plan'!$N$6:$N$173,'PSI Plan'!$B$6:$B$173,B2751,'PSI Plan'!$C$6:$C$173,I2751))</f>
        <v>0</v>
      </c>
      <c r="O2751" s="11">
        <f t="shared" si="84"/>
        <v>0</v>
      </c>
      <c r="P2751" s="11">
        <f t="shared" si="85"/>
        <v>0</v>
      </c>
      <c r="Q2751" s="6"/>
      <c r="R2751" s="6"/>
      <c r="S2751" s="6"/>
      <c r="T2751" s="6"/>
    </row>
    <row r="2752" spans="1:20">
      <c r="A2752" s="6" t="s">
        <v>2920</v>
      </c>
      <c r="B2752" s="6" t="s">
        <v>70</v>
      </c>
      <c r="C2752" s="6" t="s">
        <v>99</v>
      </c>
      <c r="D2752" s="6" t="s">
        <v>319</v>
      </c>
      <c r="E2752" s="6" t="s">
        <v>120</v>
      </c>
      <c r="F2752" s="7">
        <v>10</v>
      </c>
      <c r="G2752" s="7">
        <v>1250</v>
      </c>
      <c r="H2752" s="16">
        <v>45212</v>
      </c>
      <c r="I2752" s="6">
        <v>41</v>
      </c>
      <c r="J2752" s="6" t="s">
        <v>121</v>
      </c>
      <c r="K2752" s="6" t="s">
        <v>347</v>
      </c>
      <c r="L2752" s="11">
        <f>F2752*Controls!$B$6</f>
        <v>10</v>
      </c>
      <c r="M2752" s="11">
        <f>G2752*Controls!$B$6</f>
        <v>1250</v>
      </c>
      <c r="N2752" s="12">
        <f>IF(L2752=0,0,SUMIFS('PSI Plan'!$N$6:$N$173,'PSI Plan'!$B$6:$B$173,B2752,'PSI Plan'!$C$6:$C$173,I2752))</f>
        <v>0</v>
      </c>
      <c r="O2752" s="11">
        <f t="shared" si="84"/>
        <v>0</v>
      </c>
      <c r="P2752" s="11">
        <f t="shared" si="85"/>
        <v>0</v>
      </c>
      <c r="Q2752" s="6"/>
      <c r="R2752" s="6"/>
      <c r="S2752" s="6"/>
      <c r="T2752" s="6"/>
    </row>
    <row r="2753" spans="1:20">
      <c r="A2753" s="6" t="s">
        <v>2921</v>
      </c>
      <c r="B2753" s="6" t="s">
        <v>68</v>
      </c>
      <c r="C2753" s="6" t="s">
        <v>99</v>
      </c>
      <c r="D2753" s="6" t="s">
        <v>319</v>
      </c>
      <c r="E2753" s="6" t="s">
        <v>120</v>
      </c>
      <c r="F2753" s="7">
        <v>11</v>
      </c>
      <c r="G2753" s="7">
        <v>1375</v>
      </c>
      <c r="H2753" s="16">
        <v>45278</v>
      </c>
      <c r="I2753" s="6">
        <v>51</v>
      </c>
      <c r="J2753" s="6" t="s">
        <v>121</v>
      </c>
      <c r="K2753" s="6" t="s">
        <v>347</v>
      </c>
      <c r="L2753" s="11">
        <f>F2753*Controls!$B$6</f>
        <v>11</v>
      </c>
      <c r="M2753" s="11">
        <f>G2753*Controls!$B$6</f>
        <v>1375</v>
      </c>
      <c r="N2753" s="12">
        <f>IF(L2753=0,0,SUMIFS('PSI Plan'!$N$6:$N$173,'PSI Plan'!$B$6:$B$173,B2753,'PSI Plan'!$C$6:$C$173,I2753))</f>
        <v>0</v>
      </c>
      <c r="O2753" s="11">
        <f t="shared" si="84"/>
        <v>0</v>
      </c>
      <c r="P2753" s="11">
        <f t="shared" si="85"/>
        <v>0</v>
      </c>
      <c r="Q2753" s="6"/>
      <c r="R2753" s="6"/>
      <c r="S2753" s="6"/>
      <c r="T2753" s="6"/>
    </row>
    <row r="2754" spans="1:20">
      <c r="A2754" s="6" t="s">
        <v>2922</v>
      </c>
      <c r="B2754" s="6" t="s">
        <v>73</v>
      </c>
      <c r="C2754" s="6" t="s">
        <v>99</v>
      </c>
      <c r="D2754" s="6" t="s">
        <v>319</v>
      </c>
      <c r="E2754" s="6" t="s">
        <v>120</v>
      </c>
      <c r="F2754" s="7">
        <v>5</v>
      </c>
      <c r="G2754" s="7">
        <v>625</v>
      </c>
      <c r="H2754" s="16">
        <v>45216</v>
      </c>
      <c r="I2754" s="6">
        <v>42</v>
      </c>
      <c r="J2754" s="6" t="s">
        <v>1791</v>
      </c>
      <c r="K2754" s="6" t="s">
        <v>1810</v>
      </c>
      <c r="L2754" s="11">
        <f>F2754*Controls!$B$6</f>
        <v>5</v>
      </c>
      <c r="M2754" s="11">
        <f>G2754*Controls!$B$6</f>
        <v>625</v>
      </c>
      <c r="N2754" s="12">
        <f>IF(L2754=0,0,SUMIFS('PSI Plan'!$N$6:$N$173,'PSI Plan'!$B$6:$B$173,B2754,'PSI Plan'!$C$6:$C$173,I2754))</f>
        <v>0</v>
      </c>
      <c r="O2754" s="11">
        <f t="shared" ref="O2754:O2817" si="86">L2754*N2754</f>
        <v>0</v>
      </c>
      <c r="P2754" s="11">
        <f t="shared" ref="P2754:P2817" si="87">M2754*N2754</f>
        <v>0</v>
      </c>
      <c r="Q2754" s="6"/>
      <c r="R2754" s="6"/>
      <c r="S2754" s="6"/>
      <c r="T2754" s="6"/>
    </row>
    <row r="2755" spans="1:20">
      <c r="A2755" s="6" t="s">
        <v>2923</v>
      </c>
      <c r="B2755" s="6" t="s">
        <v>75</v>
      </c>
      <c r="C2755" s="6" t="s">
        <v>99</v>
      </c>
      <c r="D2755" s="6" t="s">
        <v>319</v>
      </c>
      <c r="E2755" s="6" t="s">
        <v>120</v>
      </c>
      <c r="F2755" s="7">
        <v>5</v>
      </c>
      <c r="G2755" s="7">
        <v>625</v>
      </c>
      <c r="H2755" s="16">
        <v>45288</v>
      </c>
      <c r="I2755" s="6">
        <v>52</v>
      </c>
      <c r="J2755" s="6" t="s">
        <v>1791</v>
      </c>
      <c r="K2755" s="6" t="s">
        <v>1810</v>
      </c>
      <c r="L2755" s="11">
        <f>F2755*Controls!$B$6</f>
        <v>5</v>
      </c>
      <c r="M2755" s="11">
        <f>G2755*Controls!$B$6</f>
        <v>625</v>
      </c>
      <c r="N2755" s="12">
        <f>IF(L2755=0,0,SUMIFS('PSI Plan'!$N$6:$N$173,'PSI Plan'!$B$6:$B$173,B2755,'PSI Plan'!$C$6:$C$173,I2755))</f>
        <v>0</v>
      </c>
      <c r="O2755" s="11">
        <f t="shared" si="86"/>
        <v>0</v>
      </c>
      <c r="P2755" s="11">
        <f t="shared" si="87"/>
        <v>0</v>
      </c>
      <c r="Q2755" s="6"/>
      <c r="R2755" s="6"/>
      <c r="S2755" s="6"/>
      <c r="T2755" s="6"/>
    </row>
    <row r="2756" spans="1:20">
      <c r="A2756" s="6" t="s">
        <v>2924</v>
      </c>
      <c r="B2756" s="6" t="s">
        <v>70</v>
      </c>
      <c r="C2756" s="6" t="s">
        <v>99</v>
      </c>
      <c r="D2756" s="6" t="s">
        <v>319</v>
      </c>
      <c r="E2756" s="6" t="s">
        <v>120</v>
      </c>
      <c r="F2756" s="7">
        <v>5</v>
      </c>
      <c r="G2756" s="7">
        <v>625</v>
      </c>
      <c r="H2756" s="16">
        <v>45222</v>
      </c>
      <c r="I2756" s="6">
        <v>43</v>
      </c>
      <c r="J2756" s="6" t="s">
        <v>1791</v>
      </c>
      <c r="K2756" s="6" t="s">
        <v>1810</v>
      </c>
      <c r="L2756" s="11">
        <f>F2756*Controls!$B$6</f>
        <v>5</v>
      </c>
      <c r="M2756" s="11">
        <f>G2756*Controls!$B$6</f>
        <v>625</v>
      </c>
      <c r="N2756" s="12">
        <f>IF(L2756=0,0,SUMIFS('PSI Plan'!$N$6:$N$173,'PSI Plan'!$B$6:$B$173,B2756,'PSI Plan'!$C$6:$C$173,I2756))</f>
        <v>0</v>
      </c>
      <c r="O2756" s="11">
        <f t="shared" si="86"/>
        <v>0</v>
      </c>
      <c r="P2756" s="11">
        <f t="shared" si="87"/>
        <v>0</v>
      </c>
      <c r="Q2756" s="6"/>
      <c r="R2756" s="6"/>
      <c r="S2756" s="6"/>
      <c r="T2756" s="6"/>
    </row>
    <row r="2757" spans="1:20">
      <c r="A2757" s="6" t="s">
        <v>2925</v>
      </c>
      <c r="B2757" s="6" t="s">
        <v>68</v>
      </c>
      <c r="C2757" s="6" t="s">
        <v>99</v>
      </c>
      <c r="D2757" s="6" t="s">
        <v>319</v>
      </c>
      <c r="E2757" s="6" t="s">
        <v>120</v>
      </c>
      <c r="F2757" s="7">
        <v>5</v>
      </c>
      <c r="G2757" s="7">
        <v>625</v>
      </c>
      <c r="H2757" s="16">
        <v>45213</v>
      </c>
      <c r="I2757" s="6">
        <v>41</v>
      </c>
      <c r="J2757" s="6" t="s">
        <v>1791</v>
      </c>
      <c r="K2757" s="6" t="s">
        <v>1810</v>
      </c>
      <c r="L2757" s="11">
        <f>F2757*Controls!$B$6</f>
        <v>5</v>
      </c>
      <c r="M2757" s="11">
        <f>G2757*Controls!$B$6</f>
        <v>625</v>
      </c>
      <c r="N2757" s="12">
        <f>IF(L2757=0,0,SUMIFS('PSI Plan'!$N$6:$N$173,'PSI Plan'!$B$6:$B$173,B2757,'PSI Plan'!$C$6:$C$173,I2757))</f>
        <v>0</v>
      </c>
      <c r="O2757" s="11">
        <f t="shared" si="86"/>
        <v>0</v>
      </c>
      <c r="P2757" s="11">
        <f t="shared" si="87"/>
        <v>0</v>
      </c>
      <c r="Q2757" s="6"/>
      <c r="R2757" s="6"/>
      <c r="S2757" s="6"/>
      <c r="T2757" s="6"/>
    </row>
    <row r="2758" spans="1:20">
      <c r="A2758" s="6" t="s">
        <v>2926</v>
      </c>
      <c r="B2758" s="6" t="s">
        <v>73</v>
      </c>
      <c r="C2758" s="6" t="s">
        <v>95</v>
      </c>
      <c r="D2758" s="6" t="s">
        <v>567</v>
      </c>
      <c r="E2758" s="6" t="s">
        <v>120</v>
      </c>
      <c r="F2758" s="7">
        <v>50</v>
      </c>
      <c r="G2758" s="7">
        <v>6250</v>
      </c>
      <c r="H2758" s="16">
        <v>45246</v>
      </c>
      <c r="I2758" s="6">
        <v>46</v>
      </c>
      <c r="J2758" s="6" t="s">
        <v>2151</v>
      </c>
      <c r="K2758" s="6" t="s">
        <v>2526</v>
      </c>
      <c r="L2758" s="11">
        <f>F2758*Controls!$B$6</f>
        <v>50</v>
      </c>
      <c r="M2758" s="11">
        <f>G2758*Controls!$B$6</f>
        <v>6250</v>
      </c>
      <c r="N2758" s="12">
        <f>IF(L2758=0,0,SUMIFS('PSI Plan'!$N$6:$N$173,'PSI Plan'!$B$6:$B$173,B2758,'PSI Plan'!$C$6:$C$173,I2758))</f>
        <v>0</v>
      </c>
      <c r="O2758" s="11">
        <f t="shared" si="86"/>
        <v>0</v>
      </c>
      <c r="P2758" s="11">
        <f t="shared" si="87"/>
        <v>0</v>
      </c>
      <c r="Q2758" s="6"/>
      <c r="R2758" s="6"/>
      <c r="S2758" s="6"/>
      <c r="T2758" s="6"/>
    </row>
    <row r="2759" spans="1:20">
      <c r="A2759" s="6" t="s">
        <v>2927</v>
      </c>
      <c r="B2759" s="6" t="s">
        <v>75</v>
      </c>
      <c r="C2759" s="6" t="s">
        <v>95</v>
      </c>
      <c r="D2759" s="6" t="s">
        <v>567</v>
      </c>
      <c r="E2759" s="6" t="s">
        <v>120</v>
      </c>
      <c r="F2759" s="7">
        <v>65</v>
      </c>
      <c r="G2759" s="7">
        <v>8125</v>
      </c>
      <c r="H2759" s="16">
        <v>45237</v>
      </c>
      <c r="I2759" s="6">
        <v>45</v>
      </c>
      <c r="J2759" s="6" t="s">
        <v>2151</v>
      </c>
      <c r="K2759" s="6" t="s">
        <v>2526</v>
      </c>
      <c r="L2759" s="11">
        <f>F2759*Controls!$B$6</f>
        <v>65</v>
      </c>
      <c r="M2759" s="11">
        <f>G2759*Controls!$B$6</f>
        <v>8125</v>
      </c>
      <c r="N2759" s="12">
        <f>IF(L2759=0,0,SUMIFS('PSI Plan'!$N$6:$N$173,'PSI Plan'!$B$6:$B$173,B2759,'PSI Plan'!$C$6:$C$173,I2759))</f>
        <v>0</v>
      </c>
      <c r="O2759" s="11">
        <f t="shared" si="86"/>
        <v>0</v>
      </c>
      <c r="P2759" s="11">
        <f t="shared" si="87"/>
        <v>0</v>
      </c>
      <c r="Q2759" s="6"/>
      <c r="R2759" s="6"/>
      <c r="S2759" s="6"/>
      <c r="T2759" s="6"/>
    </row>
    <row r="2760" spans="1:20">
      <c r="A2760" s="6" t="s">
        <v>2928</v>
      </c>
      <c r="B2760" s="6" t="s">
        <v>70</v>
      </c>
      <c r="C2760" s="6" t="s">
        <v>95</v>
      </c>
      <c r="D2760" s="6" t="s">
        <v>567</v>
      </c>
      <c r="E2760" s="6" t="s">
        <v>120</v>
      </c>
      <c r="F2760" s="7">
        <v>40</v>
      </c>
      <c r="G2760" s="7">
        <v>5000</v>
      </c>
      <c r="H2760" s="16">
        <v>45256</v>
      </c>
      <c r="I2760" s="6">
        <v>48</v>
      </c>
      <c r="J2760" s="6" t="s">
        <v>2151</v>
      </c>
      <c r="K2760" s="6" t="s">
        <v>2526</v>
      </c>
      <c r="L2760" s="11">
        <f>F2760*Controls!$B$6</f>
        <v>40</v>
      </c>
      <c r="M2760" s="11">
        <f>G2760*Controls!$B$6</f>
        <v>5000</v>
      </c>
      <c r="N2760" s="12">
        <f>IF(L2760=0,0,SUMIFS('PSI Plan'!$N$6:$N$173,'PSI Plan'!$B$6:$B$173,B2760,'PSI Plan'!$C$6:$C$173,I2760))</f>
        <v>0</v>
      </c>
      <c r="O2760" s="11">
        <f t="shared" si="86"/>
        <v>0</v>
      </c>
      <c r="P2760" s="11">
        <f t="shared" si="87"/>
        <v>0</v>
      </c>
      <c r="Q2760" s="6"/>
      <c r="R2760" s="6"/>
      <c r="S2760" s="6"/>
      <c r="T2760" s="6"/>
    </row>
    <row r="2761" spans="1:20">
      <c r="A2761" s="6" t="s">
        <v>2929</v>
      </c>
      <c r="B2761" s="6" t="s">
        <v>68</v>
      </c>
      <c r="C2761" s="6" t="s">
        <v>95</v>
      </c>
      <c r="D2761" s="6" t="s">
        <v>567</v>
      </c>
      <c r="E2761" s="6" t="s">
        <v>120</v>
      </c>
      <c r="F2761" s="7">
        <v>60</v>
      </c>
      <c r="G2761" s="7">
        <v>7500</v>
      </c>
      <c r="H2761" s="16">
        <v>45247</v>
      </c>
      <c r="I2761" s="6">
        <v>46</v>
      </c>
      <c r="J2761" s="6" t="s">
        <v>2151</v>
      </c>
      <c r="K2761" s="6" t="s">
        <v>2526</v>
      </c>
      <c r="L2761" s="11">
        <f>F2761*Controls!$B$6</f>
        <v>60</v>
      </c>
      <c r="M2761" s="11">
        <f>G2761*Controls!$B$6</f>
        <v>7500</v>
      </c>
      <c r="N2761" s="12">
        <f>IF(L2761=0,0,SUMIFS('PSI Plan'!$N$6:$N$173,'PSI Plan'!$B$6:$B$173,B2761,'PSI Plan'!$C$6:$C$173,I2761))</f>
        <v>0</v>
      </c>
      <c r="O2761" s="11">
        <f t="shared" si="86"/>
        <v>0</v>
      </c>
      <c r="P2761" s="11">
        <f t="shared" si="87"/>
        <v>0</v>
      </c>
      <c r="Q2761" s="6"/>
      <c r="R2761" s="6"/>
      <c r="S2761" s="6"/>
      <c r="T2761" s="6"/>
    </row>
    <row r="2762" spans="1:20">
      <c r="A2762" s="6" t="s">
        <v>2930</v>
      </c>
      <c r="B2762" s="6" t="s">
        <v>73</v>
      </c>
      <c r="C2762" s="6" t="s">
        <v>95</v>
      </c>
      <c r="D2762" s="6" t="s">
        <v>567</v>
      </c>
      <c r="E2762" s="6" t="s">
        <v>120</v>
      </c>
      <c r="F2762" s="7">
        <v>20</v>
      </c>
      <c r="G2762" s="7">
        <v>2500</v>
      </c>
      <c r="H2762" s="16">
        <v>45251</v>
      </c>
      <c r="I2762" s="6">
        <v>47</v>
      </c>
      <c r="J2762" s="6" t="s">
        <v>2151</v>
      </c>
      <c r="K2762" s="6" t="s">
        <v>2526</v>
      </c>
      <c r="L2762" s="11">
        <f>F2762*Controls!$B$6</f>
        <v>20</v>
      </c>
      <c r="M2762" s="11">
        <f>G2762*Controls!$B$6</f>
        <v>2500</v>
      </c>
      <c r="N2762" s="12">
        <f>IF(L2762=0,0,SUMIFS('PSI Plan'!$N$6:$N$173,'PSI Plan'!$B$6:$B$173,B2762,'PSI Plan'!$C$6:$C$173,I2762))</f>
        <v>0</v>
      </c>
      <c r="O2762" s="11">
        <f t="shared" si="86"/>
        <v>0</v>
      </c>
      <c r="P2762" s="11">
        <f t="shared" si="87"/>
        <v>0</v>
      </c>
      <c r="Q2762" s="6"/>
      <c r="R2762" s="6"/>
      <c r="S2762" s="6"/>
      <c r="T2762" s="6"/>
    </row>
    <row r="2763" spans="1:20">
      <c r="A2763" s="6" t="s">
        <v>2931</v>
      </c>
      <c r="B2763" s="6" t="s">
        <v>75</v>
      </c>
      <c r="C2763" s="6" t="s">
        <v>95</v>
      </c>
      <c r="D2763" s="6" t="s">
        <v>567</v>
      </c>
      <c r="E2763" s="6" t="s">
        <v>120</v>
      </c>
      <c r="F2763" s="7">
        <v>25</v>
      </c>
      <c r="G2763" s="7">
        <v>3125</v>
      </c>
      <c r="H2763" s="16">
        <v>45275</v>
      </c>
      <c r="I2763" s="6">
        <v>50</v>
      </c>
      <c r="J2763" s="6" t="s">
        <v>2151</v>
      </c>
      <c r="K2763" s="6" t="s">
        <v>2526</v>
      </c>
      <c r="L2763" s="11">
        <f>F2763*Controls!$B$6</f>
        <v>25</v>
      </c>
      <c r="M2763" s="11">
        <f>G2763*Controls!$B$6</f>
        <v>3125</v>
      </c>
      <c r="N2763" s="12">
        <f>IF(L2763=0,0,SUMIFS('PSI Plan'!$N$6:$N$173,'PSI Plan'!$B$6:$B$173,B2763,'PSI Plan'!$C$6:$C$173,I2763))</f>
        <v>0</v>
      </c>
      <c r="O2763" s="11">
        <f t="shared" si="86"/>
        <v>0</v>
      </c>
      <c r="P2763" s="11">
        <f t="shared" si="87"/>
        <v>0</v>
      </c>
      <c r="Q2763" s="6"/>
      <c r="R2763" s="6"/>
      <c r="S2763" s="6"/>
      <c r="T2763" s="6"/>
    </row>
    <row r="2764" spans="1:20">
      <c r="A2764" s="6" t="s">
        <v>2932</v>
      </c>
      <c r="B2764" s="6" t="s">
        <v>70</v>
      </c>
      <c r="C2764" s="6" t="s">
        <v>95</v>
      </c>
      <c r="D2764" s="6" t="s">
        <v>567</v>
      </c>
      <c r="E2764" s="6" t="s">
        <v>120</v>
      </c>
      <c r="F2764" s="7">
        <v>25</v>
      </c>
      <c r="G2764" s="7">
        <v>3125</v>
      </c>
      <c r="H2764" s="16">
        <v>45206</v>
      </c>
      <c r="I2764" s="6">
        <v>40</v>
      </c>
      <c r="J2764" s="6" t="s">
        <v>2151</v>
      </c>
      <c r="K2764" s="6" t="s">
        <v>2526</v>
      </c>
      <c r="L2764" s="11">
        <f>F2764*Controls!$B$6</f>
        <v>25</v>
      </c>
      <c r="M2764" s="11">
        <f>G2764*Controls!$B$6</f>
        <v>3125</v>
      </c>
      <c r="N2764" s="12">
        <f>IF(L2764=0,0,SUMIFS('PSI Plan'!$N$6:$N$173,'PSI Plan'!$B$6:$B$173,B2764,'PSI Plan'!$C$6:$C$173,I2764))</f>
        <v>0</v>
      </c>
      <c r="O2764" s="11">
        <f t="shared" si="86"/>
        <v>0</v>
      </c>
      <c r="P2764" s="11">
        <f t="shared" si="87"/>
        <v>0</v>
      </c>
      <c r="Q2764" s="6"/>
      <c r="R2764" s="6"/>
      <c r="S2764" s="6"/>
      <c r="T2764" s="6"/>
    </row>
    <row r="2765" spans="1:20">
      <c r="A2765" s="6" t="s">
        <v>2933</v>
      </c>
      <c r="B2765" s="6" t="s">
        <v>68</v>
      </c>
      <c r="C2765" s="6" t="s">
        <v>95</v>
      </c>
      <c r="D2765" s="6" t="s">
        <v>567</v>
      </c>
      <c r="E2765" s="6" t="s">
        <v>120</v>
      </c>
      <c r="F2765" s="7">
        <v>20</v>
      </c>
      <c r="G2765" s="7">
        <v>2500</v>
      </c>
      <c r="H2765" s="16">
        <v>45239</v>
      </c>
      <c r="I2765" s="6">
        <v>45</v>
      </c>
      <c r="J2765" s="6" t="s">
        <v>2151</v>
      </c>
      <c r="K2765" s="6" t="s">
        <v>2526</v>
      </c>
      <c r="L2765" s="11">
        <f>F2765*Controls!$B$6</f>
        <v>20</v>
      </c>
      <c r="M2765" s="11">
        <f>G2765*Controls!$B$6</f>
        <v>2500</v>
      </c>
      <c r="N2765" s="12">
        <f>IF(L2765=0,0,SUMIFS('PSI Plan'!$N$6:$N$173,'PSI Plan'!$B$6:$B$173,B2765,'PSI Plan'!$C$6:$C$173,I2765))</f>
        <v>0</v>
      </c>
      <c r="O2765" s="11">
        <f t="shared" si="86"/>
        <v>0</v>
      </c>
      <c r="P2765" s="11">
        <f t="shared" si="87"/>
        <v>0</v>
      </c>
      <c r="Q2765" s="6"/>
      <c r="R2765" s="6"/>
      <c r="S2765" s="6"/>
      <c r="T2765" s="6"/>
    </row>
    <row r="2766" spans="1:20">
      <c r="A2766" s="6" t="s">
        <v>2934</v>
      </c>
      <c r="B2766" s="6" t="s">
        <v>73</v>
      </c>
      <c r="C2766" s="6" t="s">
        <v>97</v>
      </c>
      <c r="D2766" s="6" t="s">
        <v>567</v>
      </c>
      <c r="E2766" s="6" t="s">
        <v>120</v>
      </c>
      <c r="F2766" s="7">
        <v>40</v>
      </c>
      <c r="G2766" s="7">
        <v>5000</v>
      </c>
      <c r="H2766" s="16">
        <v>45217</v>
      </c>
      <c r="I2766" s="6">
        <v>42</v>
      </c>
      <c r="J2766" s="6" t="s">
        <v>1791</v>
      </c>
      <c r="K2766" s="6" t="s">
        <v>1792</v>
      </c>
      <c r="L2766" s="11">
        <f>F2766*Controls!$B$6</f>
        <v>40</v>
      </c>
      <c r="M2766" s="11">
        <f>G2766*Controls!$B$6</f>
        <v>5000</v>
      </c>
      <c r="N2766" s="12">
        <f>IF(L2766=0,0,SUMIFS('PSI Plan'!$N$6:$N$173,'PSI Plan'!$B$6:$B$173,B2766,'PSI Plan'!$C$6:$C$173,I2766))</f>
        <v>0</v>
      </c>
      <c r="O2766" s="11">
        <f t="shared" si="86"/>
        <v>0</v>
      </c>
      <c r="P2766" s="11">
        <f t="shared" si="87"/>
        <v>0</v>
      </c>
      <c r="Q2766" s="6"/>
      <c r="R2766" s="6"/>
      <c r="S2766" s="6"/>
      <c r="T2766" s="6"/>
    </row>
    <row r="2767" spans="1:20">
      <c r="A2767" s="6" t="s">
        <v>2935</v>
      </c>
      <c r="B2767" s="6" t="s">
        <v>75</v>
      </c>
      <c r="C2767" s="6" t="s">
        <v>97</v>
      </c>
      <c r="D2767" s="6" t="s">
        <v>567</v>
      </c>
      <c r="E2767" s="6" t="s">
        <v>120</v>
      </c>
      <c r="F2767" s="7">
        <v>40</v>
      </c>
      <c r="G2767" s="7">
        <v>5000</v>
      </c>
      <c r="H2767" s="16">
        <v>45244</v>
      </c>
      <c r="I2767" s="6">
        <v>46</v>
      </c>
      <c r="J2767" s="6" t="s">
        <v>1791</v>
      </c>
      <c r="K2767" s="6" t="s">
        <v>1792</v>
      </c>
      <c r="L2767" s="11">
        <f>F2767*Controls!$B$6</f>
        <v>40</v>
      </c>
      <c r="M2767" s="11">
        <f>G2767*Controls!$B$6</f>
        <v>5000</v>
      </c>
      <c r="N2767" s="12">
        <f>IF(L2767=0,0,SUMIFS('PSI Plan'!$N$6:$N$173,'PSI Plan'!$B$6:$B$173,B2767,'PSI Plan'!$C$6:$C$173,I2767))</f>
        <v>0</v>
      </c>
      <c r="O2767" s="11">
        <f t="shared" si="86"/>
        <v>0</v>
      </c>
      <c r="P2767" s="11">
        <f t="shared" si="87"/>
        <v>0</v>
      </c>
      <c r="Q2767" s="6"/>
      <c r="R2767" s="6"/>
      <c r="S2767" s="6"/>
      <c r="T2767" s="6"/>
    </row>
    <row r="2768" spans="1:20">
      <c r="A2768" s="6" t="s">
        <v>2936</v>
      </c>
      <c r="B2768" s="6" t="s">
        <v>70</v>
      </c>
      <c r="C2768" s="6" t="s">
        <v>97</v>
      </c>
      <c r="D2768" s="6" t="s">
        <v>567</v>
      </c>
      <c r="E2768" s="6" t="s">
        <v>120</v>
      </c>
      <c r="F2768" s="7">
        <v>40</v>
      </c>
      <c r="G2768" s="7">
        <v>5000</v>
      </c>
      <c r="H2768" s="16">
        <v>45201</v>
      </c>
      <c r="I2768" s="6">
        <v>40</v>
      </c>
      <c r="J2768" s="6" t="s">
        <v>1791</v>
      </c>
      <c r="K2768" s="6" t="s">
        <v>1792</v>
      </c>
      <c r="L2768" s="11">
        <f>F2768*Controls!$B$6</f>
        <v>40</v>
      </c>
      <c r="M2768" s="11">
        <f>G2768*Controls!$B$6</f>
        <v>5000</v>
      </c>
      <c r="N2768" s="12">
        <f>IF(L2768=0,0,SUMIFS('PSI Plan'!$N$6:$N$173,'PSI Plan'!$B$6:$B$173,B2768,'PSI Plan'!$C$6:$C$173,I2768))</f>
        <v>0</v>
      </c>
      <c r="O2768" s="11">
        <f t="shared" si="86"/>
        <v>0</v>
      </c>
      <c r="P2768" s="11">
        <f t="shared" si="87"/>
        <v>0</v>
      </c>
      <c r="Q2768" s="6"/>
      <c r="R2768" s="6"/>
      <c r="S2768" s="6"/>
      <c r="T2768" s="6"/>
    </row>
    <row r="2769" spans="1:20">
      <c r="A2769" s="6" t="s">
        <v>2937</v>
      </c>
      <c r="B2769" s="6" t="s">
        <v>74</v>
      </c>
      <c r="C2769" s="6" t="s">
        <v>97</v>
      </c>
      <c r="D2769" s="6" t="s">
        <v>567</v>
      </c>
      <c r="E2769" s="6" t="s">
        <v>120</v>
      </c>
      <c r="F2769" s="7">
        <v>48</v>
      </c>
      <c r="G2769" s="7">
        <v>6000</v>
      </c>
      <c r="H2769" s="16">
        <v>45278</v>
      </c>
      <c r="I2769" s="6">
        <v>51</v>
      </c>
      <c r="J2769" s="6" t="s">
        <v>1791</v>
      </c>
      <c r="K2769" s="6" t="s">
        <v>1792</v>
      </c>
      <c r="L2769" s="11">
        <f>F2769*Controls!$B$6</f>
        <v>48</v>
      </c>
      <c r="M2769" s="11">
        <f>G2769*Controls!$B$6</f>
        <v>6000</v>
      </c>
      <c r="N2769" s="12">
        <f>IF(L2769=0,0,SUMIFS('PSI Plan'!$N$6:$N$173,'PSI Plan'!$B$6:$B$173,B2769,'PSI Plan'!$C$6:$C$173,I2769))</f>
        <v>0</v>
      </c>
      <c r="O2769" s="11">
        <f t="shared" si="86"/>
        <v>0</v>
      </c>
      <c r="P2769" s="11">
        <f t="shared" si="87"/>
        <v>0</v>
      </c>
      <c r="Q2769" s="6"/>
      <c r="R2769" s="6"/>
      <c r="S2769" s="6"/>
      <c r="T2769" s="6"/>
    </row>
    <row r="2770" spans="1:20">
      <c r="A2770" s="6" t="s">
        <v>2938</v>
      </c>
      <c r="B2770" s="6" t="s">
        <v>68</v>
      </c>
      <c r="C2770" s="6" t="s">
        <v>97</v>
      </c>
      <c r="D2770" s="6" t="s">
        <v>567</v>
      </c>
      <c r="E2770" s="6" t="s">
        <v>120</v>
      </c>
      <c r="F2770" s="7">
        <v>40</v>
      </c>
      <c r="G2770" s="7">
        <v>5000</v>
      </c>
      <c r="H2770" s="16">
        <v>45277</v>
      </c>
      <c r="I2770" s="6">
        <v>51</v>
      </c>
      <c r="J2770" s="6" t="s">
        <v>1791</v>
      </c>
      <c r="K2770" s="6" t="s">
        <v>1792</v>
      </c>
      <c r="L2770" s="11">
        <f>F2770*Controls!$B$6</f>
        <v>40</v>
      </c>
      <c r="M2770" s="11">
        <f>G2770*Controls!$B$6</f>
        <v>5000</v>
      </c>
      <c r="N2770" s="12">
        <f>IF(L2770=0,0,SUMIFS('PSI Plan'!$N$6:$N$173,'PSI Plan'!$B$6:$B$173,B2770,'PSI Plan'!$C$6:$C$173,I2770))</f>
        <v>0</v>
      </c>
      <c r="O2770" s="11">
        <f t="shared" si="86"/>
        <v>0</v>
      </c>
      <c r="P2770" s="11">
        <f t="shared" si="87"/>
        <v>0</v>
      </c>
      <c r="Q2770" s="6"/>
      <c r="R2770" s="6"/>
      <c r="S2770" s="6"/>
      <c r="T2770" s="6"/>
    </row>
    <row r="2771" spans="1:20">
      <c r="A2771" s="6" t="s">
        <v>2939</v>
      </c>
      <c r="B2771" s="6" t="s">
        <v>73</v>
      </c>
      <c r="C2771" s="6" t="s">
        <v>90</v>
      </c>
      <c r="D2771" s="6" t="s">
        <v>119</v>
      </c>
      <c r="E2771" s="6" t="s">
        <v>120</v>
      </c>
      <c r="F2771" s="7">
        <v>52</v>
      </c>
      <c r="G2771" s="7">
        <v>6500</v>
      </c>
      <c r="H2771" s="16">
        <v>45253</v>
      </c>
      <c r="I2771" s="6">
        <v>47</v>
      </c>
      <c r="J2771" s="6" t="s">
        <v>121</v>
      </c>
      <c r="K2771" s="6" t="s">
        <v>122</v>
      </c>
      <c r="L2771" s="11">
        <f>F2771*Controls!$B$6</f>
        <v>52</v>
      </c>
      <c r="M2771" s="11">
        <f>G2771*Controls!$B$6</f>
        <v>6500</v>
      </c>
      <c r="N2771" s="12">
        <f>IF(L2771=0,0,SUMIFS('PSI Plan'!$N$6:$N$173,'PSI Plan'!$B$6:$B$173,B2771,'PSI Plan'!$C$6:$C$173,I2771))</f>
        <v>0</v>
      </c>
      <c r="O2771" s="11">
        <f t="shared" si="86"/>
        <v>0</v>
      </c>
      <c r="P2771" s="11">
        <f t="shared" si="87"/>
        <v>0</v>
      </c>
      <c r="Q2771" s="6"/>
      <c r="R2771" s="6"/>
      <c r="S2771" s="6"/>
      <c r="T2771" s="6"/>
    </row>
    <row r="2772" spans="1:20">
      <c r="A2772" s="6" t="s">
        <v>2940</v>
      </c>
      <c r="B2772" s="6" t="s">
        <v>75</v>
      </c>
      <c r="C2772" s="6" t="s">
        <v>90</v>
      </c>
      <c r="D2772" s="6" t="s">
        <v>119</v>
      </c>
      <c r="E2772" s="6" t="s">
        <v>120</v>
      </c>
      <c r="F2772" s="7">
        <v>52</v>
      </c>
      <c r="G2772" s="7">
        <v>6500</v>
      </c>
      <c r="H2772" s="16">
        <v>45245</v>
      </c>
      <c r="I2772" s="6">
        <v>46</v>
      </c>
      <c r="J2772" s="6" t="s">
        <v>121</v>
      </c>
      <c r="K2772" s="6" t="s">
        <v>122</v>
      </c>
      <c r="L2772" s="11">
        <f>F2772*Controls!$B$6</f>
        <v>52</v>
      </c>
      <c r="M2772" s="11">
        <f>G2772*Controls!$B$6</f>
        <v>6500</v>
      </c>
      <c r="N2772" s="12">
        <f>IF(L2772=0,0,SUMIFS('PSI Plan'!$N$6:$N$173,'PSI Plan'!$B$6:$B$173,B2772,'PSI Plan'!$C$6:$C$173,I2772))</f>
        <v>0</v>
      </c>
      <c r="O2772" s="11">
        <f t="shared" si="86"/>
        <v>0</v>
      </c>
      <c r="P2772" s="11">
        <f t="shared" si="87"/>
        <v>0</v>
      </c>
      <c r="Q2772" s="6"/>
      <c r="R2772" s="6"/>
      <c r="S2772" s="6"/>
      <c r="T2772" s="6"/>
    </row>
    <row r="2773" spans="1:20">
      <c r="A2773" s="6" t="s">
        <v>2941</v>
      </c>
      <c r="B2773" s="6" t="s">
        <v>70</v>
      </c>
      <c r="C2773" s="6" t="s">
        <v>90</v>
      </c>
      <c r="D2773" s="6" t="s">
        <v>119</v>
      </c>
      <c r="E2773" s="6" t="s">
        <v>120</v>
      </c>
      <c r="F2773" s="7">
        <v>10</v>
      </c>
      <c r="G2773" s="7">
        <v>1250</v>
      </c>
      <c r="H2773" s="16">
        <v>45205</v>
      </c>
      <c r="I2773" s="6">
        <v>40</v>
      </c>
      <c r="J2773" s="6" t="s">
        <v>121</v>
      </c>
      <c r="K2773" s="6" t="s">
        <v>122</v>
      </c>
      <c r="L2773" s="11">
        <f>F2773*Controls!$B$6</f>
        <v>10</v>
      </c>
      <c r="M2773" s="11">
        <f>G2773*Controls!$B$6</f>
        <v>1250</v>
      </c>
      <c r="N2773" s="12">
        <f>IF(L2773=0,0,SUMIFS('PSI Plan'!$N$6:$N$173,'PSI Plan'!$B$6:$B$173,B2773,'PSI Plan'!$C$6:$C$173,I2773))</f>
        <v>0</v>
      </c>
      <c r="O2773" s="11">
        <f t="shared" si="86"/>
        <v>0</v>
      </c>
      <c r="P2773" s="11">
        <f t="shared" si="87"/>
        <v>0</v>
      </c>
      <c r="Q2773" s="6"/>
      <c r="R2773" s="6"/>
      <c r="S2773" s="6"/>
      <c r="T2773" s="6"/>
    </row>
    <row r="2774" spans="1:20">
      <c r="A2774" s="6" t="s">
        <v>2942</v>
      </c>
      <c r="B2774" s="6" t="s">
        <v>68</v>
      </c>
      <c r="C2774" s="6" t="s">
        <v>90</v>
      </c>
      <c r="D2774" s="6" t="s">
        <v>119</v>
      </c>
      <c r="E2774" s="6" t="s">
        <v>120</v>
      </c>
      <c r="F2774" s="7">
        <v>26</v>
      </c>
      <c r="G2774" s="7">
        <v>3250</v>
      </c>
      <c r="H2774" s="16">
        <v>45240</v>
      </c>
      <c r="I2774" s="6">
        <v>45</v>
      </c>
      <c r="J2774" s="6" t="s">
        <v>121</v>
      </c>
      <c r="K2774" s="6" t="s">
        <v>122</v>
      </c>
      <c r="L2774" s="11">
        <f>F2774*Controls!$B$6</f>
        <v>26</v>
      </c>
      <c r="M2774" s="11">
        <f>G2774*Controls!$B$6</f>
        <v>3250</v>
      </c>
      <c r="N2774" s="12">
        <f>IF(L2774=0,0,SUMIFS('PSI Plan'!$N$6:$N$173,'PSI Plan'!$B$6:$B$173,B2774,'PSI Plan'!$C$6:$C$173,I2774))</f>
        <v>0</v>
      </c>
      <c r="O2774" s="11">
        <f t="shared" si="86"/>
        <v>0</v>
      </c>
      <c r="P2774" s="11">
        <f t="shared" si="87"/>
        <v>0</v>
      </c>
      <c r="Q2774" s="6"/>
      <c r="R2774" s="6"/>
      <c r="S2774" s="6"/>
      <c r="T2774" s="6"/>
    </row>
    <row r="2775" spans="1:20">
      <c r="A2775" s="6" t="s">
        <v>2943</v>
      </c>
      <c r="B2775" s="6" t="s">
        <v>73</v>
      </c>
      <c r="C2775" s="6" t="s">
        <v>90</v>
      </c>
      <c r="D2775" s="6" t="s">
        <v>119</v>
      </c>
      <c r="E2775" s="6" t="s">
        <v>120</v>
      </c>
      <c r="F2775" s="7">
        <v>6</v>
      </c>
      <c r="G2775" s="7">
        <v>750</v>
      </c>
      <c r="H2775" s="16">
        <v>45257</v>
      </c>
      <c r="I2775" s="6">
        <v>48</v>
      </c>
      <c r="J2775" s="6" t="s">
        <v>121</v>
      </c>
      <c r="K2775" s="6" t="s">
        <v>298</v>
      </c>
      <c r="L2775" s="11">
        <f>F2775*Controls!$B$6</f>
        <v>6</v>
      </c>
      <c r="M2775" s="11">
        <f>G2775*Controls!$B$6</f>
        <v>750</v>
      </c>
      <c r="N2775" s="12">
        <f>IF(L2775=0,0,SUMIFS('PSI Plan'!$N$6:$N$173,'PSI Plan'!$B$6:$B$173,B2775,'PSI Plan'!$C$6:$C$173,I2775))</f>
        <v>0</v>
      </c>
      <c r="O2775" s="11">
        <f t="shared" si="86"/>
        <v>0</v>
      </c>
      <c r="P2775" s="11">
        <f t="shared" si="87"/>
        <v>0</v>
      </c>
      <c r="Q2775" s="6"/>
      <c r="R2775" s="6"/>
      <c r="S2775" s="6"/>
      <c r="T2775" s="6"/>
    </row>
    <row r="2776" spans="1:20">
      <c r="A2776" s="6" t="s">
        <v>2944</v>
      </c>
      <c r="B2776" s="6" t="s">
        <v>75</v>
      </c>
      <c r="C2776" s="6" t="s">
        <v>90</v>
      </c>
      <c r="D2776" s="6" t="s">
        <v>119</v>
      </c>
      <c r="E2776" s="6" t="s">
        <v>120</v>
      </c>
      <c r="F2776" s="7">
        <v>6</v>
      </c>
      <c r="G2776" s="7">
        <v>750</v>
      </c>
      <c r="H2776" s="16">
        <v>45233</v>
      </c>
      <c r="I2776" s="6">
        <v>44</v>
      </c>
      <c r="J2776" s="6" t="s">
        <v>121</v>
      </c>
      <c r="K2776" s="6" t="s">
        <v>298</v>
      </c>
      <c r="L2776" s="11">
        <f>F2776*Controls!$B$6</f>
        <v>6</v>
      </c>
      <c r="M2776" s="11">
        <f>G2776*Controls!$B$6</f>
        <v>750</v>
      </c>
      <c r="N2776" s="12">
        <f>IF(L2776=0,0,SUMIFS('PSI Plan'!$N$6:$N$173,'PSI Plan'!$B$6:$B$173,B2776,'PSI Plan'!$C$6:$C$173,I2776))</f>
        <v>0</v>
      </c>
      <c r="O2776" s="11">
        <f t="shared" si="86"/>
        <v>0</v>
      </c>
      <c r="P2776" s="11">
        <f t="shared" si="87"/>
        <v>0</v>
      </c>
      <c r="Q2776" s="6"/>
      <c r="R2776" s="6"/>
      <c r="S2776" s="6"/>
      <c r="T2776" s="6"/>
    </row>
    <row r="2777" spans="1:20">
      <c r="A2777" s="6" t="s">
        <v>2945</v>
      </c>
      <c r="B2777" s="6" t="s">
        <v>70</v>
      </c>
      <c r="C2777" s="6" t="s">
        <v>90</v>
      </c>
      <c r="D2777" s="6" t="s">
        <v>119</v>
      </c>
      <c r="E2777" s="6" t="s">
        <v>120</v>
      </c>
      <c r="F2777" s="7">
        <v>6</v>
      </c>
      <c r="G2777" s="7">
        <v>750</v>
      </c>
      <c r="H2777" s="16">
        <v>45212</v>
      </c>
      <c r="I2777" s="6">
        <v>41</v>
      </c>
      <c r="J2777" s="6" t="s">
        <v>121</v>
      </c>
      <c r="K2777" s="6" t="s">
        <v>298</v>
      </c>
      <c r="L2777" s="11">
        <f>F2777*Controls!$B$6</f>
        <v>6</v>
      </c>
      <c r="M2777" s="11">
        <f>G2777*Controls!$B$6</f>
        <v>750</v>
      </c>
      <c r="N2777" s="12">
        <f>IF(L2777=0,0,SUMIFS('PSI Plan'!$N$6:$N$173,'PSI Plan'!$B$6:$B$173,B2777,'PSI Plan'!$C$6:$C$173,I2777))</f>
        <v>0</v>
      </c>
      <c r="O2777" s="11">
        <f t="shared" si="86"/>
        <v>0</v>
      </c>
      <c r="P2777" s="11">
        <f t="shared" si="87"/>
        <v>0</v>
      </c>
      <c r="Q2777" s="6"/>
      <c r="R2777" s="6"/>
      <c r="S2777" s="6"/>
      <c r="T2777" s="6"/>
    </row>
    <row r="2778" spans="1:20">
      <c r="A2778" s="6" t="s">
        <v>2946</v>
      </c>
      <c r="B2778" s="6" t="s">
        <v>68</v>
      </c>
      <c r="C2778" s="6" t="s">
        <v>90</v>
      </c>
      <c r="D2778" s="6" t="s">
        <v>119</v>
      </c>
      <c r="E2778" s="6" t="s">
        <v>120</v>
      </c>
      <c r="F2778" s="7">
        <v>6</v>
      </c>
      <c r="G2778" s="7">
        <v>750</v>
      </c>
      <c r="H2778" s="16">
        <v>45271</v>
      </c>
      <c r="I2778" s="6">
        <v>50</v>
      </c>
      <c r="J2778" s="6" t="s">
        <v>121</v>
      </c>
      <c r="K2778" s="6" t="s">
        <v>298</v>
      </c>
      <c r="L2778" s="11">
        <f>F2778*Controls!$B$6</f>
        <v>6</v>
      </c>
      <c r="M2778" s="11">
        <f>G2778*Controls!$B$6</f>
        <v>750</v>
      </c>
      <c r="N2778" s="12">
        <f>IF(L2778=0,0,SUMIFS('PSI Plan'!$N$6:$N$173,'PSI Plan'!$B$6:$B$173,B2778,'PSI Plan'!$C$6:$C$173,I2778))</f>
        <v>0</v>
      </c>
      <c r="O2778" s="11">
        <f t="shared" si="86"/>
        <v>0</v>
      </c>
      <c r="P2778" s="11">
        <f t="shared" si="87"/>
        <v>0</v>
      </c>
      <c r="Q2778" s="6"/>
      <c r="R2778" s="6"/>
      <c r="S2778" s="6"/>
      <c r="T2778" s="6"/>
    </row>
    <row r="2779" spans="1:20">
      <c r="A2779" s="6" t="s">
        <v>2947</v>
      </c>
      <c r="B2779" s="6" t="s">
        <v>73</v>
      </c>
      <c r="C2779" s="6" t="s">
        <v>95</v>
      </c>
      <c r="D2779" s="6" t="s">
        <v>567</v>
      </c>
      <c r="E2779" s="6" t="s">
        <v>120</v>
      </c>
      <c r="F2779" s="7">
        <v>15</v>
      </c>
      <c r="G2779" s="7">
        <v>1875</v>
      </c>
      <c r="H2779" s="16">
        <v>45213</v>
      </c>
      <c r="I2779" s="6">
        <v>41</v>
      </c>
      <c r="J2779" s="6" t="s">
        <v>2151</v>
      </c>
      <c r="K2779" s="6" t="s">
        <v>2526</v>
      </c>
      <c r="L2779" s="11">
        <f>F2779*Controls!$B$6</f>
        <v>15</v>
      </c>
      <c r="M2779" s="11">
        <f>G2779*Controls!$B$6</f>
        <v>1875</v>
      </c>
      <c r="N2779" s="12">
        <f>IF(L2779=0,0,SUMIFS('PSI Plan'!$N$6:$N$173,'PSI Plan'!$B$6:$B$173,B2779,'PSI Plan'!$C$6:$C$173,I2779))</f>
        <v>0</v>
      </c>
      <c r="O2779" s="11">
        <f t="shared" si="86"/>
        <v>0</v>
      </c>
      <c r="P2779" s="11">
        <f t="shared" si="87"/>
        <v>0</v>
      </c>
      <c r="Q2779" s="6"/>
      <c r="R2779" s="6"/>
      <c r="S2779" s="6"/>
      <c r="T2779" s="6"/>
    </row>
    <row r="2780" spans="1:20">
      <c r="A2780" s="6" t="s">
        <v>2948</v>
      </c>
      <c r="B2780" s="6" t="s">
        <v>75</v>
      </c>
      <c r="C2780" s="6" t="s">
        <v>95</v>
      </c>
      <c r="D2780" s="6" t="s">
        <v>567</v>
      </c>
      <c r="E2780" s="6" t="s">
        <v>120</v>
      </c>
      <c r="F2780" s="7">
        <v>25</v>
      </c>
      <c r="G2780" s="7">
        <v>3125</v>
      </c>
      <c r="H2780" s="16">
        <v>45207</v>
      </c>
      <c r="I2780" s="6">
        <v>41</v>
      </c>
      <c r="J2780" s="6" t="s">
        <v>2151</v>
      </c>
      <c r="K2780" s="6" t="s">
        <v>2526</v>
      </c>
      <c r="L2780" s="11">
        <f>F2780*Controls!$B$6</f>
        <v>25</v>
      </c>
      <c r="M2780" s="11">
        <f>G2780*Controls!$B$6</f>
        <v>3125</v>
      </c>
      <c r="N2780" s="12">
        <f>IF(L2780=0,0,SUMIFS('PSI Plan'!$N$6:$N$173,'PSI Plan'!$B$6:$B$173,B2780,'PSI Plan'!$C$6:$C$173,I2780))</f>
        <v>0</v>
      </c>
      <c r="O2780" s="11">
        <f t="shared" si="86"/>
        <v>0</v>
      </c>
      <c r="P2780" s="11">
        <f t="shared" si="87"/>
        <v>0</v>
      </c>
      <c r="Q2780" s="6"/>
      <c r="R2780" s="6"/>
      <c r="S2780" s="6"/>
      <c r="T2780" s="6"/>
    </row>
    <row r="2781" spans="1:20">
      <c r="A2781" s="6" t="s">
        <v>2949</v>
      </c>
      <c r="B2781" s="6" t="s">
        <v>70</v>
      </c>
      <c r="C2781" s="6" t="s">
        <v>95</v>
      </c>
      <c r="D2781" s="6" t="s">
        <v>567</v>
      </c>
      <c r="E2781" s="6" t="s">
        <v>120</v>
      </c>
      <c r="F2781" s="7">
        <v>15</v>
      </c>
      <c r="G2781" s="7">
        <v>1875</v>
      </c>
      <c r="H2781" s="16">
        <v>45201</v>
      </c>
      <c r="I2781" s="6">
        <v>40</v>
      </c>
      <c r="J2781" s="6" t="s">
        <v>2151</v>
      </c>
      <c r="K2781" s="6" t="s">
        <v>2526</v>
      </c>
      <c r="L2781" s="11">
        <f>F2781*Controls!$B$6</f>
        <v>15</v>
      </c>
      <c r="M2781" s="11">
        <f>G2781*Controls!$B$6</f>
        <v>1875</v>
      </c>
      <c r="N2781" s="12">
        <f>IF(L2781=0,0,SUMIFS('PSI Plan'!$N$6:$N$173,'PSI Plan'!$B$6:$B$173,B2781,'PSI Plan'!$C$6:$C$173,I2781))</f>
        <v>0</v>
      </c>
      <c r="O2781" s="11">
        <f t="shared" si="86"/>
        <v>0</v>
      </c>
      <c r="P2781" s="11">
        <f t="shared" si="87"/>
        <v>0</v>
      </c>
      <c r="Q2781" s="6"/>
      <c r="R2781" s="6"/>
      <c r="S2781" s="6"/>
      <c r="T2781" s="6"/>
    </row>
    <row r="2782" spans="1:20">
      <c r="A2782" s="6" t="s">
        <v>2950</v>
      </c>
      <c r="B2782" s="6" t="s">
        <v>68</v>
      </c>
      <c r="C2782" s="6" t="s">
        <v>95</v>
      </c>
      <c r="D2782" s="6" t="s">
        <v>567</v>
      </c>
      <c r="E2782" s="6" t="s">
        <v>120</v>
      </c>
      <c r="F2782" s="7">
        <v>23</v>
      </c>
      <c r="G2782" s="7">
        <v>2875</v>
      </c>
      <c r="H2782" s="16">
        <v>45274</v>
      </c>
      <c r="I2782" s="6">
        <v>50</v>
      </c>
      <c r="J2782" s="6" t="s">
        <v>2151</v>
      </c>
      <c r="K2782" s="6" t="s">
        <v>2526</v>
      </c>
      <c r="L2782" s="11">
        <f>F2782*Controls!$B$6</f>
        <v>23</v>
      </c>
      <c r="M2782" s="11">
        <f>G2782*Controls!$B$6</f>
        <v>2875</v>
      </c>
      <c r="N2782" s="12">
        <f>IF(L2782=0,0,SUMIFS('PSI Plan'!$N$6:$N$173,'PSI Plan'!$B$6:$B$173,B2782,'PSI Plan'!$C$6:$C$173,I2782))</f>
        <v>0</v>
      </c>
      <c r="O2782" s="11">
        <f t="shared" si="86"/>
        <v>0</v>
      </c>
      <c r="P2782" s="11">
        <f t="shared" si="87"/>
        <v>0</v>
      </c>
      <c r="Q2782" s="6"/>
      <c r="R2782" s="6"/>
      <c r="S2782" s="6"/>
      <c r="T2782" s="6"/>
    </row>
    <row r="2783" spans="1:20">
      <c r="A2783" s="6" t="s">
        <v>2951</v>
      </c>
      <c r="B2783" s="6" t="s">
        <v>73</v>
      </c>
      <c r="C2783" s="6" t="s">
        <v>90</v>
      </c>
      <c r="D2783" s="6" t="s">
        <v>119</v>
      </c>
      <c r="E2783" s="6" t="s">
        <v>120</v>
      </c>
      <c r="F2783" s="7">
        <v>130</v>
      </c>
      <c r="G2783" s="7">
        <v>16250</v>
      </c>
      <c r="H2783" s="16">
        <v>45239</v>
      </c>
      <c r="I2783" s="6">
        <v>45</v>
      </c>
      <c r="J2783" s="6" t="s">
        <v>121</v>
      </c>
      <c r="K2783" s="6" t="s">
        <v>171</v>
      </c>
      <c r="L2783" s="11">
        <f>F2783*Controls!$B$6</f>
        <v>130</v>
      </c>
      <c r="M2783" s="11">
        <f>G2783*Controls!$B$6</f>
        <v>16250</v>
      </c>
      <c r="N2783" s="12">
        <f>IF(L2783=0,0,SUMIFS('PSI Plan'!$N$6:$N$173,'PSI Plan'!$B$6:$B$173,B2783,'PSI Plan'!$C$6:$C$173,I2783))</f>
        <v>0</v>
      </c>
      <c r="O2783" s="11">
        <f t="shared" si="86"/>
        <v>0</v>
      </c>
      <c r="P2783" s="11">
        <f t="shared" si="87"/>
        <v>0</v>
      </c>
      <c r="Q2783" s="6"/>
      <c r="R2783" s="6"/>
      <c r="S2783" s="6"/>
      <c r="T2783" s="6"/>
    </row>
    <row r="2784" spans="1:20">
      <c r="A2784" s="6" t="s">
        <v>2952</v>
      </c>
      <c r="B2784" s="6" t="s">
        <v>73</v>
      </c>
      <c r="C2784" s="6" t="s">
        <v>99</v>
      </c>
      <c r="D2784" s="6" t="s">
        <v>319</v>
      </c>
      <c r="E2784" s="6" t="s">
        <v>120</v>
      </c>
      <c r="F2784" s="7">
        <v>6</v>
      </c>
      <c r="G2784" s="7">
        <v>750</v>
      </c>
      <c r="H2784" s="16">
        <v>45222</v>
      </c>
      <c r="I2784" s="6">
        <v>43</v>
      </c>
      <c r="J2784" s="6" t="s">
        <v>121</v>
      </c>
      <c r="K2784" s="6" t="s">
        <v>347</v>
      </c>
      <c r="L2784" s="11">
        <f>F2784*Controls!$B$6</f>
        <v>6</v>
      </c>
      <c r="M2784" s="11">
        <f>G2784*Controls!$B$6</f>
        <v>750</v>
      </c>
      <c r="N2784" s="12">
        <f>IF(L2784=0,0,SUMIFS('PSI Plan'!$N$6:$N$173,'PSI Plan'!$B$6:$B$173,B2784,'PSI Plan'!$C$6:$C$173,I2784))</f>
        <v>0</v>
      </c>
      <c r="O2784" s="11">
        <f t="shared" si="86"/>
        <v>0</v>
      </c>
      <c r="P2784" s="11">
        <f t="shared" si="87"/>
        <v>0</v>
      </c>
      <c r="Q2784" s="6"/>
      <c r="R2784" s="6"/>
      <c r="S2784" s="6"/>
      <c r="T2784" s="6"/>
    </row>
    <row r="2785" spans="1:20">
      <c r="A2785" s="6" t="s">
        <v>2953</v>
      </c>
      <c r="B2785" s="6" t="s">
        <v>75</v>
      </c>
      <c r="C2785" s="6" t="s">
        <v>99</v>
      </c>
      <c r="D2785" s="6" t="s">
        <v>319</v>
      </c>
      <c r="E2785" s="6" t="s">
        <v>120</v>
      </c>
      <c r="F2785" s="7">
        <v>6</v>
      </c>
      <c r="G2785" s="7">
        <v>750</v>
      </c>
      <c r="H2785" s="16">
        <v>45206</v>
      </c>
      <c r="I2785" s="6">
        <v>40</v>
      </c>
      <c r="J2785" s="6" t="s">
        <v>121</v>
      </c>
      <c r="K2785" s="6" t="s">
        <v>347</v>
      </c>
      <c r="L2785" s="11">
        <f>F2785*Controls!$B$6</f>
        <v>6</v>
      </c>
      <c r="M2785" s="11">
        <f>G2785*Controls!$B$6</f>
        <v>750</v>
      </c>
      <c r="N2785" s="12">
        <f>IF(L2785=0,0,SUMIFS('PSI Plan'!$N$6:$N$173,'PSI Plan'!$B$6:$B$173,B2785,'PSI Plan'!$C$6:$C$173,I2785))</f>
        <v>0</v>
      </c>
      <c r="O2785" s="11">
        <f t="shared" si="86"/>
        <v>0</v>
      </c>
      <c r="P2785" s="11">
        <f t="shared" si="87"/>
        <v>0</v>
      </c>
      <c r="Q2785" s="6"/>
      <c r="R2785" s="6"/>
      <c r="S2785" s="6"/>
      <c r="T2785" s="6"/>
    </row>
    <row r="2786" spans="1:20">
      <c r="A2786" s="6" t="s">
        <v>2954</v>
      </c>
      <c r="B2786" s="6" t="s">
        <v>70</v>
      </c>
      <c r="C2786" s="6" t="s">
        <v>99</v>
      </c>
      <c r="D2786" s="6" t="s">
        <v>319</v>
      </c>
      <c r="E2786" s="6" t="s">
        <v>120</v>
      </c>
      <c r="F2786" s="7">
        <v>6</v>
      </c>
      <c r="G2786" s="7">
        <v>750</v>
      </c>
      <c r="H2786" s="16">
        <v>45268</v>
      </c>
      <c r="I2786" s="6">
        <v>49</v>
      </c>
      <c r="J2786" s="6" t="s">
        <v>121</v>
      </c>
      <c r="K2786" s="6" t="s">
        <v>347</v>
      </c>
      <c r="L2786" s="11">
        <f>F2786*Controls!$B$6</f>
        <v>6</v>
      </c>
      <c r="M2786" s="11">
        <f>G2786*Controls!$B$6</f>
        <v>750</v>
      </c>
      <c r="N2786" s="12">
        <f>IF(L2786=0,0,SUMIFS('PSI Plan'!$N$6:$N$173,'PSI Plan'!$B$6:$B$173,B2786,'PSI Plan'!$C$6:$C$173,I2786))</f>
        <v>0</v>
      </c>
      <c r="O2786" s="11">
        <f t="shared" si="86"/>
        <v>0</v>
      </c>
      <c r="P2786" s="11">
        <f t="shared" si="87"/>
        <v>0</v>
      </c>
      <c r="Q2786" s="6"/>
      <c r="R2786" s="6"/>
      <c r="S2786" s="6"/>
      <c r="T2786" s="6"/>
    </row>
    <row r="2787" spans="1:20">
      <c r="A2787" s="6" t="s">
        <v>2955</v>
      </c>
      <c r="B2787" s="6" t="s">
        <v>68</v>
      </c>
      <c r="C2787" s="6" t="s">
        <v>99</v>
      </c>
      <c r="D2787" s="6" t="s">
        <v>319</v>
      </c>
      <c r="E2787" s="6" t="s">
        <v>120</v>
      </c>
      <c r="F2787" s="7">
        <v>6</v>
      </c>
      <c r="G2787" s="7">
        <v>750</v>
      </c>
      <c r="H2787" s="16">
        <v>45255</v>
      </c>
      <c r="I2787" s="6">
        <v>47</v>
      </c>
      <c r="J2787" s="6" t="s">
        <v>121</v>
      </c>
      <c r="K2787" s="6" t="s">
        <v>347</v>
      </c>
      <c r="L2787" s="11">
        <f>F2787*Controls!$B$6</f>
        <v>6</v>
      </c>
      <c r="M2787" s="11">
        <f>G2787*Controls!$B$6</f>
        <v>750</v>
      </c>
      <c r="N2787" s="12">
        <f>IF(L2787=0,0,SUMIFS('PSI Plan'!$N$6:$N$173,'PSI Plan'!$B$6:$B$173,B2787,'PSI Plan'!$C$6:$C$173,I2787))</f>
        <v>0</v>
      </c>
      <c r="O2787" s="11">
        <f t="shared" si="86"/>
        <v>0</v>
      </c>
      <c r="P2787" s="11">
        <f t="shared" si="87"/>
        <v>0</v>
      </c>
      <c r="Q2787" s="6"/>
      <c r="R2787" s="6"/>
      <c r="S2787" s="6"/>
      <c r="T2787" s="6"/>
    </row>
    <row r="2788" spans="1:20">
      <c r="A2788" s="6" t="s">
        <v>2956</v>
      </c>
      <c r="B2788" s="6" t="s">
        <v>73</v>
      </c>
      <c r="C2788" s="6" t="s">
        <v>99</v>
      </c>
      <c r="D2788" s="6" t="s">
        <v>319</v>
      </c>
      <c r="E2788" s="6" t="s">
        <v>120</v>
      </c>
      <c r="F2788" s="7">
        <v>6</v>
      </c>
      <c r="G2788" s="7">
        <v>750</v>
      </c>
      <c r="H2788" s="16">
        <v>45280</v>
      </c>
      <c r="I2788" s="6">
        <v>51</v>
      </c>
      <c r="J2788" s="6" t="s">
        <v>121</v>
      </c>
      <c r="K2788" s="6" t="s">
        <v>1576</v>
      </c>
      <c r="L2788" s="11">
        <f>F2788*Controls!$B$6</f>
        <v>6</v>
      </c>
      <c r="M2788" s="11">
        <f>G2788*Controls!$B$6</f>
        <v>750</v>
      </c>
      <c r="N2788" s="12">
        <f>IF(L2788=0,0,SUMIFS('PSI Plan'!$N$6:$N$173,'PSI Plan'!$B$6:$B$173,B2788,'PSI Plan'!$C$6:$C$173,I2788))</f>
        <v>0</v>
      </c>
      <c r="O2788" s="11">
        <f t="shared" si="86"/>
        <v>0</v>
      </c>
      <c r="P2788" s="11">
        <f t="shared" si="87"/>
        <v>0</v>
      </c>
      <c r="Q2788" s="6"/>
      <c r="R2788" s="6"/>
      <c r="S2788" s="6"/>
      <c r="T2788" s="6"/>
    </row>
    <row r="2789" spans="1:20">
      <c r="A2789" s="6" t="s">
        <v>2957</v>
      </c>
      <c r="B2789" s="6" t="s">
        <v>75</v>
      </c>
      <c r="C2789" s="6" t="s">
        <v>99</v>
      </c>
      <c r="D2789" s="6" t="s">
        <v>319</v>
      </c>
      <c r="E2789" s="6" t="s">
        <v>120</v>
      </c>
      <c r="F2789" s="7">
        <v>6</v>
      </c>
      <c r="G2789" s="7">
        <v>750</v>
      </c>
      <c r="H2789" s="16">
        <v>45200</v>
      </c>
      <c r="I2789" s="6">
        <v>40</v>
      </c>
      <c r="J2789" s="6" t="s">
        <v>121</v>
      </c>
      <c r="K2789" s="6" t="s">
        <v>1576</v>
      </c>
      <c r="L2789" s="11">
        <f>F2789*Controls!$B$6</f>
        <v>6</v>
      </c>
      <c r="M2789" s="11">
        <f>G2789*Controls!$B$6</f>
        <v>750</v>
      </c>
      <c r="N2789" s="12">
        <f>IF(L2789=0,0,SUMIFS('PSI Plan'!$N$6:$N$173,'PSI Plan'!$B$6:$B$173,B2789,'PSI Plan'!$C$6:$C$173,I2789))</f>
        <v>0</v>
      </c>
      <c r="O2789" s="11">
        <f t="shared" si="86"/>
        <v>0</v>
      </c>
      <c r="P2789" s="11">
        <f t="shared" si="87"/>
        <v>0</v>
      </c>
      <c r="Q2789" s="6"/>
      <c r="R2789" s="6"/>
      <c r="S2789" s="6"/>
      <c r="T2789" s="6"/>
    </row>
    <row r="2790" spans="1:20">
      <c r="A2790" s="6" t="s">
        <v>2958</v>
      </c>
      <c r="B2790" s="6" t="s">
        <v>70</v>
      </c>
      <c r="C2790" s="6" t="s">
        <v>99</v>
      </c>
      <c r="D2790" s="6" t="s">
        <v>319</v>
      </c>
      <c r="E2790" s="6" t="s">
        <v>120</v>
      </c>
      <c r="F2790" s="7">
        <v>6</v>
      </c>
      <c r="G2790" s="7">
        <v>750</v>
      </c>
      <c r="H2790" s="16">
        <v>45244</v>
      </c>
      <c r="I2790" s="6">
        <v>46</v>
      </c>
      <c r="J2790" s="6" t="s">
        <v>121</v>
      </c>
      <c r="K2790" s="6" t="s">
        <v>1576</v>
      </c>
      <c r="L2790" s="11">
        <f>F2790*Controls!$B$6</f>
        <v>6</v>
      </c>
      <c r="M2790" s="11">
        <f>G2790*Controls!$B$6</f>
        <v>750</v>
      </c>
      <c r="N2790" s="12">
        <f>IF(L2790=0,0,SUMIFS('PSI Plan'!$N$6:$N$173,'PSI Plan'!$B$6:$B$173,B2790,'PSI Plan'!$C$6:$C$173,I2790))</f>
        <v>0</v>
      </c>
      <c r="O2790" s="11">
        <f t="shared" si="86"/>
        <v>0</v>
      </c>
      <c r="P2790" s="11">
        <f t="shared" si="87"/>
        <v>0</v>
      </c>
      <c r="Q2790" s="6"/>
      <c r="R2790" s="6"/>
      <c r="S2790" s="6"/>
      <c r="T2790" s="6"/>
    </row>
    <row r="2791" spans="1:20">
      <c r="A2791" s="6" t="s">
        <v>2959</v>
      </c>
      <c r="B2791" s="6" t="s">
        <v>68</v>
      </c>
      <c r="C2791" s="6" t="s">
        <v>99</v>
      </c>
      <c r="D2791" s="6" t="s">
        <v>319</v>
      </c>
      <c r="E2791" s="6" t="s">
        <v>120</v>
      </c>
      <c r="F2791" s="7">
        <v>6</v>
      </c>
      <c r="G2791" s="7">
        <v>750</v>
      </c>
      <c r="H2791" s="16">
        <v>45261</v>
      </c>
      <c r="I2791" s="6">
        <v>48</v>
      </c>
      <c r="J2791" s="6" t="s">
        <v>121</v>
      </c>
      <c r="K2791" s="6" t="s">
        <v>1576</v>
      </c>
      <c r="L2791" s="11">
        <f>F2791*Controls!$B$6</f>
        <v>6</v>
      </c>
      <c r="M2791" s="11">
        <f>G2791*Controls!$B$6</f>
        <v>750</v>
      </c>
      <c r="N2791" s="12">
        <f>IF(L2791=0,0,SUMIFS('PSI Plan'!$N$6:$N$173,'PSI Plan'!$B$6:$B$173,B2791,'PSI Plan'!$C$6:$C$173,I2791))</f>
        <v>0</v>
      </c>
      <c r="O2791" s="11">
        <f t="shared" si="86"/>
        <v>0</v>
      </c>
      <c r="P2791" s="11">
        <f t="shared" si="87"/>
        <v>0</v>
      </c>
      <c r="Q2791" s="6"/>
      <c r="R2791" s="6"/>
      <c r="S2791" s="6"/>
      <c r="T2791" s="6"/>
    </row>
    <row r="2792" spans="1:20">
      <c r="A2792" s="6" t="s">
        <v>2960</v>
      </c>
      <c r="B2792" s="6" t="s">
        <v>73</v>
      </c>
      <c r="C2792" s="6" t="s">
        <v>99</v>
      </c>
      <c r="D2792" s="6" t="s">
        <v>319</v>
      </c>
      <c r="E2792" s="6" t="s">
        <v>120</v>
      </c>
      <c r="F2792" s="7">
        <v>6</v>
      </c>
      <c r="G2792" s="7">
        <v>750</v>
      </c>
      <c r="H2792" s="16">
        <v>45266</v>
      </c>
      <c r="I2792" s="6">
        <v>49</v>
      </c>
      <c r="J2792" s="6" t="s">
        <v>1791</v>
      </c>
      <c r="K2792" s="6" t="s">
        <v>1810</v>
      </c>
      <c r="L2792" s="11">
        <f>F2792*Controls!$B$6</f>
        <v>6</v>
      </c>
      <c r="M2792" s="11">
        <f>G2792*Controls!$B$6</f>
        <v>750</v>
      </c>
      <c r="N2792" s="12">
        <f>IF(L2792=0,0,SUMIFS('PSI Plan'!$N$6:$N$173,'PSI Plan'!$B$6:$B$173,B2792,'PSI Plan'!$C$6:$C$173,I2792))</f>
        <v>0</v>
      </c>
      <c r="O2792" s="11">
        <f t="shared" si="86"/>
        <v>0</v>
      </c>
      <c r="P2792" s="11">
        <f t="shared" si="87"/>
        <v>0</v>
      </c>
      <c r="Q2792" s="6"/>
      <c r="R2792" s="6"/>
      <c r="S2792" s="6"/>
      <c r="T2792" s="6"/>
    </row>
    <row r="2793" spans="1:20">
      <c r="A2793" s="6" t="s">
        <v>2961</v>
      </c>
      <c r="B2793" s="6" t="s">
        <v>75</v>
      </c>
      <c r="C2793" s="6" t="s">
        <v>99</v>
      </c>
      <c r="D2793" s="6" t="s">
        <v>319</v>
      </c>
      <c r="E2793" s="6" t="s">
        <v>120</v>
      </c>
      <c r="F2793" s="7">
        <v>6</v>
      </c>
      <c r="G2793" s="7">
        <v>750</v>
      </c>
      <c r="H2793" s="16">
        <v>45207</v>
      </c>
      <c r="I2793" s="6">
        <v>41</v>
      </c>
      <c r="J2793" s="6" t="s">
        <v>1791</v>
      </c>
      <c r="K2793" s="6" t="s">
        <v>1810</v>
      </c>
      <c r="L2793" s="11">
        <f>F2793*Controls!$B$6</f>
        <v>6</v>
      </c>
      <c r="M2793" s="11">
        <f>G2793*Controls!$B$6</f>
        <v>750</v>
      </c>
      <c r="N2793" s="12">
        <f>IF(L2793=0,0,SUMIFS('PSI Plan'!$N$6:$N$173,'PSI Plan'!$B$6:$B$173,B2793,'PSI Plan'!$C$6:$C$173,I2793))</f>
        <v>0</v>
      </c>
      <c r="O2793" s="11">
        <f t="shared" si="86"/>
        <v>0</v>
      </c>
      <c r="P2793" s="11">
        <f t="shared" si="87"/>
        <v>0</v>
      </c>
      <c r="Q2793" s="6"/>
      <c r="R2793" s="6"/>
      <c r="S2793" s="6"/>
      <c r="T2793" s="6"/>
    </row>
    <row r="2794" spans="1:20">
      <c r="A2794" s="6" t="s">
        <v>2962</v>
      </c>
      <c r="B2794" s="6" t="s">
        <v>70</v>
      </c>
      <c r="C2794" s="6" t="s">
        <v>99</v>
      </c>
      <c r="D2794" s="6" t="s">
        <v>319</v>
      </c>
      <c r="E2794" s="6" t="s">
        <v>120</v>
      </c>
      <c r="F2794" s="7">
        <v>6</v>
      </c>
      <c r="G2794" s="7">
        <v>750</v>
      </c>
      <c r="H2794" s="16">
        <v>45263</v>
      </c>
      <c r="I2794" s="6">
        <v>49</v>
      </c>
      <c r="J2794" s="6" t="s">
        <v>1791</v>
      </c>
      <c r="K2794" s="6" t="s">
        <v>1810</v>
      </c>
      <c r="L2794" s="11">
        <f>F2794*Controls!$B$6</f>
        <v>6</v>
      </c>
      <c r="M2794" s="11">
        <f>G2794*Controls!$B$6</f>
        <v>750</v>
      </c>
      <c r="N2794" s="12">
        <f>IF(L2794=0,0,SUMIFS('PSI Plan'!$N$6:$N$173,'PSI Plan'!$B$6:$B$173,B2794,'PSI Plan'!$C$6:$C$173,I2794))</f>
        <v>0</v>
      </c>
      <c r="O2794" s="11">
        <f t="shared" si="86"/>
        <v>0</v>
      </c>
      <c r="P2794" s="11">
        <f t="shared" si="87"/>
        <v>0</v>
      </c>
      <c r="Q2794" s="6"/>
      <c r="R2794" s="6"/>
      <c r="S2794" s="6"/>
      <c r="T2794" s="6"/>
    </row>
    <row r="2795" spans="1:20">
      <c r="A2795" s="6" t="s">
        <v>2963</v>
      </c>
      <c r="B2795" s="6" t="s">
        <v>68</v>
      </c>
      <c r="C2795" s="6" t="s">
        <v>99</v>
      </c>
      <c r="D2795" s="6" t="s">
        <v>319</v>
      </c>
      <c r="E2795" s="6" t="s">
        <v>120</v>
      </c>
      <c r="F2795" s="7">
        <v>6</v>
      </c>
      <c r="G2795" s="7">
        <v>750</v>
      </c>
      <c r="H2795" s="16">
        <v>45265</v>
      </c>
      <c r="I2795" s="6">
        <v>49</v>
      </c>
      <c r="J2795" s="6" t="s">
        <v>1791</v>
      </c>
      <c r="K2795" s="6" t="s">
        <v>1810</v>
      </c>
      <c r="L2795" s="11">
        <f>F2795*Controls!$B$6</f>
        <v>6</v>
      </c>
      <c r="M2795" s="11">
        <f>G2795*Controls!$B$6</f>
        <v>750</v>
      </c>
      <c r="N2795" s="12">
        <f>IF(L2795=0,0,SUMIFS('PSI Plan'!$N$6:$N$173,'PSI Plan'!$B$6:$B$173,B2795,'PSI Plan'!$C$6:$C$173,I2795))</f>
        <v>0</v>
      </c>
      <c r="O2795" s="11">
        <f t="shared" si="86"/>
        <v>0</v>
      </c>
      <c r="P2795" s="11">
        <f t="shared" si="87"/>
        <v>0</v>
      </c>
      <c r="Q2795" s="6"/>
      <c r="R2795" s="6"/>
      <c r="S2795" s="6"/>
      <c r="T2795" s="6"/>
    </row>
    <row r="2796" spans="1:20">
      <c r="A2796" s="6" t="s">
        <v>2964</v>
      </c>
      <c r="B2796" s="6" t="s">
        <v>73</v>
      </c>
      <c r="C2796" s="6" t="s">
        <v>90</v>
      </c>
      <c r="D2796" s="6" t="s">
        <v>119</v>
      </c>
      <c r="E2796" s="6" t="s">
        <v>120</v>
      </c>
      <c r="F2796" s="7">
        <v>26</v>
      </c>
      <c r="G2796" s="7">
        <v>3250</v>
      </c>
      <c r="H2796" s="16">
        <v>45240</v>
      </c>
      <c r="I2796" s="6">
        <v>45</v>
      </c>
      <c r="J2796" s="6" t="s">
        <v>121</v>
      </c>
      <c r="K2796" s="6" t="s">
        <v>122</v>
      </c>
      <c r="L2796" s="11">
        <f>F2796*Controls!$B$6</f>
        <v>26</v>
      </c>
      <c r="M2796" s="11">
        <f>G2796*Controls!$B$6</f>
        <v>3250</v>
      </c>
      <c r="N2796" s="12">
        <f>IF(L2796=0,0,SUMIFS('PSI Plan'!$N$6:$N$173,'PSI Plan'!$B$6:$B$173,B2796,'PSI Plan'!$C$6:$C$173,I2796))</f>
        <v>0</v>
      </c>
      <c r="O2796" s="11">
        <f t="shared" si="86"/>
        <v>0</v>
      </c>
      <c r="P2796" s="11">
        <f t="shared" si="87"/>
        <v>0</v>
      </c>
      <c r="Q2796" s="6"/>
      <c r="R2796" s="6"/>
      <c r="S2796" s="6"/>
      <c r="T2796" s="6"/>
    </row>
    <row r="2797" spans="1:20">
      <c r="A2797" s="6" t="s">
        <v>2965</v>
      </c>
      <c r="B2797" s="6" t="s">
        <v>75</v>
      </c>
      <c r="C2797" s="6" t="s">
        <v>90</v>
      </c>
      <c r="D2797" s="6" t="s">
        <v>119</v>
      </c>
      <c r="E2797" s="6" t="s">
        <v>120</v>
      </c>
      <c r="F2797" s="7">
        <v>26</v>
      </c>
      <c r="G2797" s="7">
        <v>3250</v>
      </c>
      <c r="H2797" s="16">
        <v>45255</v>
      </c>
      <c r="I2797" s="6">
        <v>47</v>
      </c>
      <c r="J2797" s="6" t="s">
        <v>121</v>
      </c>
      <c r="K2797" s="6" t="s">
        <v>122</v>
      </c>
      <c r="L2797" s="11">
        <f>F2797*Controls!$B$6</f>
        <v>26</v>
      </c>
      <c r="M2797" s="11">
        <f>G2797*Controls!$B$6</f>
        <v>3250</v>
      </c>
      <c r="N2797" s="12">
        <f>IF(L2797=0,0,SUMIFS('PSI Plan'!$N$6:$N$173,'PSI Plan'!$B$6:$B$173,B2797,'PSI Plan'!$C$6:$C$173,I2797))</f>
        <v>0</v>
      </c>
      <c r="O2797" s="11">
        <f t="shared" si="86"/>
        <v>0</v>
      </c>
      <c r="P2797" s="11">
        <f t="shared" si="87"/>
        <v>0</v>
      </c>
      <c r="Q2797" s="6"/>
      <c r="R2797" s="6"/>
      <c r="S2797" s="6"/>
      <c r="T2797" s="6"/>
    </row>
    <row r="2798" spans="1:20">
      <c r="A2798" s="6" t="s">
        <v>2966</v>
      </c>
      <c r="B2798" s="6" t="s">
        <v>70</v>
      </c>
      <c r="C2798" s="6" t="s">
        <v>90</v>
      </c>
      <c r="D2798" s="6" t="s">
        <v>119</v>
      </c>
      <c r="E2798" s="6" t="s">
        <v>120</v>
      </c>
      <c r="F2798" s="7">
        <v>34</v>
      </c>
      <c r="G2798" s="7">
        <v>4250</v>
      </c>
      <c r="H2798" s="16">
        <v>45268</v>
      </c>
      <c r="I2798" s="6">
        <v>49</v>
      </c>
      <c r="J2798" s="6" t="s">
        <v>121</v>
      </c>
      <c r="K2798" s="6" t="s">
        <v>122</v>
      </c>
      <c r="L2798" s="11">
        <f>F2798*Controls!$B$6</f>
        <v>34</v>
      </c>
      <c r="M2798" s="11">
        <f>G2798*Controls!$B$6</f>
        <v>4250</v>
      </c>
      <c r="N2798" s="12">
        <f>IF(L2798=0,0,SUMIFS('PSI Plan'!$N$6:$N$173,'PSI Plan'!$B$6:$B$173,B2798,'PSI Plan'!$C$6:$C$173,I2798))</f>
        <v>0</v>
      </c>
      <c r="O2798" s="11">
        <f t="shared" si="86"/>
        <v>0</v>
      </c>
      <c r="P2798" s="11">
        <f t="shared" si="87"/>
        <v>0</v>
      </c>
      <c r="Q2798" s="6"/>
      <c r="R2798" s="6"/>
      <c r="S2798" s="6"/>
      <c r="T2798" s="6"/>
    </row>
    <row r="2799" spans="1:20">
      <c r="A2799" s="6" t="s">
        <v>2967</v>
      </c>
      <c r="B2799" s="6" t="s">
        <v>68</v>
      </c>
      <c r="C2799" s="6" t="s">
        <v>90</v>
      </c>
      <c r="D2799" s="6" t="s">
        <v>119</v>
      </c>
      <c r="E2799" s="6" t="s">
        <v>120</v>
      </c>
      <c r="F2799" s="7">
        <v>16</v>
      </c>
      <c r="G2799" s="7">
        <v>2000</v>
      </c>
      <c r="H2799" s="16">
        <v>45201</v>
      </c>
      <c r="I2799" s="6">
        <v>40</v>
      </c>
      <c r="J2799" s="6" t="s">
        <v>121</v>
      </c>
      <c r="K2799" s="6" t="s">
        <v>122</v>
      </c>
      <c r="L2799" s="11">
        <f>F2799*Controls!$B$6</f>
        <v>16</v>
      </c>
      <c r="M2799" s="11">
        <f>G2799*Controls!$B$6</f>
        <v>2000</v>
      </c>
      <c r="N2799" s="12">
        <f>IF(L2799=0,0,SUMIFS('PSI Plan'!$N$6:$N$173,'PSI Plan'!$B$6:$B$173,B2799,'PSI Plan'!$C$6:$C$173,I2799))</f>
        <v>0</v>
      </c>
      <c r="O2799" s="11">
        <f t="shared" si="86"/>
        <v>0</v>
      </c>
      <c r="P2799" s="11">
        <f t="shared" si="87"/>
        <v>0</v>
      </c>
      <c r="Q2799" s="6"/>
      <c r="R2799" s="6"/>
      <c r="S2799" s="6"/>
      <c r="T2799" s="6"/>
    </row>
    <row r="2800" spans="1:20">
      <c r="A2800" s="6" t="s">
        <v>2968</v>
      </c>
      <c r="B2800" s="6" t="s">
        <v>73</v>
      </c>
      <c r="C2800" s="6" t="s">
        <v>90</v>
      </c>
      <c r="D2800" s="6" t="s">
        <v>119</v>
      </c>
      <c r="E2800" s="6" t="s">
        <v>120</v>
      </c>
      <c r="F2800" s="7">
        <v>1</v>
      </c>
      <c r="G2800" s="7">
        <v>125</v>
      </c>
      <c r="H2800" s="16">
        <v>45251</v>
      </c>
      <c r="I2800" s="6">
        <v>47</v>
      </c>
      <c r="J2800" s="6" t="s">
        <v>121</v>
      </c>
      <c r="K2800" s="6" t="s">
        <v>139</v>
      </c>
      <c r="L2800" s="11">
        <f>F2800*Controls!$B$6</f>
        <v>1</v>
      </c>
      <c r="M2800" s="11">
        <f>G2800*Controls!$B$6</f>
        <v>125</v>
      </c>
      <c r="N2800" s="12">
        <f>IF(L2800=0,0,SUMIFS('PSI Plan'!$N$6:$N$173,'PSI Plan'!$B$6:$B$173,B2800,'PSI Plan'!$C$6:$C$173,I2800))</f>
        <v>0</v>
      </c>
      <c r="O2800" s="11">
        <f t="shared" si="86"/>
        <v>0</v>
      </c>
      <c r="P2800" s="11">
        <f t="shared" si="87"/>
        <v>0</v>
      </c>
      <c r="Q2800" s="6"/>
      <c r="R2800" s="6"/>
      <c r="S2800" s="6"/>
      <c r="T2800" s="6"/>
    </row>
    <row r="2801" spans="1:20">
      <c r="A2801" s="6" t="s">
        <v>2969</v>
      </c>
      <c r="B2801" s="6" t="s">
        <v>75</v>
      </c>
      <c r="C2801" s="6" t="s">
        <v>90</v>
      </c>
      <c r="D2801" s="6" t="s">
        <v>119</v>
      </c>
      <c r="E2801" s="6" t="s">
        <v>120</v>
      </c>
      <c r="F2801" s="7">
        <v>2</v>
      </c>
      <c r="G2801" s="7">
        <v>250</v>
      </c>
      <c r="H2801" s="16">
        <v>45272</v>
      </c>
      <c r="I2801" s="6">
        <v>50</v>
      </c>
      <c r="J2801" s="6" t="s">
        <v>121</v>
      </c>
      <c r="K2801" s="6" t="s">
        <v>139</v>
      </c>
      <c r="L2801" s="11">
        <f>F2801*Controls!$B$6</f>
        <v>2</v>
      </c>
      <c r="M2801" s="11">
        <f>G2801*Controls!$B$6</f>
        <v>250</v>
      </c>
      <c r="N2801" s="12">
        <f>IF(L2801=0,0,SUMIFS('PSI Plan'!$N$6:$N$173,'PSI Plan'!$B$6:$B$173,B2801,'PSI Plan'!$C$6:$C$173,I2801))</f>
        <v>0</v>
      </c>
      <c r="O2801" s="11">
        <f t="shared" si="86"/>
        <v>0</v>
      </c>
      <c r="P2801" s="11">
        <f t="shared" si="87"/>
        <v>0</v>
      </c>
      <c r="Q2801" s="6"/>
      <c r="R2801" s="6"/>
      <c r="S2801" s="6"/>
      <c r="T2801" s="6"/>
    </row>
    <row r="2802" spans="1:20">
      <c r="A2802" s="6" t="s">
        <v>2970</v>
      </c>
      <c r="B2802" s="6" t="s">
        <v>70</v>
      </c>
      <c r="C2802" s="6" t="s">
        <v>90</v>
      </c>
      <c r="D2802" s="6" t="s">
        <v>119</v>
      </c>
      <c r="E2802" s="6" t="s">
        <v>120</v>
      </c>
      <c r="F2802" s="7">
        <v>2</v>
      </c>
      <c r="G2802" s="7">
        <v>250</v>
      </c>
      <c r="H2802" s="16">
        <v>45243</v>
      </c>
      <c r="I2802" s="6">
        <v>46</v>
      </c>
      <c r="J2802" s="6" t="s">
        <v>121</v>
      </c>
      <c r="K2802" s="6" t="s">
        <v>139</v>
      </c>
      <c r="L2802" s="11">
        <f>F2802*Controls!$B$6</f>
        <v>2</v>
      </c>
      <c r="M2802" s="11">
        <f>G2802*Controls!$B$6</f>
        <v>250</v>
      </c>
      <c r="N2802" s="12">
        <f>IF(L2802=0,0,SUMIFS('PSI Plan'!$N$6:$N$173,'PSI Plan'!$B$6:$B$173,B2802,'PSI Plan'!$C$6:$C$173,I2802))</f>
        <v>0</v>
      </c>
      <c r="O2802" s="11">
        <f t="shared" si="86"/>
        <v>0</v>
      </c>
      <c r="P2802" s="11">
        <f t="shared" si="87"/>
        <v>0</v>
      </c>
      <c r="Q2802" s="6"/>
      <c r="R2802" s="6"/>
      <c r="S2802" s="6"/>
      <c r="T2802" s="6"/>
    </row>
    <row r="2803" spans="1:20">
      <c r="A2803" s="6" t="s">
        <v>2971</v>
      </c>
      <c r="B2803" s="6" t="s">
        <v>68</v>
      </c>
      <c r="C2803" s="6" t="s">
        <v>90</v>
      </c>
      <c r="D2803" s="6" t="s">
        <v>119</v>
      </c>
      <c r="E2803" s="6" t="s">
        <v>120</v>
      </c>
      <c r="F2803" s="7">
        <v>2</v>
      </c>
      <c r="G2803" s="7">
        <v>250</v>
      </c>
      <c r="H2803" s="16">
        <v>45253</v>
      </c>
      <c r="I2803" s="6">
        <v>47</v>
      </c>
      <c r="J2803" s="6" t="s">
        <v>121</v>
      </c>
      <c r="K2803" s="6" t="s">
        <v>139</v>
      </c>
      <c r="L2803" s="11">
        <f>F2803*Controls!$B$6</f>
        <v>2</v>
      </c>
      <c r="M2803" s="11">
        <f>G2803*Controls!$B$6</f>
        <v>250</v>
      </c>
      <c r="N2803" s="12">
        <f>IF(L2803=0,0,SUMIFS('PSI Plan'!$N$6:$N$173,'PSI Plan'!$B$6:$B$173,B2803,'PSI Plan'!$C$6:$C$173,I2803))</f>
        <v>0</v>
      </c>
      <c r="O2803" s="11">
        <f t="shared" si="86"/>
        <v>0</v>
      </c>
      <c r="P2803" s="11">
        <f t="shared" si="87"/>
        <v>0</v>
      </c>
      <c r="Q2803" s="6"/>
      <c r="R2803" s="6"/>
      <c r="S2803" s="6"/>
      <c r="T2803" s="6"/>
    </row>
    <row r="2804" spans="1:20">
      <c r="A2804" s="6" t="s">
        <v>2972</v>
      </c>
      <c r="B2804" s="6" t="s">
        <v>73</v>
      </c>
      <c r="C2804" s="6" t="s">
        <v>97</v>
      </c>
      <c r="D2804" s="6" t="s">
        <v>567</v>
      </c>
      <c r="E2804" s="6" t="s">
        <v>120</v>
      </c>
      <c r="F2804" s="7">
        <v>25</v>
      </c>
      <c r="G2804" s="7">
        <v>3125</v>
      </c>
      <c r="H2804" s="16">
        <v>45277</v>
      </c>
      <c r="I2804" s="6">
        <v>51</v>
      </c>
      <c r="J2804" s="6" t="s">
        <v>2151</v>
      </c>
      <c r="K2804" s="6" t="s">
        <v>2526</v>
      </c>
      <c r="L2804" s="11">
        <f>F2804*Controls!$B$6</f>
        <v>25</v>
      </c>
      <c r="M2804" s="11">
        <f>G2804*Controls!$B$6</f>
        <v>3125</v>
      </c>
      <c r="N2804" s="12">
        <f>IF(L2804=0,0,SUMIFS('PSI Plan'!$N$6:$N$173,'PSI Plan'!$B$6:$B$173,B2804,'PSI Plan'!$C$6:$C$173,I2804))</f>
        <v>0</v>
      </c>
      <c r="O2804" s="11">
        <f t="shared" si="86"/>
        <v>0</v>
      </c>
      <c r="P2804" s="11">
        <f t="shared" si="87"/>
        <v>0</v>
      </c>
      <c r="Q2804" s="6"/>
      <c r="R2804" s="6"/>
      <c r="S2804" s="6"/>
      <c r="T2804" s="6"/>
    </row>
    <row r="2805" spans="1:20">
      <c r="A2805" s="6" t="s">
        <v>2973</v>
      </c>
      <c r="B2805" s="6" t="s">
        <v>75</v>
      </c>
      <c r="C2805" s="6" t="s">
        <v>97</v>
      </c>
      <c r="D2805" s="6" t="s">
        <v>567</v>
      </c>
      <c r="E2805" s="6" t="s">
        <v>120</v>
      </c>
      <c r="F2805" s="7">
        <v>25</v>
      </c>
      <c r="G2805" s="7">
        <v>3125</v>
      </c>
      <c r="H2805" s="16">
        <v>45224</v>
      </c>
      <c r="I2805" s="6">
        <v>43</v>
      </c>
      <c r="J2805" s="6" t="s">
        <v>2151</v>
      </c>
      <c r="K2805" s="6" t="s">
        <v>2526</v>
      </c>
      <c r="L2805" s="11">
        <f>F2805*Controls!$B$6</f>
        <v>25</v>
      </c>
      <c r="M2805" s="11">
        <f>G2805*Controls!$B$6</f>
        <v>3125</v>
      </c>
      <c r="N2805" s="12">
        <f>IF(L2805=0,0,SUMIFS('PSI Plan'!$N$6:$N$173,'PSI Plan'!$B$6:$B$173,B2805,'PSI Plan'!$C$6:$C$173,I2805))</f>
        <v>0</v>
      </c>
      <c r="O2805" s="11">
        <f t="shared" si="86"/>
        <v>0</v>
      </c>
      <c r="P2805" s="11">
        <f t="shared" si="87"/>
        <v>0</v>
      </c>
      <c r="Q2805" s="6"/>
      <c r="R2805" s="6"/>
      <c r="S2805" s="6"/>
      <c r="T2805" s="6"/>
    </row>
    <row r="2806" spans="1:20">
      <c r="A2806" s="6" t="s">
        <v>2974</v>
      </c>
      <c r="B2806" s="6" t="s">
        <v>70</v>
      </c>
      <c r="C2806" s="6" t="s">
        <v>97</v>
      </c>
      <c r="D2806" s="6" t="s">
        <v>567</v>
      </c>
      <c r="E2806" s="6" t="s">
        <v>120</v>
      </c>
      <c r="F2806" s="7">
        <v>15</v>
      </c>
      <c r="G2806" s="7">
        <v>1875</v>
      </c>
      <c r="H2806" s="16">
        <v>45206</v>
      </c>
      <c r="I2806" s="6">
        <v>40</v>
      </c>
      <c r="J2806" s="6" t="s">
        <v>2151</v>
      </c>
      <c r="K2806" s="6" t="s">
        <v>2526</v>
      </c>
      <c r="L2806" s="11">
        <f>F2806*Controls!$B$6</f>
        <v>15</v>
      </c>
      <c r="M2806" s="11">
        <f>G2806*Controls!$B$6</f>
        <v>1875</v>
      </c>
      <c r="N2806" s="12">
        <f>IF(L2806=0,0,SUMIFS('PSI Plan'!$N$6:$N$173,'PSI Plan'!$B$6:$B$173,B2806,'PSI Plan'!$C$6:$C$173,I2806))</f>
        <v>0</v>
      </c>
      <c r="O2806" s="11">
        <f t="shared" si="86"/>
        <v>0</v>
      </c>
      <c r="P2806" s="11">
        <f t="shared" si="87"/>
        <v>0</v>
      </c>
      <c r="Q2806" s="6"/>
      <c r="R2806" s="6"/>
      <c r="S2806" s="6"/>
      <c r="T2806" s="6"/>
    </row>
    <row r="2807" spans="1:20">
      <c r="A2807" s="6" t="s">
        <v>2975</v>
      </c>
      <c r="B2807" s="6" t="s">
        <v>68</v>
      </c>
      <c r="C2807" s="6" t="s">
        <v>97</v>
      </c>
      <c r="D2807" s="6" t="s">
        <v>567</v>
      </c>
      <c r="E2807" s="6" t="s">
        <v>120</v>
      </c>
      <c r="F2807" s="7">
        <v>30</v>
      </c>
      <c r="G2807" s="7">
        <v>3750</v>
      </c>
      <c r="H2807" s="16">
        <v>45220</v>
      </c>
      <c r="I2807" s="6">
        <v>42</v>
      </c>
      <c r="J2807" s="6" t="s">
        <v>2151</v>
      </c>
      <c r="K2807" s="6" t="s">
        <v>2526</v>
      </c>
      <c r="L2807" s="11">
        <f>F2807*Controls!$B$6</f>
        <v>30</v>
      </c>
      <c r="M2807" s="11">
        <f>G2807*Controls!$B$6</f>
        <v>3750</v>
      </c>
      <c r="N2807" s="12">
        <f>IF(L2807=0,0,SUMIFS('PSI Plan'!$N$6:$N$173,'PSI Plan'!$B$6:$B$173,B2807,'PSI Plan'!$C$6:$C$173,I2807))</f>
        <v>0</v>
      </c>
      <c r="O2807" s="11">
        <f t="shared" si="86"/>
        <v>0</v>
      </c>
      <c r="P2807" s="11">
        <f t="shared" si="87"/>
        <v>0</v>
      </c>
      <c r="Q2807" s="6"/>
      <c r="R2807" s="6"/>
      <c r="S2807" s="6"/>
      <c r="T2807" s="6"/>
    </row>
    <row r="2808" spans="1:20">
      <c r="A2808" s="6" t="s">
        <v>2976</v>
      </c>
      <c r="B2808" s="6" t="s">
        <v>73</v>
      </c>
      <c r="C2808" s="6" t="s">
        <v>90</v>
      </c>
      <c r="D2808" s="6" t="s">
        <v>119</v>
      </c>
      <c r="E2808" s="6" t="s">
        <v>120</v>
      </c>
      <c r="F2808" s="7">
        <v>26</v>
      </c>
      <c r="G2808" s="7">
        <v>3250</v>
      </c>
      <c r="H2808" s="16">
        <v>45281</v>
      </c>
      <c r="I2808" s="6">
        <v>51</v>
      </c>
      <c r="J2808" s="6" t="s">
        <v>121</v>
      </c>
      <c r="K2808" s="6" t="s">
        <v>122</v>
      </c>
      <c r="L2808" s="11">
        <f>F2808*Controls!$B$6</f>
        <v>26</v>
      </c>
      <c r="M2808" s="11">
        <f>G2808*Controls!$B$6</f>
        <v>3250</v>
      </c>
      <c r="N2808" s="12">
        <f>IF(L2808=0,0,SUMIFS('PSI Plan'!$N$6:$N$173,'PSI Plan'!$B$6:$B$173,B2808,'PSI Plan'!$C$6:$C$173,I2808))</f>
        <v>0</v>
      </c>
      <c r="O2808" s="11">
        <f t="shared" si="86"/>
        <v>0</v>
      </c>
      <c r="P2808" s="11">
        <f t="shared" si="87"/>
        <v>0</v>
      </c>
      <c r="Q2808" s="6"/>
      <c r="R2808" s="6"/>
      <c r="S2808" s="6"/>
      <c r="T2808" s="6"/>
    </row>
    <row r="2809" spans="1:20">
      <c r="A2809" s="6" t="s">
        <v>2977</v>
      </c>
      <c r="B2809" s="6" t="s">
        <v>75</v>
      </c>
      <c r="C2809" s="6" t="s">
        <v>90</v>
      </c>
      <c r="D2809" s="6" t="s">
        <v>119</v>
      </c>
      <c r="E2809" s="6" t="s">
        <v>120</v>
      </c>
      <c r="F2809" s="7">
        <v>23</v>
      </c>
      <c r="G2809" s="7">
        <v>2875</v>
      </c>
      <c r="H2809" s="16">
        <v>45228</v>
      </c>
      <c r="I2809" s="6">
        <v>44</v>
      </c>
      <c r="J2809" s="6" t="s">
        <v>121</v>
      </c>
      <c r="K2809" s="6" t="s">
        <v>122</v>
      </c>
      <c r="L2809" s="11">
        <f>F2809*Controls!$B$6</f>
        <v>23</v>
      </c>
      <c r="M2809" s="11">
        <f>G2809*Controls!$B$6</f>
        <v>2875</v>
      </c>
      <c r="N2809" s="12">
        <f>IF(L2809=0,0,SUMIFS('PSI Plan'!$N$6:$N$173,'PSI Plan'!$B$6:$B$173,B2809,'PSI Plan'!$C$6:$C$173,I2809))</f>
        <v>0</v>
      </c>
      <c r="O2809" s="11">
        <f t="shared" si="86"/>
        <v>0</v>
      </c>
      <c r="P2809" s="11">
        <f t="shared" si="87"/>
        <v>0</v>
      </c>
      <c r="Q2809" s="6"/>
      <c r="R2809" s="6"/>
      <c r="S2809" s="6"/>
      <c r="T2809" s="6"/>
    </row>
    <row r="2810" spans="1:20">
      <c r="A2810" s="6" t="s">
        <v>2978</v>
      </c>
      <c r="B2810" s="6" t="s">
        <v>70</v>
      </c>
      <c r="C2810" s="6" t="s">
        <v>90</v>
      </c>
      <c r="D2810" s="6" t="s">
        <v>119</v>
      </c>
      <c r="E2810" s="6" t="s">
        <v>120</v>
      </c>
      <c r="F2810" s="7">
        <v>26</v>
      </c>
      <c r="G2810" s="7">
        <v>3250</v>
      </c>
      <c r="H2810" s="16">
        <v>45282</v>
      </c>
      <c r="I2810" s="6">
        <v>51</v>
      </c>
      <c r="J2810" s="6" t="s">
        <v>121</v>
      </c>
      <c r="K2810" s="6" t="s">
        <v>122</v>
      </c>
      <c r="L2810" s="11">
        <f>F2810*Controls!$B$6</f>
        <v>26</v>
      </c>
      <c r="M2810" s="11">
        <f>G2810*Controls!$B$6</f>
        <v>3250</v>
      </c>
      <c r="N2810" s="12">
        <f>IF(L2810=0,0,SUMIFS('PSI Plan'!$N$6:$N$173,'PSI Plan'!$B$6:$B$173,B2810,'PSI Plan'!$C$6:$C$173,I2810))</f>
        <v>0</v>
      </c>
      <c r="O2810" s="11">
        <f t="shared" si="86"/>
        <v>0</v>
      </c>
      <c r="P2810" s="11">
        <f t="shared" si="87"/>
        <v>0</v>
      </c>
      <c r="Q2810" s="6"/>
      <c r="R2810" s="6"/>
      <c r="S2810" s="6"/>
      <c r="T2810" s="6"/>
    </row>
    <row r="2811" spans="1:20">
      <c r="A2811" s="6" t="s">
        <v>2979</v>
      </c>
      <c r="B2811" s="6" t="s">
        <v>68</v>
      </c>
      <c r="C2811" s="6" t="s">
        <v>90</v>
      </c>
      <c r="D2811" s="6" t="s">
        <v>119</v>
      </c>
      <c r="E2811" s="6" t="s">
        <v>120</v>
      </c>
      <c r="F2811" s="7">
        <v>26</v>
      </c>
      <c r="G2811" s="7">
        <v>3250</v>
      </c>
      <c r="H2811" s="16">
        <v>45276</v>
      </c>
      <c r="I2811" s="6">
        <v>50</v>
      </c>
      <c r="J2811" s="6" t="s">
        <v>121</v>
      </c>
      <c r="K2811" s="6" t="s">
        <v>122</v>
      </c>
      <c r="L2811" s="11">
        <f>F2811*Controls!$B$6</f>
        <v>26</v>
      </c>
      <c r="M2811" s="11">
        <f>G2811*Controls!$B$6</f>
        <v>3250</v>
      </c>
      <c r="N2811" s="12">
        <f>IF(L2811=0,0,SUMIFS('PSI Plan'!$N$6:$N$173,'PSI Plan'!$B$6:$B$173,B2811,'PSI Plan'!$C$6:$C$173,I2811))</f>
        <v>0</v>
      </c>
      <c r="O2811" s="11">
        <f t="shared" si="86"/>
        <v>0</v>
      </c>
      <c r="P2811" s="11">
        <f t="shared" si="87"/>
        <v>0</v>
      </c>
      <c r="Q2811" s="6"/>
      <c r="R2811" s="6"/>
      <c r="S2811" s="6"/>
      <c r="T2811" s="6"/>
    </row>
    <row r="2812" spans="1:20">
      <c r="A2812" s="6" t="s">
        <v>2980</v>
      </c>
      <c r="B2812" s="6" t="s">
        <v>73</v>
      </c>
      <c r="C2812" s="6" t="s">
        <v>90</v>
      </c>
      <c r="D2812" s="6" t="s">
        <v>119</v>
      </c>
      <c r="E2812" s="6" t="s">
        <v>120</v>
      </c>
      <c r="F2812" s="7">
        <v>8</v>
      </c>
      <c r="G2812" s="7">
        <v>1000</v>
      </c>
      <c r="H2812" s="16">
        <v>45245</v>
      </c>
      <c r="I2812" s="6">
        <v>46</v>
      </c>
      <c r="J2812" s="6" t="s">
        <v>121</v>
      </c>
      <c r="K2812" s="6" t="s">
        <v>139</v>
      </c>
      <c r="L2812" s="11">
        <f>F2812*Controls!$B$6</f>
        <v>8</v>
      </c>
      <c r="M2812" s="11">
        <f>G2812*Controls!$B$6</f>
        <v>1000</v>
      </c>
      <c r="N2812" s="12">
        <f>IF(L2812=0,0,SUMIFS('PSI Plan'!$N$6:$N$173,'PSI Plan'!$B$6:$B$173,B2812,'PSI Plan'!$C$6:$C$173,I2812))</f>
        <v>0</v>
      </c>
      <c r="O2812" s="11">
        <f t="shared" si="86"/>
        <v>0</v>
      </c>
      <c r="P2812" s="11">
        <f t="shared" si="87"/>
        <v>0</v>
      </c>
      <c r="Q2812" s="6"/>
      <c r="R2812" s="6"/>
      <c r="S2812" s="6"/>
      <c r="T2812" s="6"/>
    </row>
    <row r="2813" spans="1:20">
      <c r="A2813" s="6" t="s">
        <v>2981</v>
      </c>
      <c r="B2813" s="6" t="s">
        <v>75</v>
      </c>
      <c r="C2813" s="6" t="s">
        <v>90</v>
      </c>
      <c r="D2813" s="6" t="s">
        <v>119</v>
      </c>
      <c r="E2813" s="6" t="s">
        <v>120</v>
      </c>
      <c r="F2813" s="7">
        <v>9</v>
      </c>
      <c r="G2813" s="7">
        <v>1125</v>
      </c>
      <c r="H2813" s="16">
        <v>45201</v>
      </c>
      <c r="I2813" s="6">
        <v>40</v>
      </c>
      <c r="J2813" s="6" t="s">
        <v>121</v>
      </c>
      <c r="K2813" s="6" t="s">
        <v>139</v>
      </c>
      <c r="L2813" s="11">
        <f>F2813*Controls!$B$6</f>
        <v>9</v>
      </c>
      <c r="M2813" s="11">
        <f>G2813*Controls!$B$6</f>
        <v>1125</v>
      </c>
      <c r="N2813" s="12">
        <f>IF(L2813=0,0,SUMIFS('PSI Plan'!$N$6:$N$173,'PSI Plan'!$B$6:$B$173,B2813,'PSI Plan'!$C$6:$C$173,I2813))</f>
        <v>0</v>
      </c>
      <c r="O2813" s="11">
        <f t="shared" si="86"/>
        <v>0</v>
      </c>
      <c r="P2813" s="11">
        <f t="shared" si="87"/>
        <v>0</v>
      </c>
      <c r="Q2813" s="6"/>
      <c r="R2813" s="6"/>
      <c r="S2813" s="6"/>
      <c r="T2813" s="6"/>
    </row>
    <row r="2814" spans="1:20">
      <c r="A2814" s="6" t="s">
        <v>2982</v>
      </c>
      <c r="B2814" s="6" t="s">
        <v>70</v>
      </c>
      <c r="C2814" s="6" t="s">
        <v>90</v>
      </c>
      <c r="D2814" s="6" t="s">
        <v>119</v>
      </c>
      <c r="E2814" s="6" t="s">
        <v>120</v>
      </c>
      <c r="F2814" s="7">
        <v>5</v>
      </c>
      <c r="G2814" s="7">
        <v>625</v>
      </c>
      <c r="H2814" s="16">
        <v>45203</v>
      </c>
      <c r="I2814" s="6">
        <v>40</v>
      </c>
      <c r="J2814" s="6" t="s">
        <v>121</v>
      </c>
      <c r="K2814" s="6" t="s">
        <v>139</v>
      </c>
      <c r="L2814" s="11">
        <f>F2814*Controls!$B$6</f>
        <v>5</v>
      </c>
      <c r="M2814" s="11">
        <f>G2814*Controls!$B$6</f>
        <v>625</v>
      </c>
      <c r="N2814" s="12">
        <f>IF(L2814=0,0,SUMIFS('PSI Plan'!$N$6:$N$173,'PSI Plan'!$B$6:$B$173,B2814,'PSI Plan'!$C$6:$C$173,I2814))</f>
        <v>0</v>
      </c>
      <c r="O2814" s="11">
        <f t="shared" si="86"/>
        <v>0</v>
      </c>
      <c r="P2814" s="11">
        <f t="shared" si="87"/>
        <v>0</v>
      </c>
      <c r="Q2814" s="6"/>
      <c r="R2814" s="6"/>
      <c r="S2814" s="6"/>
      <c r="T2814" s="6"/>
    </row>
    <row r="2815" spans="1:20">
      <c r="A2815" s="6" t="s">
        <v>2983</v>
      </c>
      <c r="B2815" s="6" t="s">
        <v>68</v>
      </c>
      <c r="C2815" s="6" t="s">
        <v>90</v>
      </c>
      <c r="D2815" s="6" t="s">
        <v>119</v>
      </c>
      <c r="E2815" s="6" t="s">
        <v>120</v>
      </c>
      <c r="F2815" s="7">
        <v>8</v>
      </c>
      <c r="G2815" s="7">
        <v>1000</v>
      </c>
      <c r="H2815" s="16">
        <v>45274</v>
      </c>
      <c r="I2815" s="6">
        <v>50</v>
      </c>
      <c r="J2815" s="6" t="s">
        <v>121</v>
      </c>
      <c r="K2815" s="6" t="s">
        <v>139</v>
      </c>
      <c r="L2815" s="11">
        <f>F2815*Controls!$B$6</f>
        <v>8</v>
      </c>
      <c r="M2815" s="11">
        <f>G2815*Controls!$B$6</f>
        <v>1000</v>
      </c>
      <c r="N2815" s="12">
        <f>IF(L2815=0,0,SUMIFS('PSI Plan'!$N$6:$N$173,'PSI Plan'!$B$6:$B$173,B2815,'PSI Plan'!$C$6:$C$173,I2815))</f>
        <v>0</v>
      </c>
      <c r="O2815" s="11">
        <f t="shared" si="86"/>
        <v>0</v>
      </c>
      <c r="P2815" s="11">
        <f t="shared" si="87"/>
        <v>0</v>
      </c>
      <c r="Q2815" s="6"/>
      <c r="R2815" s="6"/>
      <c r="S2815" s="6"/>
      <c r="T2815" s="6"/>
    </row>
    <row r="2816" spans="1:20">
      <c r="A2816" s="6" t="s">
        <v>2984</v>
      </c>
      <c r="B2816" s="6" t="s">
        <v>73</v>
      </c>
      <c r="C2816" s="6" t="s">
        <v>95</v>
      </c>
      <c r="D2816" s="6" t="s">
        <v>567</v>
      </c>
      <c r="E2816" s="6" t="s">
        <v>120</v>
      </c>
      <c r="F2816" s="7">
        <v>26</v>
      </c>
      <c r="G2816" s="7">
        <v>3250</v>
      </c>
      <c r="H2816" s="16">
        <v>45211</v>
      </c>
      <c r="I2816" s="6">
        <v>41</v>
      </c>
      <c r="J2816" s="6" t="s">
        <v>121</v>
      </c>
      <c r="K2816" s="6" t="s">
        <v>1740</v>
      </c>
      <c r="L2816" s="11">
        <f>F2816*Controls!$B$6</f>
        <v>26</v>
      </c>
      <c r="M2816" s="11">
        <f>G2816*Controls!$B$6</f>
        <v>3250</v>
      </c>
      <c r="N2816" s="12">
        <f>IF(L2816=0,0,SUMIFS('PSI Plan'!$N$6:$N$173,'PSI Plan'!$B$6:$B$173,B2816,'PSI Plan'!$C$6:$C$173,I2816))</f>
        <v>0</v>
      </c>
      <c r="O2816" s="11">
        <f t="shared" si="86"/>
        <v>0</v>
      </c>
      <c r="P2816" s="11">
        <f t="shared" si="87"/>
        <v>0</v>
      </c>
      <c r="Q2816" s="6"/>
      <c r="R2816" s="6"/>
      <c r="S2816" s="6"/>
      <c r="T2816" s="6"/>
    </row>
    <row r="2817" spans="1:20">
      <c r="A2817" s="6" t="s">
        <v>2985</v>
      </c>
      <c r="B2817" s="6" t="s">
        <v>75</v>
      </c>
      <c r="C2817" s="6" t="s">
        <v>95</v>
      </c>
      <c r="D2817" s="6" t="s">
        <v>567</v>
      </c>
      <c r="E2817" s="6" t="s">
        <v>120</v>
      </c>
      <c r="F2817" s="7">
        <v>26</v>
      </c>
      <c r="G2817" s="7">
        <v>3250</v>
      </c>
      <c r="H2817" s="16">
        <v>45265</v>
      </c>
      <c r="I2817" s="6">
        <v>49</v>
      </c>
      <c r="J2817" s="6" t="s">
        <v>121</v>
      </c>
      <c r="K2817" s="6" t="s">
        <v>1740</v>
      </c>
      <c r="L2817" s="11">
        <f>F2817*Controls!$B$6</f>
        <v>26</v>
      </c>
      <c r="M2817" s="11">
        <f>G2817*Controls!$B$6</f>
        <v>3250</v>
      </c>
      <c r="N2817" s="12">
        <f>IF(L2817=0,0,SUMIFS('PSI Plan'!$N$6:$N$173,'PSI Plan'!$B$6:$B$173,B2817,'PSI Plan'!$C$6:$C$173,I2817))</f>
        <v>0</v>
      </c>
      <c r="O2817" s="11">
        <f t="shared" si="86"/>
        <v>0</v>
      </c>
      <c r="P2817" s="11">
        <f t="shared" si="87"/>
        <v>0</v>
      </c>
      <c r="Q2817" s="6"/>
      <c r="R2817" s="6"/>
      <c r="S2817" s="6"/>
      <c r="T2817" s="6"/>
    </row>
    <row r="2818" spans="1:20">
      <c r="A2818" s="6" t="s">
        <v>2986</v>
      </c>
      <c r="B2818" s="6" t="s">
        <v>70</v>
      </c>
      <c r="C2818" s="6" t="s">
        <v>95</v>
      </c>
      <c r="D2818" s="6" t="s">
        <v>567</v>
      </c>
      <c r="E2818" s="6" t="s">
        <v>120</v>
      </c>
      <c r="F2818" s="7">
        <v>26</v>
      </c>
      <c r="G2818" s="7">
        <v>3250</v>
      </c>
      <c r="H2818" s="16">
        <v>45240</v>
      </c>
      <c r="I2818" s="6">
        <v>45</v>
      </c>
      <c r="J2818" s="6" t="s">
        <v>121</v>
      </c>
      <c r="K2818" s="6" t="s">
        <v>1740</v>
      </c>
      <c r="L2818" s="11">
        <f>F2818*Controls!$B$6</f>
        <v>26</v>
      </c>
      <c r="M2818" s="11">
        <f>G2818*Controls!$B$6</f>
        <v>3250</v>
      </c>
      <c r="N2818" s="12">
        <f>IF(L2818=0,0,SUMIFS('PSI Plan'!$N$6:$N$173,'PSI Plan'!$B$6:$B$173,B2818,'PSI Plan'!$C$6:$C$173,I2818))</f>
        <v>0</v>
      </c>
      <c r="O2818" s="11">
        <f t="shared" ref="O2818:O2881" si="88">L2818*N2818</f>
        <v>0</v>
      </c>
      <c r="P2818" s="11">
        <f t="shared" ref="P2818:P2881" si="89">M2818*N2818</f>
        <v>0</v>
      </c>
      <c r="Q2818" s="6"/>
      <c r="R2818" s="6"/>
      <c r="S2818" s="6"/>
      <c r="T2818" s="6"/>
    </row>
    <row r="2819" spans="1:20">
      <c r="A2819" s="6" t="s">
        <v>2987</v>
      </c>
      <c r="B2819" s="6" t="s">
        <v>68</v>
      </c>
      <c r="C2819" s="6" t="s">
        <v>95</v>
      </c>
      <c r="D2819" s="6" t="s">
        <v>567</v>
      </c>
      <c r="E2819" s="6" t="s">
        <v>120</v>
      </c>
      <c r="F2819" s="7">
        <v>26</v>
      </c>
      <c r="G2819" s="7">
        <v>3250</v>
      </c>
      <c r="H2819" s="16">
        <v>45281</v>
      </c>
      <c r="I2819" s="6">
        <v>51</v>
      </c>
      <c r="J2819" s="6" t="s">
        <v>121</v>
      </c>
      <c r="K2819" s="6" t="s">
        <v>1740</v>
      </c>
      <c r="L2819" s="11">
        <f>F2819*Controls!$B$6</f>
        <v>26</v>
      </c>
      <c r="M2819" s="11">
        <f>G2819*Controls!$B$6</f>
        <v>3250</v>
      </c>
      <c r="N2819" s="12">
        <f>IF(L2819=0,0,SUMIFS('PSI Plan'!$N$6:$N$173,'PSI Plan'!$B$6:$B$173,B2819,'PSI Plan'!$C$6:$C$173,I2819))</f>
        <v>0</v>
      </c>
      <c r="O2819" s="11">
        <f t="shared" si="88"/>
        <v>0</v>
      </c>
      <c r="P2819" s="11">
        <f t="shared" si="89"/>
        <v>0</v>
      </c>
      <c r="Q2819" s="6"/>
      <c r="R2819" s="6"/>
      <c r="S2819" s="6"/>
      <c r="T2819" s="6"/>
    </row>
    <row r="2820" spans="1:20">
      <c r="A2820" s="6" t="s">
        <v>2988</v>
      </c>
      <c r="B2820" s="6" t="s">
        <v>73</v>
      </c>
      <c r="C2820" s="6" t="s">
        <v>95</v>
      </c>
      <c r="D2820" s="6" t="s">
        <v>567</v>
      </c>
      <c r="E2820" s="6" t="s">
        <v>120</v>
      </c>
      <c r="F2820" s="7">
        <v>25</v>
      </c>
      <c r="G2820" s="7">
        <v>3125</v>
      </c>
      <c r="H2820" s="16">
        <v>45208</v>
      </c>
      <c r="I2820" s="6">
        <v>41</v>
      </c>
      <c r="J2820" s="6" t="s">
        <v>2151</v>
      </c>
      <c r="K2820" s="6" t="s">
        <v>2526</v>
      </c>
      <c r="L2820" s="11">
        <f>F2820*Controls!$B$6</f>
        <v>25</v>
      </c>
      <c r="M2820" s="11">
        <f>G2820*Controls!$B$6</f>
        <v>3125</v>
      </c>
      <c r="N2820" s="12">
        <f>IF(L2820=0,0,SUMIFS('PSI Plan'!$N$6:$N$173,'PSI Plan'!$B$6:$B$173,B2820,'PSI Plan'!$C$6:$C$173,I2820))</f>
        <v>0</v>
      </c>
      <c r="O2820" s="11">
        <f t="shared" si="88"/>
        <v>0</v>
      </c>
      <c r="P2820" s="11">
        <f t="shared" si="89"/>
        <v>0</v>
      </c>
      <c r="Q2820" s="6"/>
      <c r="R2820" s="6"/>
      <c r="S2820" s="6"/>
      <c r="T2820" s="6"/>
    </row>
    <row r="2821" spans="1:20">
      <c r="A2821" s="6" t="s">
        <v>2989</v>
      </c>
      <c r="B2821" s="6" t="s">
        <v>75</v>
      </c>
      <c r="C2821" s="6" t="s">
        <v>95</v>
      </c>
      <c r="D2821" s="6" t="s">
        <v>567</v>
      </c>
      <c r="E2821" s="6" t="s">
        <v>120</v>
      </c>
      <c r="F2821" s="7">
        <v>18</v>
      </c>
      <c r="G2821" s="7">
        <v>2250</v>
      </c>
      <c r="H2821" s="16">
        <v>45240</v>
      </c>
      <c r="I2821" s="6">
        <v>45</v>
      </c>
      <c r="J2821" s="6" t="s">
        <v>2151</v>
      </c>
      <c r="K2821" s="6" t="s">
        <v>2526</v>
      </c>
      <c r="L2821" s="11">
        <f>F2821*Controls!$B$6</f>
        <v>18</v>
      </c>
      <c r="M2821" s="11">
        <f>G2821*Controls!$B$6</f>
        <v>2250</v>
      </c>
      <c r="N2821" s="12">
        <f>IF(L2821=0,0,SUMIFS('PSI Plan'!$N$6:$N$173,'PSI Plan'!$B$6:$B$173,B2821,'PSI Plan'!$C$6:$C$173,I2821))</f>
        <v>0</v>
      </c>
      <c r="O2821" s="11">
        <f t="shared" si="88"/>
        <v>0</v>
      </c>
      <c r="P2821" s="11">
        <f t="shared" si="89"/>
        <v>0</v>
      </c>
      <c r="Q2821" s="6"/>
      <c r="R2821" s="6"/>
      <c r="S2821" s="6"/>
      <c r="T2821" s="6"/>
    </row>
    <row r="2822" spans="1:20">
      <c r="A2822" s="6" t="s">
        <v>2990</v>
      </c>
      <c r="B2822" s="6" t="s">
        <v>75</v>
      </c>
      <c r="C2822" s="6" t="s">
        <v>90</v>
      </c>
      <c r="D2822" s="6" t="s">
        <v>119</v>
      </c>
      <c r="E2822" s="6" t="s">
        <v>120</v>
      </c>
      <c r="F2822" s="7">
        <v>52</v>
      </c>
      <c r="G2822" s="7">
        <v>6500</v>
      </c>
      <c r="H2822" s="16">
        <v>45247</v>
      </c>
      <c r="I2822" s="6">
        <v>46</v>
      </c>
      <c r="J2822" s="6" t="s">
        <v>121</v>
      </c>
      <c r="K2822" s="6" t="s">
        <v>171</v>
      </c>
      <c r="L2822" s="11">
        <f>F2822*Controls!$B$6</f>
        <v>52</v>
      </c>
      <c r="M2822" s="11">
        <f>G2822*Controls!$B$6</f>
        <v>6500</v>
      </c>
      <c r="N2822" s="12">
        <f>IF(L2822=0,0,SUMIFS('PSI Plan'!$N$6:$N$173,'PSI Plan'!$B$6:$B$173,B2822,'PSI Plan'!$C$6:$C$173,I2822))</f>
        <v>0</v>
      </c>
      <c r="O2822" s="11">
        <f t="shared" si="88"/>
        <v>0</v>
      </c>
      <c r="P2822" s="11">
        <f t="shared" si="89"/>
        <v>0</v>
      </c>
      <c r="Q2822" s="6"/>
      <c r="R2822" s="6"/>
      <c r="S2822" s="6"/>
      <c r="T2822" s="6"/>
    </row>
    <row r="2823" spans="1:20">
      <c r="A2823" s="6" t="s">
        <v>2991</v>
      </c>
      <c r="B2823" s="6" t="s">
        <v>68</v>
      </c>
      <c r="C2823" s="6" t="s">
        <v>90</v>
      </c>
      <c r="D2823" s="6" t="s">
        <v>119</v>
      </c>
      <c r="E2823" s="6" t="s">
        <v>120</v>
      </c>
      <c r="F2823" s="7">
        <v>52</v>
      </c>
      <c r="G2823" s="7">
        <v>6500</v>
      </c>
      <c r="H2823" s="16">
        <v>45202</v>
      </c>
      <c r="I2823" s="6">
        <v>40</v>
      </c>
      <c r="J2823" s="6" t="s">
        <v>121</v>
      </c>
      <c r="K2823" s="6" t="s">
        <v>171</v>
      </c>
      <c r="L2823" s="11">
        <f>F2823*Controls!$B$6</f>
        <v>52</v>
      </c>
      <c r="M2823" s="11">
        <f>G2823*Controls!$B$6</f>
        <v>6500</v>
      </c>
      <c r="N2823" s="12">
        <f>IF(L2823=0,0,SUMIFS('PSI Plan'!$N$6:$N$173,'PSI Plan'!$B$6:$B$173,B2823,'PSI Plan'!$C$6:$C$173,I2823))</f>
        <v>0</v>
      </c>
      <c r="O2823" s="11">
        <f t="shared" si="88"/>
        <v>0</v>
      </c>
      <c r="P2823" s="11">
        <f t="shared" si="89"/>
        <v>0</v>
      </c>
      <c r="Q2823" s="6"/>
      <c r="R2823" s="6"/>
      <c r="S2823" s="6"/>
      <c r="T2823" s="6"/>
    </row>
    <row r="2824" spans="1:20">
      <c r="A2824" s="6" t="s">
        <v>2992</v>
      </c>
      <c r="B2824" s="6" t="s">
        <v>75</v>
      </c>
      <c r="C2824" s="6" t="s">
        <v>95</v>
      </c>
      <c r="D2824" s="6" t="s">
        <v>567</v>
      </c>
      <c r="E2824" s="6" t="s">
        <v>120</v>
      </c>
      <c r="F2824" s="7">
        <v>17</v>
      </c>
      <c r="G2824" s="7">
        <v>2125</v>
      </c>
      <c r="H2824" s="16">
        <v>45284</v>
      </c>
      <c r="I2824" s="6">
        <v>52</v>
      </c>
      <c r="J2824" s="6" t="s">
        <v>2151</v>
      </c>
      <c r="K2824" s="6" t="s">
        <v>2526</v>
      </c>
      <c r="L2824" s="11">
        <f>F2824*Controls!$B$6</f>
        <v>17</v>
      </c>
      <c r="M2824" s="11">
        <f>G2824*Controls!$B$6</f>
        <v>2125</v>
      </c>
      <c r="N2824" s="12">
        <f>IF(L2824=0,0,SUMIFS('PSI Plan'!$N$6:$N$173,'PSI Plan'!$B$6:$B$173,B2824,'PSI Plan'!$C$6:$C$173,I2824))</f>
        <v>0</v>
      </c>
      <c r="O2824" s="11">
        <f t="shared" si="88"/>
        <v>0</v>
      </c>
      <c r="P2824" s="11">
        <f t="shared" si="89"/>
        <v>0</v>
      </c>
      <c r="Q2824" s="6"/>
      <c r="R2824" s="6"/>
      <c r="S2824" s="6"/>
      <c r="T2824" s="6"/>
    </row>
    <row r="2825" spans="1:20">
      <c r="A2825" s="6" t="s">
        <v>2993</v>
      </c>
      <c r="B2825" s="6" t="s">
        <v>70</v>
      </c>
      <c r="C2825" s="6" t="s">
        <v>95</v>
      </c>
      <c r="D2825" s="6" t="s">
        <v>567</v>
      </c>
      <c r="E2825" s="6" t="s">
        <v>120</v>
      </c>
      <c r="F2825" s="7">
        <v>15</v>
      </c>
      <c r="G2825" s="7">
        <v>1875</v>
      </c>
      <c r="H2825" s="16">
        <v>45225</v>
      </c>
      <c r="I2825" s="6">
        <v>43</v>
      </c>
      <c r="J2825" s="6" t="s">
        <v>2151</v>
      </c>
      <c r="K2825" s="6" t="s">
        <v>2526</v>
      </c>
      <c r="L2825" s="11">
        <f>F2825*Controls!$B$6</f>
        <v>15</v>
      </c>
      <c r="M2825" s="11">
        <f>G2825*Controls!$B$6</f>
        <v>1875</v>
      </c>
      <c r="N2825" s="12">
        <f>IF(L2825=0,0,SUMIFS('PSI Plan'!$N$6:$N$173,'PSI Plan'!$B$6:$B$173,B2825,'PSI Plan'!$C$6:$C$173,I2825))</f>
        <v>0</v>
      </c>
      <c r="O2825" s="11">
        <f t="shared" si="88"/>
        <v>0</v>
      </c>
      <c r="P2825" s="11">
        <f t="shared" si="89"/>
        <v>0</v>
      </c>
      <c r="Q2825" s="6"/>
      <c r="R2825" s="6"/>
      <c r="S2825" s="6"/>
      <c r="T2825" s="6"/>
    </row>
    <row r="2826" spans="1:20">
      <c r="A2826" s="6" t="s">
        <v>2994</v>
      </c>
      <c r="B2826" s="6" t="s">
        <v>68</v>
      </c>
      <c r="C2826" s="6" t="s">
        <v>95</v>
      </c>
      <c r="D2826" s="6" t="s">
        <v>567</v>
      </c>
      <c r="E2826" s="6" t="s">
        <v>120</v>
      </c>
      <c r="F2826" s="7">
        <v>25</v>
      </c>
      <c r="G2826" s="7">
        <v>3125</v>
      </c>
      <c r="H2826" s="16">
        <v>45241</v>
      </c>
      <c r="I2826" s="6">
        <v>45</v>
      </c>
      <c r="J2826" s="6" t="s">
        <v>2151</v>
      </c>
      <c r="K2826" s="6" t="s">
        <v>2526</v>
      </c>
      <c r="L2826" s="11">
        <f>F2826*Controls!$B$6</f>
        <v>25</v>
      </c>
      <c r="M2826" s="11">
        <f>G2826*Controls!$B$6</f>
        <v>3125</v>
      </c>
      <c r="N2826" s="12">
        <f>IF(L2826=0,0,SUMIFS('PSI Plan'!$N$6:$N$173,'PSI Plan'!$B$6:$B$173,B2826,'PSI Plan'!$C$6:$C$173,I2826))</f>
        <v>0</v>
      </c>
      <c r="O2826" s="11">
        <f t="shared" si="88"/>
        <v>0</v>
      </c>
      <c r="P2826" s="11">
        <f t="shared" si="89"/>
        <v>0</v>
      </c>
      <c r="Q2826" s="6"/>
      <c r="R2826" s="6"/>
      <c r="S2826" s="6"/>
      <c r="T2826" s="6"/>
    </row>
    <row r="2827" spans="1:20">
      <c r="A2827" s="6" t="s">
        <v>2995</v>
      </c>
      <c r="B2827" s="6" t="s">
        <v>75</v>
      </c>
      <c r="C2827" s="6" t="s">
        <v>90</v>
      </c>
      <c r="D2827" s="6" t="s">
        <v>119</v>
      </c>
      <c r="E2827" s="6" t="s">
        <v>120</v>
      </c>
      <c r="F2827" s="7">
        <v>50</v>
      </c>
      <c r="G2827" s="7">
        <v>6250</v>
      </c>
      <c r="H2827" s="16">
        <v>45225</v>
      </c>
      <c r="I2827" s="6">
        <v>43</v>
      </c>
      <c r="J2827" s="6" t="s">
        <v>121</v>
      </c>
      <c r="K2827" s="6" t="s">
        <v>725</v>
      </c>
      <c r="L2827" s="11">
        <f>F2827*Controls!$B$6</f>
        <v>50</v>
      </c>
      <c r="M2827" s="11">
        <f>G2827*Controls!$B$6</f>
        <v>6250</v>
      </c>
      <c r="N2827" s="12">
        <f>IF(L2827=0,0,SUMIFS('PSI Plan'!$N$6:$N$173,'PSI Plan'!$B$6:$B$173,B2827,'PSI Plan'!$C$6:$C$173,I2827))</f>
        <v>0</v>
      </c>
      <c r="O2827" s="11">
        <f t="shared" si="88"/>
        <v>0</v>
      </c>
      <c r="P2827" s="11">
        <f t="shared" si="89"/>
        <v>0</v>
      </c>
      <c r="Q2827" s="6"/>
      <c r="R2827" s="6"/>
      <c r="S2827" s="6"/>
      <c r="T2827" s="6"/>
    </row>
    <row r="2828" spans="1:20">
      <c r="A2828" s="6" t="s">
        <v>2996</v>
      </c>
      <c r="B2828" s="6" t="s">
        <v>68</v>
      </c>
      <c r="C2828" s="6" t="s">
        <v>90</v>
      </c>
      <c r="D2828" s="6" t="s">
        <v>119</v>
      </c>
      <c r="E2828" s="6" t="s">
        <v>120</v>
      </c>
      <c r="F2828" s="7">
        <v>50</v>
      </c>
      <c r="G2828" s="7">
        <v>6250</v>
      </c>
      <c r="H2828" s="16">
        <v>45225</v>
      </c>
      <c r="I2828" s="6">
        <v>43</v>
      </c>
      <c r="J2828" s="6" t="s">
        <v>121</v>
      </c>
      <c r="K2828" s="6" t="s">
        <v>725</v>
      </c>
      <c r="L2828" s="11">
        <f>F2828*Controls!$B$6</f>
        <v>50</v>
      </c>
      <c r="M2828" s="11">
        <f>G2828*Controls!$B$6</f>
        <v>6250</v>
      </c>
      <c r="N2828" s="12">
        <f>IF(L2828=0,0,SUMIFS('PSI Plan'!$N$6:$N$173,'PSI Plan'!$B$6:$B$173,B2828,'PSI Plan'!$C$6:$C$173,I2828))</f>
        <v>0</v>
      </c>
      <c r="O2828" s="11">
        <f t="shared" si="88"/>
        <v>0</v>
      </c>
      <c r="P2828" s="11">
        <f t="shared" si="89"/>
        <v>0</v>
      </c>
      <c r="Q2828" s="6"/>
      <c r="R2828" s="6"/>
      <c r="S2828" s="6"/>
      <c r="T2828" s="6"/>
    </row>
    <row r="2829" spans="1:20">
      <c r="A2829" s="6" t="s">
        <v>2997</v>
      </c>
      <c r="B2829" s="6" t="s">
        <v>70</v>
      </c>
      <c r="C2829" s="6" t="s">
        <v>90</v>
      </c>
      <c r="D2829" s="6" t="s">
        <v>119</v>
      </c>
      <c r="E2829" s="6" t="s">
        <v>120</v>
      </c>
      <c r="F2829" s="7">
        <v>26</v>
      </c>
      <c r="G2829" s="7">
        <v>3250</v>
      </c>
      <c r="H2829" s="16">
        <v>45229</v>
      </c>
      <c r="I2829" s="6">
        <v>44</v>
      </c>
      <c r="J2829" s="6" t="s">
        <v>121</v>
      </c>
      <c r="K2829" s="6" t="s">
        <v>122</v>
      </c>
      <c r="L2829" s="11">
        <f>F2829*Controls!$B$6</f>
        <v>26</v>
      </c>
      <c r="M2829" s="11">
        <f>G2829*Controls!$B$6</f>
        <v>3250</v>
      </c>
      <c r="N2829" s="12">
        <f>IF(L2829=0,0,SUMIFS('PSI Plan'!$N$6:$N$173,'PSI Plan'!$B$6:$B$173,B2829,'PSI Plan'!$C$6:$C$173,I2829))</f>
        <v>0</v>
      </c>
      <c r="O2829" s="11">
        <f t="shared" si="88"/>
        <v>0</v>
      </c>
      <c r="P2829" s="11">
        <f t="shared" si="89"/>
        <v>0</v>
      </c>
      <c r="Q2829" s="6"/>
      <c r="R2829" s="6"/>
      <c r="S2829" s="6"/>
      <c r="T2829" s="6"/>
    </row>
    <row r="2830" spans="1:20">
      <c r="A2830" s="6" t="s">
        <v>2998</v>
      </c>
      <c r="B2830" s="6" t="s">
        <v>73</v>
      </c>
      <c r="C2830" s="6" t="s">
        <v>90</v>
      </c>
      <c r="D2830" s="6" t="s">
        <v>119</v>
      </c>
      <c r="E2830" s="6" t="s">
        <v>120</v>
      </c>
      <c r="F2830" s="7">
        <v>7</v>
      </c>
      <c r="G2830" s="7">
        <v>875</v>
      </c>
      <c r="H2830" s="16">
        <v>45280</v>
      </c>
      <c r="I2830" s="6">
        <v>51</v>
      </c>
      <c r="J2830" s="6" t="s">
        <v>121</v>
      </c>
      <c r="K2830" s="6" t="s">
        <v>139</v>
      </c>
      <c r="L2830" s="11">
        <f>F2830*Controls!$B$6</f>
        <v>7</v>
      </c>
      <c r="M2830" s="11">
        <f>G2830*Controls!$B$6</f>
        <v>875</v>
      </c>
      <c r="N2830" s="12">
        <f>IF(L2830=0,0,SUMIFS('PSI Plan'!$N$6:$N$173,'PSI Plan'!$B$6:$B$173,B2830,'PSI Plan'!$C$6:$C$173,I2830))</f>
        <v>0</v>
      </c>
      <c r="O2830" s="11">
        <f t="shared" si="88"/>
        <v>0</v>
      </c>
      <c r="P2830" s="11">
        <f t="shared" si="89"/>
        <v>0</v>
      </c>
      <c r="Q2830" s="6"/>
      <c r="R2830" s="6"/>
      <c r="S2830" s="6"/>
      <c r="T2830" s="6"/>
    </row>
    <row r="2831" spans="1:20">
      <c r="A2831" s="6" t="s">
        <v>2999</v>
      </c>
      <c r="B2831" s="6" t="s">
        <v>75</v>
      </c>
      <c r="C2831" s="6" t="s">
        <v>90</v>
      </c>
      <c r="D2831" s="6" t="s">
        <v>119</v>
      </c>
      <c r="E2831" s="6" t="s">
        <v>120</v>
      </c>
      <c r="F2831" s="7">
        <v>7</v>
      </c>
      <c r="G2831" s="7">
        <v>875</v>
      </c>
      <c r="H2831" s="16">
        <v>45223</v>
      </c>
      <c r="I2831" s="6">
        <v>43</v>
      </c>
      <c r="J2831" s="6" t="s">
        <v>121</v>
      </c>
      <c r="K2831" s="6" t="s">
        <v>139</v>
      </c>
      <c r="L2831" s="11">
        <f>F2831*Controls!$B$6</f>
        <v>7</v>
      </c>
      <c r="M2831" s="11">
        <f>G2831*Controls!$B$6</f>
        <v>875</v>
      </c>
      <c r="N2831" s="12">
        <f>IF(L2831=0,0,SUMIFS('PSI Plan'!$N$6:$N$173,'PSI Plan'!$B$6:$B$173,B2831,'PSI Plan'!$C$6:$C$173,I2831))</f>
        <v>0</v>
      </c>
      <c r="O2831" s="11">
        <f t="shared" si="88"/>
        <v>0</v>
      </c>
      <c r="P2831" s="11">
        <f t="shared" si="89"/>
        <v>0</v>
      </c>
      <c r="Q2831" s="6"/>
      <c r="R2831" s="6"/>
      <c r="S2831" s="6"/>
      <c r="T2831" s="6"/>
    </row>
    <row r="2832" spans="1:20">
      <c r="A2832" s="6" t="s">
        <v>3000</v>
      </c>
      <c r="B2832" s="6" t="s">
        <v>70</v>
      </c>
      <c r="C2832" s="6" t="s">
        <v>90</v>
      </c>
      <c r="D2832" s="6" t="s">
        <v>119</v>
      </c>
      <c r="E2832" s="6" t="s">
        <v>120</v>
      </c>
      <c r="F2832" s="7">
        <v>7</v>
      </c>
      <c r="G2832" s="7">
        <v>875</v>
      </c>
      <c r="H2832" s="16">
        <v>45201</v>
      </c>
      <c r="I2832" s="6">
        <v>40</v>
      </c>
      <c r="J2832" s="6" t="s">
        <v>121</v>
      </c>
      <c r="K2832" s="6" t="s">
        <v>139</v>
      </c>
      <c r="L2832" s="11">
        <f>F2832*Controls!$B$6</f>
        <v>7</v>
      </c>
      <c r="M2832" s="11">
        <f>G2832*Controls!$B$6</f>
        <v>875</v>
      </c>
      <c r="N2832" s="12">
        <f>IF(L2832=0,0,SUMIFS('PSI Plan'!$N$6:$N$173,'PSI Plan'!$B$6:$B$173,B2832,'PSI Plan'!$C$6:$C$173,I2832))</f>
        <v>0</v>
      </c>
      <c r="O2832" s="11">
        <f t="shared" si="88"/>
        <v>0</v>
      </c>
      <c r="P2832" s="11">
        <f t="shared" si="89"/>
        <v>0</v>
      </c>
      <c r="Q2832" s="6"/>
      <c r="R2832" s="6"/>
      <c r="S2832" s="6"/>
      <c r="T2832" s="6"/>
    </row>
    <row r="2833" spans="1:20">
      <c r="A2833" s="6" t="s">
        <v>3001</v>
      </c>
      <c r="B2833" s="6" t="s">
        <v>68</v>
      </c>
      <c r="C2833" s="6" t="s">
        <v>90</v>
      </c>
      <c r="D2833" s="6" t="s">
        <v>119</v>
      </c>
      <c r="E2833" s="6" t="s">
        <v>120</v>
      </c>
      <c r="F2833" s="7">
        <v>7</v>
      </c>
      <c r="G2833" s="7">
        <v>875</v>
      </c>
      <c r="H2833" s="16">
        <v>45222</v>
      </c>
      <c r="I2833" s="6">
        <v>43</v>
      </c>
      <c r="J2833" s="6" t="s">
        <v>121</v>
      </c>
      <c r="K2833" s="6" t="s">
        <v>139</v>
      </c>
      <c r="L2833" s="11">
        <f>F2833*Controls!$B$6</f>
        <v>7</v>
      </c>
      <c r="M2833" s="11">
        <f>G2833*Controls!$B$6</f>
        <v>875</v>
      </c>
      <c r="N2833" s="12">
        <f>IF(L2833=0,0,SUMIFS('PSI Plan'!$N$6:$N$173,'PSI Plan'!$B$6:$B$173,B2833,'PSI Plan'!$C$6:$C$173,I2833))</f>
        <v>0</v>
      </c>
      <c r="O2833" s="11">
        <f t="shared" si="88"/>
        <v>0</v>
      </c>
      <c r="P2833" s="11">
        <f t="shared" si="89"/>
        <v>0</v>
      </c>
      <c r="Q2833" s="6"/>
      <c r="R2833" s="6"/>
      <c r="S2833" s="6"/>
      <c r="T2833" s="6"/>
    </row>
    <row r="2834" spans="1:20">
      <c r="A2834" s="6" t="s">
        <v>3002</v>
      </c>
      <c r="B2834" s="6" t="s">
        <v>73</v>
      </c>
      <c r="C2834" s="6" t="s">
        <v>99</v>
      </c>
      <c r="D2834" s="6" t="s">
        <v>319</v>
      </c>
      <c r="E2834" s="6" t="s">
        <v>120</v>
      </c>
      <c r="F2834" s="7">
        <v>15</v>
      </c>
      <c r="G2834" s="7">
        <v>1875</v>
      </c>
      <c r="H2834" s="16">
        <v>45275</v>
      </c>
      <c r="I2834" s="6">
        <v>50</v>
      </c>
      <c r="J2834" s="6" t="s">
        <v>121</v>
      </c>
      <c r="K2834" s="6" t="s">
        <v>374</v>
      </c>
      <c r="L2834" s="11">
        <f>F2834*Controls!$B$6</f>
        <v>15</v>
      </c>
      <c r="M2834" s="11">
        <f>G2834*Controls!$B$6</f>
        <v>1875</v>
      </c>
      <c r="N2834" s="12">
        <f>IF(L2834=0,0,SUMIFS('PSI Plan'!$N$6:$N$173,'PSI Plan'!$B$6:$B$173,B2834,'PSI Plan'!$C$6:$C$173,I2834))</f>
        <v>0</v>
      </c>
      <c r="O2834" s="11">
        <f t="shared" si="88"/>
        <v>0</v>
      </c>
      <c r="P2834" s="11">
        <f t="shared" si="89"/>
        <v>0</v>
      </c>
      <c r="Q2834" s="6"/>
      <c r="R2834" s="6"/>
      <c r="S2834" s="6"/>
      <c r="T2834" s="6"/>
    </row>
    <row r="2835" spans="1:20">
      <c r="A2835" s="6" t="s">
        <v>3003</v>
      </c>
      <c r="B2835" s="6" t="s">
        <v>75</v>
      </c>
      <c r="C2835" s="6" t="s">
        <v>99</v>
      </c>
      <c r="D2835" s="6" t="s">
        <v>319</v>
      </c>
      <c r="E2835" s="6" t="s">
        <v>120</v>
      </c>
      <c r="F2835" s="7">
        <v>5</v>
      </c>
      <c r="G2835" s="7">
        <v>625</v>
      </c>
      <c r="H2835" s="16">
        <v>45223</v>
      </c>
      <c r="I2835" s="6">
        <v>43</v>
      </c>
      <c r="J2835" s="6" t="s">
        <v>121</v>
      </c>
      <c r="K2835" s="6" t="s">
        <v>374</v>
      </c>
      <c r="L2835" s="11">
        <f>F2835*Controls!$B$6</f>
        <v>5</v>
      </c>
      <c r="M2835" s="11">
        <f>G2835*Controls!$B$6</f>
        <v>625</v>
      </c>
      <c r="N2835" s="12">
        <f>IF(L2835=0,0,SUMIFS('PSI Plan'!$N$6:$N$173,'PSI Plan'!$B$6:$B$173,B2835,'PSI Plan'!$C$6:$C$173,I2835))</f>
        <v>0</v>
      </c>
      <c r="O2835" s="11">
        <f t="shared" si="88"/>
        <v>0</v>
      </c>
      <c r="P2835" s="11">
        <f t="shared" si="89"/>
        <v>0</v>
      </c>
      <c r="Q2835" s="6"/>
      <c r="R2835" s="6"/>
      <c r="S2835" s="6"/>
      <c r="T2835" s="6"/>
    </row>
    <row r="2836" spans="1:20">
      <c r="A2836" s="6" t="s">
        <v>3004</v>
      </c>
      <c r="B2836" s="6" t="s">
        <v>68</v>
      </c>
      <c r="C2836" s="6" t="s">
        <v>99</v>
      </c>
      <c r="D2836" s="6" t="s">
        <v>319</v>
      </c>
      <c r="E2836" s="6" t="s">
        <v>120</v>
      </c>
      <c r="F2836" s="7">
        <v>8</v>
      </c>
      <c r="G2836" s="7">
        <v>1000</v>
      </c>
      <c r="H2836" s="16">
        <v>45260</v>
      </c>
      <c r="I2836" s="6">
        <v>48</v>
      </c>
      <c r="J2836" s="6" t="s">
        <v>121</v>
      </c>
      <c r="K2836" s="6" t="s">
        <v>374</v>
      </c>
      <c r="L2836" s="11">
        <f>F2836*Controls!$B$6</f>
        <v>8</v>
      </c>
      <c r="M2836" s="11">
        <f>G2836*Controls!$B$6</f>
        <v>1000</v>
      </c>
      <c r="N2836" s="12">
        <f>IF(L2836=0,0,SUMIFS('PSI Plan'!$N$6:$N$173,'PSI Plan'!$B$6:$B$173,B2836,'PSI Plan'!$C$6:$C$173,I2836))</f>
        <v>0</v>
      </c>
      <c r="O2836" s="11">
        <f t="shared" si="88"/>
        <v>0</v>
      </c>
      <c r="P2836" s="11">
        <f t="shared" si="89"/>
        <v>0</v>
      </c>
      <c r="Q2836" s="6"/>
      <c r="R2836" s="6"/>
      <c r="S2836" s="6"/>
      <c r="T2836" s="6"/>
    </row>
    <row r="2837" spans="1:20">
      <c r="A2837" s="6" t="s">
        <v>3005</v>
      </c>
      <c r="B2837" s="6" t="s">
        <v>73</v>
      </c>
      <c r="C2837" s="6" t="s">
        <v>90</v>
      </c>
      <c r="D2837" s="6" t="s">
        <v>119</v>
      </c>
      <c r="E2837" s="6" t="s">
        <v>120</v>
      </c>
      <c r="F2837" s="7">
        <v>26</v>
      </c>
      <c r="G2837" s="7">
        <v>3250</v>
      </c>
      <c r="H2837" s="16">
        <v>45206</v>
      </c>
      <c r="I2837" s="6">
        <v>40</v>
      </c>
      <c r="J2837" s="6" t="s">
        <v>121</v>
      </c>
      <c r="K2837" s="6" t="s">
        <v>1695</v>
      </c>
      <c r="L2837" s="11">
        <f>F2837*Controls!$B$6</f>
        <v>26</v>
      </c>
      <c r="M2837" s="11">
        <f>G2837*Controls!$B$6</f>
        <v>3250</v>
      </c>
      <c r="N2837" s="12">
        <f>IF(L2837=0,0,SUMIFS('PSI Plan'!$N$6:$N$173,'PSI Plan'!$B$6:$B$173,B2837,'PSI Plan'!$C$6:$C$173,I2837))</f>
        <v>0</v>
      </c>
      <c r="O2837" s="11">
        <f t="shared" si="88"/>
        <v>0</v>
      </c>
      <c r="P2837" s="11">
        <f t="shared" si="89"/>
        <v>0</v>
      </c>
      <c r="Q2837" s="6"/>
      <c r="R2837" s="6"/>
      <c r="S2837" s="6"/>
      <c r="T2837" s="6"/>
    </row>
    <row r="2838" spans="1:20">
      <c r="A2838" s="6" t="s">
        <v>3006</v>
      </c>
      <c r="B2838" s="6" t="s">
        <v>75</v>
      </c>
      <c r="C2838" s="6" t="s">
        <v>90</v>
      </c>
      <c r="D2838" s="6" t="s">
        <v>119</v>
      </c>
      <c r="E2838" s="6" t="s">
        <v>120</v>
      </c>
      <c r="F2838" s="7">
        <v>26</v>
      </c>
      <c r="G2838" s="7">
        <v>3250</v>
      </c>
      <c r="H2838" s="16">
        <v>45223</v>
      </c>
      <c r="I2838" s="6">
        <v>43</v>
      </c>
      <c r="J2838" s="6" t="s">
        <v>121</v>
      </c>
      <c r="K2838" s="6" t="s">
        <v>1695</v>
      </c>
      <c r="L2838" s="11">
        <f>F2838*Controls!$B$6</f>
        <v>26</v>
      </c>
      <c r="M2838" s="11">
        <f>G2838*Controls!$B$6</f>
        <v>3250</v>
      </c>
      <c r="N2838" s="12">
        <f>IF(L2838=0,0,SUMIFS('PSI Plan'!$N$6:$N$173,'PSI Plan'!$B$6:$B$173,B2838,'PSI Plan'!$C$6:$C$173,I2838))</f>
        <v>0</v>
      </c>
      <c r="O2838" s="11">
        <f t="shared" si="88"/>
        <v>0</v>
      </c>
      <c r="P2838" s="11">
        <f t="shared" si="89"/>
        <v>0</v>
      </c>
      <c r="Q2838" s="6"/>
      <c r="R2838" s="6"/>
      <c r="S2838" s="6"/>
      <c r="T2838" s="6"/>
    </row>
    <row r="2839" spans="1:20">
      <c r="A2839" s="6" t="s">
        <v>3007</v>
      </c>
      <c r="B2839" s="6" t="s">
        <v>70</v>
      </c>
      <c r="C2839" s="6" t="s">
        <v>90</v>
      </c>
      <c r="D2839" s="6" t="s">
        <v>119</v>
      </c>
      <c r="E2839" s="6" t="s">
        <v>120</v>
      </c>
      <c r="F2839" s="7">
        <v>26</v>
      </c>
      <c r="G2839" s="7">
        <v>3250</v>
      </c>
      <c r="H2839" s="16">
        <v>45263</v>
      </c>
      <c r="I2839" s="6">
        <v>49</v>
      </c>
      <c r="J2839" s="6" t="s">
        <v>121</v>
      </c>
      <c r="K2839" s="6" t="s">
        <v>1695</v>
      </c>
      <c r="L2839" s="11">
        <f>F2839*Controls!$B$6</f>
        <v>26</v>
      </c>
      <c r="M2839" s="11">
        <f>G2839*Controls!$B$6</f>
        <v>3250</v>
      </c>
      <c r="N2839" s="12">
        <f>IF(L2839=0,0,SUMIFS('PSI Plan'!$N$6:$N$173,'PSI Plan'!$B$6:$B$173,B2839,'PSI Plan'!$C$6:$C$173,I2839))</f>
        <v>0</v>
      </c>
      <c r="O2839" s="11">
        <f t="shared" si="88"/>
        <v>0</v>
      </c>
      <c r="P2839" s="11">
        <f t="shared" si="89"/>
        <v>0</v>
      </c>
      <c r="Q2839" s="6"/>
      <c r="R2839" s="6"/>
      <c r="S2839" s="6"/>
      <c r="T2839" s="6"/>
    </row>
    <row r="2840" spans="1:20">
      <c r="A2840" s="6" t="s">
        <v>3008</v>
      </c>
      <c r="B2840" s="6" t="s">
        <v>68</v>
      </c>
      <c r="C2840" s="6" t="s">
        <v>90</v>
      </c>
      <c r="D2840" s="6" t="s">
        <v>119</v>
      </c>
      <c r="E2840" s="6" t="s">
        <v>120</v>
      </c>
      <c r="F2840" s="7">
        <v>26</v>
      </c>
      <c r="G2840" s="7">
        <v>3250</v>
      </c>
      <c r="H2840" s="16">
        <v>45213</v>
      </c>
      <c r="I2840" s="6">
        <v>41</v>
      </c>
      <c r="J2840" s="6" t="s">
        <v>121</v>
      </c>
      <c r="K2840" s="6" t="s">
        <v>1695</v>
      </c>
      <c r="L2840" s="11">
        <f>F2840*Controls!$B$6</f>
        <v>26</v>
      </c>
      <c r="M2840" s="11">
        <f>G2840*Controls!$B$6</f>
        <v>3250</v>
      </c>
      <c r="N2840" s="12">
        <f>IF(L2840=0,0,SUMIFS('PSI Plan'!$N$6:$N$173,'PSI Plan'!$B$6:$B$173,B2840,'PSI Plan'!$C$6:$C$173,I2840))</f>
        <v>0</v>
      </c>
      <c r="O2840" s="11">
        <f t="shared" si="88"/>
        <v>0</v>
      </c>
      <c r="P2840" s="11">
        <f t="shared" si="89"/>
        <v>0</v>
      </c>
      <c r="Q2840" s="6"/>
      <c r="R2840" s="6"/>
      <c r="S2840" s="6"/>
      <c r="T2840" s="6"/>
    </row>
    <row r="2841" spans="1:20">
      <c r="A2841" s="6" t="s">
        <v>3009</v>
      </c>
      <c r="B2841" s="6" t="s">
        <v>73</v>
      </c>
      <c r="C2841" s="6" t="s">
        <v>98</v>
      </c>
      <c r="D2841" s="6" t="s">
        <v>567</v>
      </c>
      <c r="E2841" s="6" t="s">
        <v>120</v>
      </c>
      <c r="F2841" s="7">
        <v>20</v>
      </c>
      <c r="G2841" s="7">
        <v>2500</v>
      </c>
      <c r="H2841" s="16">
        <v>45231</v>
      </c>
      <c r="I2841" s="6">
        <v>44</v>
      </c>
      <c r="J2841" s="6" t="s">
        <v>2151</v>
      </c>
      <c r="K2841" s="6" t="s">
        <v>2526</v>
      </c>
      <c r="L2841" s="11">
        <f>F2841*Controls!$B$6</f>
        <v>20</v>
      </c>
      <c r="M2841" s="11">
        <f>G2841*Controls!$B$6</f>
        <v>2500</v>
      </c>
      <c r="N2841" s="12">
        <f>IF(L2841=0,0,SUMIFS('PSI Plan'!$N$6:$N$173,'PSI Plan'!$B$6:$B$173,B2841,'PSI Plan'!$C$6:$C$173,I2841))</f>
        <v>0</v>
      </c>
      <c r="O2841" s="11">
        <f t="shared" si="88"/>
        <v>0</v>
      </c>
      <c r="P2841" s="11">
        <f t="shared" si="89"/>
        <v>0</v>
      </c>
      <c r="Q2841" s="6"/>
      <c r="R2841" s="6"/>
      <c r="S2841" s="6"/>
      <c r="T2841" s="6"/>
    </row>
    <row r="2842" spans="1:20">
      <c r="A2842" s="6" t="s">
        <v>3010</v>
      </c>
      <c r="B2842" s="6" t="s">
        <v>75</v>
      </c>
      <c r="C2842" s="6" t="s">
        <v>95</v>
      </c>
      <c r="D2842" s="6" t="s">
        <v>567</v>
      </c>
      <c r="E2842" s="6" t="s">
        <v>120</v>
      </c>
      <c r="F2842" s="7">
        <v>30</v>
      </c>
      <c r="G2842" s="7">
        <v>3750</v>
      </c>
      <c r="H2842" s="16">
        <v>45227</v>
      </c>
      <c r="I2842" s="6">
        <v>43</v>
      </c>
      <c r="J2842" s="6" t="s">
        <v>2151</v>
      </c>
      <c r="K2842" s="6" t="s">
        <v>2526</v>
      </c>
      <c r="L2842" s="11">
        <f>F2842*Controls!$B$6</f>
        <v>30</v>
      </c>
      <c r="M2842" s="11">
        <f>G2842*Controls!$B$6</f>
        <v>3750</v>
      </c>
      <c r="N2842" s="12">
        <f>IF(L2842=0,0,SUMIFS('PSI Plan'!$N$6:$N$173,'PSI Plan'!$B$6:$B$173,B2842,'PSI Plan'!$C$6:$C$173,I2842))</f>
        <v>0</v>
      </c>
      <c r="O2842" s="11">
        <f t="shared" si="88"/>
        <v>0</v>
      </c>
      <c r="P2842" s="11">
        <f t="shared" si="89"/>
        <v>0</v>
      </c>
      <c r="Q2842" s="6"/>
      <c r="R2842" s="6"/>
      <c r="S2842" s="6"/>
      <c r="T2842" s="6"/>
    </row>
    <row r="2843" spans="1:20">
      <c r="A2843" s="6" t="s">
        <v>3011</v>
      </c>
      <c r="B2843" s="6" t="s">
        <v>70</v>
      </c>
      <c r="C2843" s="6" t="s">
        <v>95</v>
      </c>
      <c r="D2843" s="6" t="s">
        <v>567</v>
      </c>
      <c r="E2843" s="6" t="s">
        <v>120</v>
      </c>
      <c r="F2843" s="7">
        <v>30</v>
      </c>
      <c r="G2843" s="7">
        <v>3750</v>
      </c>
      <c r="H2843" s="16">
        <v>45264</v>
      </c>
      <c r="I2843" s="6">
        <v>49</v>
      </c>
      <c r="J2843" s="6" t="s">
        <v>2151</v>
      </c>
      <c r="K2843" s="6" t="s">
        <v>2526</v>
      </c>
      <c r="L2843" s="11">
        <f>F2843*Controls!$B$6</f>
        <v>30</v>
      </c>
      <c r="M2843" s="11">
        <f>G2843*Controls!$B$6</f>
        <v>3750</v>
      </c>
      <c r="N2843" s="12">
        <f>IF(L2843=0,0,SUMIFS('PSI Plan'!$N$6:$N$173,'PSI Plan'!$B$6:$B$173,B2843,'PSI Plan'!$C$6:$C$173,I2843))</f>
        <v>0</v>
      </c>
      <c r="O2843" s="11">
        <f t="shared" si="88"/>
        <v>0</v>
      </c>
      <c r="P2843" s="11">
        <f t="shared" si="89"/>
        <v>0</v>
      </c>
      <c r="Q2843" s="6"/>
      <c r="R2843" s="6"/>
      <c r="S2843" s="6"/>
      <c r="T2843" s="6"/>
    </row>
    <row r="2844" spans="1:20">
      <c r="A2844" s="6" t="s">
        <v>3012</v>
      </c>
      <c r="B2844" s="6" t="s">
        <v>68</v>
      </c>
      <c r="C2844" s="6" t="s">
        <v>95</v>
      </c>
      <c r="D2844" s="6" t="s">
        <v>567</v>
      </c>
      <c r="E2844" s="6" t="s">
        <v>120</v>
      </c>
      <c r="F2844" s="7">
        <v>30</v>
      </c>
      <c r="G2844" s="7">
        <v>3750</v>
      </c>
      <c r="H2844" s="16">
        <v>45245</v>
      </c>
      <c r="I2844" s="6">
        <v>46</v>
      </c>
      <c r="J2844" s="6" t="s">
        <v>2151</v>
      </c>
      <c r="K2844" s="6" t="s">
        <v>2526</v>
      </c>
      <c r="L2844" s="11">
        <f>F2844*Controls!$B$6</f>
        <v>30</v>
      </c>
      <c r="M2844" s="11">
        <f>G2844*Controls!$B$6</f>
        <v>3750</v>
      </c>
      <c r="N2844" s="12">
        <f>IF(L2844=0,0,SUMIFS('PSI Plan'!$N$6:$N$173,'PSI Plan'!$B$6:$B$173,B2844,'PSI Plan'!$C$6:$C$173,I2844))</f>
        <v>0</v>
      </c>
      <c r="O2844" s="11">
        <f t="shared" si="88"/>
        <v>0</v>
      </c>
      <c r="P2844" s="11">
        <f t="shared" si="89"/>
        <v>0</v>
      </c>
      <c r="Q2844" s="6"/>
      <c r="R2844" s="6"/>
      <c r="S2844" s="6"/>
      <c r="T2844" s="6"/>
    </row>
    <row r="2845" spans="1:20">
      <c r="A2845" s="6" t="s">
        <v>3013</v>
      </c>
      <c r="B2845" s="6" t="s">
        <v>73</v>
      </c>
      <c r="C2845" s="6" t="s">
        <v>95</v>
      </c>
      <c r="D2845" s="6" t="s">
        <v>567</v>
      </c>
      <c r="E2845" s="6" t="s">
        <v>120</v>
      </c>
      <c r="F2845" s="7">
        <v>20</v>
      </c>
      <c r="G2845" s="7">
        <v>2500</v>
      </c>
      <c r="H2845" s="16">
        <v>45218</v>
      </c>
      <c r="I2845" s="6">
        <v>42</v>
      </c>
      <c r="J2845" s="6" t="s">
        <v>121</v>
      </c>
      <c r="K2845" s="6" t="s">
        <v>1777</v>
      </c>
      <c r="L2845" s="11">
        <f>F2845*Controls!$B$6</f>
        <v>20</v>
      </c>
      <c r="M2845" s="11">
        <f>G2845*Controls!$B$6</f>
        <v>2500</v>
      </c>
      <c r="N2845" s="12">
        <f>IF(L2845=0,0,SUMIFS('PSI Plan'!$N$6:$N$173,'PSI Plan'!$B$6:$B$173,B2845,'PSI Plan'!$C$6:$C$173,I2845))</f>
        <v>0</v>
      </c>
      <c r="O2845" s="11">
        <f t="shared" si="88"/>
        <v>0</v>
      </c>
      <c r="P2845" s="11">
        <f t="shared" si="89"/>
        <v>0</v>
      </c>
      <c r="Q2845" s="6"/>
      <c r="R2845" s="6"/>
      <c r="S2845" s="6"/>
      <c r="T2845" s="6"/>
    </row>
    <row r="2846" spans="1:20">
      <c r="A2846" s="6" t="s">
        <v>3014</v>
      </c>
      <c r="B2846" s="6" t="s">
        <v>75</v>
      </c>
      <c r="C2846" s="6" t="s">
        <v>95</v>
      </c>
      <c r="D2846" s="6" t="s">
        <v>567</v>
      </c>
      <c r="E2846" s="6" t="s">
        <v>120</v>
      </c>
      <c r="F2846" s="7">
        <v>20</v>
      </c>
      <c r="G2846" s="7">
        <v>2500</v>
      </c>
      <c r="H2846" s="16">
        <v>45288</v>
      </c>
      <c r="I2846" s="6">
        <v>52</v>
      </c>
      <c r="J2846" s="6" t="s">
        <v>121</v>
      </c>
      <c r="K2846" s="6" t="s">
        <v>1777</v>
      </c>
      <c r="L2846" s="11">
        <f>F2846*Controls!$B$6</f>
        <v>20</v>
      </c>
      <c r="M2846" s="11">
        <f>G2846*Controls!$B$6</f>
        <v>2500</v>
      </c>
      <c r="N2846" s="12">
        <f>IF(L2846=0,0,SUMIFS('PSI Plan'!$N$6:$N$173,'PSI Plan'!$B$6:$B$173,B2846,'PSI Plan'!$C$6:$C$173,I2846))</f>
        <v>0</v>
      </c>
      <c r="O2846" s="11">
        <f t="shared" si="88"/>
        <v>0</v>
      </c>
      <c r="P2846" s="11">
        <f t="shared" si="89"/>
        <v>0</v>
      </c>
      <c r="Q2846" s="6"/>
      <c r="R2846" s="6"/>
      <c r="S2846" s="6"/>
      <c r="T2846" s="6"/>
    </row>
    <row r="2847" spans="1:20">
      <c r="A2847" s="6" t="s">
        <v>3015</v>
      </c>
      <c r="B2847" s="6" t="s">
        <v>70</v>
      </c>
      <c r="C2847" s="6" t="s">
        <v>95</v>
      </c>
      <c r="D2847" s="6" t="s">
        <v>567</v>
      </c>
      <c r="E2847" s="6" t="s">
        <v>120</v>
      </c>
      <c r="F2847" s="7">
        <v>35</v>
      </c>
      <c r="G2847" s="7">
        <v>4375</v>
      </c>
      <c r="H2847" s="16">
        <v>45209</v>
      </c>
      <c r="I2847" s="6">
        <v>41</v>
      </c>
      <c r="J2847" s="6" t="s">
        <v>121</v>
      </c>
      <c r="K2847" s="6" t="s">
        <v>1777</v>
      </c>
      <c r="L2847" s="11">
        <f>F2847*Controls!$B$6</f>
        <v>35</v>
      </c>
      <c r="M2847" s="11">
        <f>G2847*Controls!$B$6</f>
        <v>4375</v>
      </c>
      <c r="N2847" s="12">
        <f>IF(L2847=0,0,SUMIFS('PSI Plan'!$N$6:$N$173,'PSI Plan'!$B$6:$B$173,B2847,'PSI Plan'!$C$6:$C$173,I2847))</f>
        <v>0</v>
      </c>
      <c r="O2847" s="11">
        <f t="shared" si="88"/>
        <v>0</v>
      </c>
      <c r="P2847" s="11">
        <f t="shared" si="89"/>
        <v>0</v>
      </c>
      <c r="Q2847" s="6"/>
      <c r="R2847" s="6"/>
      <c r="S2847" s="6"/>
      <c r="T2847" s="6"/>
    </row>
    <row r="2848" spans="1:20">
      <c r="A2848" s="6" t="s">
        <v>3016</v>
      </c>
      <c r="B2848" s="6" t="s">
        <v>75</v>
      </c>
      <c r="C2848" s="6" t="s">
        <v>90</v>
      </c>
      <c r="D2848" s="6" t="s">
        <v>119</v>
      </c>
      <c r="E2848" s="6" t="s">
        <v>120</v>
      </c>
      <c r="F2848" s="7">
        <v>26</v>
      </c>
      <c r="G2848" s="7">
        <v>3250</v>
      </c>
      <c r="H2848" s="16">
        <v>45208</v>
      </c>
      <c r="I2848" s="6">
        <v>41</v>
      </c>
      <c r="J2848" s="6" t="s">
        <v>121</v>
      </c>
      <c r="K2848" s="6" t="s">
        <v>725</v>
      </c>
      <c r="L2848" s="11">
        <f>F2848*Controls!$B$6</f>
        <v>26</v>
      </c>
      <c r="M2848" s="11">
        <f>G2848*Controls!$B$6</f>
        <v>3250</v>
      </c>
      <c r="N2848" s="12">
        <f>IF(L2848=0,0,SUMIFS('PSI Plan'!$N$6:$N$173,'PSI Plan'!$B$6:$B$173,B2848,'PSI Plan'!$C$6:$C$173,I2848))</f>
        <v>0</v>
      </c>
      <c r="O2848" s="11">
        <f t="shared" si="88"/>
        <v>0</v>
      </c>
      <c r="P2848" s="11">
        <f t="shared" si="89"/>
        <v>0</v>
      </c>
      <c r="Q2848" s="6"/>
      <c r="R2848" s="6"/>
      <c r="S2848" s="6"/>
      <c r="T2848" s="6"/>
    </row>
    <row r="2849" spans="1:20">
      <c r="A2849" s="6" t="s">
        <v>3017</v>
      </c>
      <c r="B2849" s="6" t="s">
        <v>68</v>
      </c>
      <c r="C2849" s="6" t="s">
        <v>90</v>
      </c>
      <c r="D2849" s="6" t="s">
        <v>119</v>
      </c>
      <c r="E2849" s="6" t="s">
        <v>120</v>
      </c>
      <c r="F2849" s="7">
        <v>26</v>
      </c>
      <c r="G2849" s="7">
        <v>3250</v>
      </c>
      <c r="H2849" s="16">
        <v>45250</v>
      </c>
      <c r="I2849" s="6">
        <v>47</v>
      </c>
      <c r="J2849" s="6" t="s">
        <v>121</v>
      </c>
      <c r="K2849" s="6" t="s">
        <v>725</v>
      </c>
      <c r="L2849" s="11">
        <f>F2849*Controls!$B$6</f>
        <v>26</v>
      </c>
      <c r="M2849" s="11">
        <f>G2849*Controls!$B$6</f>
        <v>3250</v>
      </c>
      <c r="N2849" s="12">
        <f>IF(L2849=0,0,SUMIFS('PSI Plan'!$N$6:$N$173,'PSI Plan'!$B$6:$B$173,B2849,'PSI Plan'!$C$6:$C$173,I2849))</f>
        <v>0</v>
      </c>
      <c r="O2849" s="11">
        <f t="shared" si="88"/>
        <v>0</v>
      </c>
      <c r="P2849" s="11">
        <f t="shared" si="89"/>
        <v>0</v>
      </c>
      <c r="Q2849" s="6"/>
      <c r="R2849" s="6"/>
      <c r="S2849" s="6"/>
      <c r="T2849" s="6"/>
    </row>
    <row r="2850" spans="1:20">
      <c r="A2850" s="6" t="s">
        <v>3018</v>
      </c>
      <c r="B2850" s="6" t="s">
        <v>73</v>
      </c>
      <c r="C2850" s="6" t="s">
        <v>90</v>
      </c>
      <c r="D2850" s="6" t="s">
        <v>119</v>
      </c>
      <c r="E2850" s="6" t="s">
        <v>120</v>
      </c>
      <c r="F2850" s="7">
        <v>7</v>
      </c>
      <c r="G2850" s="7">
        <v>875</v>
      </c>
      <c r="H2850" s="16">
        <v>45224</v>
      </c>
      <c r="I2850" s="6">
        <v>43</v>
      </c>
      <c r="J2850" s="6" t="s">
        <v>121</v>
      </c>
      <c r="K2850" s="6" t="s">
        <v>122</v>
      </c>
      <c r="L2850" s="11">
        <f>F2850*Controls!$B$6</f>
        <v>7</v>
      </c>
      <c r="M2850" s="11">
        <f>G2850*Controls!$B$6</f>
        <v>875</v>
      </c>
      <c r="N2850" s="12">
        <f>IF(L2850=0,0,SUMIFS('PSI Plan'!$N$6:$N$173,'PSI Plan'!$B$6:$B$173,B2850,'PSI Plan'!$C$6:$C$173,I2850))</f>
        <v>0</v>
      </c>
      <c r="O2850" s="11">
        <f t="shared" si="88"/>
        <v>0</v>
      </c>
      <c r="P2850" s="11">
        <f t="shared" si="89"/>
        <v>0</v>
      </c>
      <c r="Q2850" s="6"/>
      <c r="R2850" s="6"/>
      <c r="S2850" s="6"/>
      <c r="T2850" s="6"/>
    </row>
    <row r="2851" spans="1:20">
      <c r="A2851" s="6" t="s">
        <v>3019</v>
      </c>
      <c r="B2851" s="6" t="s">
        <v>75</v>
      </c>
      <c r="C2851" s="6" t="s">
        <v>90</v>
      </c>
      <c r="D2851" s="6" t="s">
        <v>119</v>
      </c>
      <c r="E2851" s="6" t="s">
        <v>120</v>
      </c>
      <c r="F2851" s="7">
        <v>44</v>
      </c>
      <c r="G2851" s="7">
        <v>5500</v>
      </c>
      <c r="H2851" s="16">
        <v>45245</v>
      </c>
      <c r="I2851" s="6">
        <v>46</v>
      </c>
      <c r="J2851" s="6" t="s">
        <v>121</v>
      </c>
      <c r="K2851" s="6" t="s">
        <v>122</v>
      </c>
      <c r="L2851" s="11">
        <f>F2851*Controls!$B$6</f>
        <v>44</v>
      </c>
      <c r="M2851" s="11">
        <f>G2851*Controls!$B$6</f>
        <v>5500</v>
      </c>
      <c r="N2851" s="12">
        <f>IF(L2851=0,0,SUMIFS('PSI Plan'!$N$6:$N$173,'PSI Plan'!$B$6:$B$173,B2851,'PSI Plan'!$C$6:$C$173,I2851))</f>
        <v>0</v>
      </c>
      <c r="O2851" s="11">
        <f t="shared" si="88"/>
        <v>0</v>
      </c>
      <c r="P2851" s="11">
        <f t="shared" si="89"/>
        <v>0</v>
      </c>
      <c r="Q2851" s="6"/>
      <c r="R2851" s="6"/>
      <c r="S2851" s="6"/>
      <c r="T2851" s="6"/>
    </row>
    <row r="2852" spans="1:20">
      <c r="A2852" s="6" t="s">
        <v>3020</v>
      </c>
      <c r="B2852" s="6" t="s">
        <v>68</v>
      </c>
      <c r="C2852" s="6" t="s">
        <v>90</v>
      </c>
      <c r="D2852" s="6" t="s">
        <v>119</v>
      </c>
      <c r="E2852" s="6" t="s">
        <v>120</v>
      </c>
      <c r="F2852" s="7">
        <v>27</v>
      </c>
      <c r="G2852" s="7">
        <v>3375</v>
      </c>
      <c r="H2852" s="16">
        <v>45282</v>
      </c>
      <c r="I2852" s="6">
        <v>51</v>
      </c>
      <c r="J2852" s="6" t="s">
        <v>121</v>
      </c>
      <c r="K2852" s="6" t="s">
        <v>122</v>
      </c>
      <c r="L2852" s="11">
        <f>F2852*Controls!$B$6</f>
        <v>27</v>
      </c>
      <c r="M2852" s="11">
        <f>G2852*Controls!$B$6</f>
        <v>3375</v>
      </c>
      <c r="N2852" s="12">
        <f>IF(L2852=0,0,SUMIFS('PSI Plan'!$N$6:$N$173,'PSI Plan'!$B$6:$B$173,B2852,'PSI Plan'!$C$6:$C$173,I2852))</f>
        <v>0</v>
      </c>
      <c r="O2852" s="11">
        <f t="shared" si="88"/>
        <v>0</v>
      </c>
      <c r="P2852" s="11">
        <f t="shared" si="89"/>
        <v>0</v>
      </c>
      <c r="Q2852" s="6"/>
      <c r="R2852" s="6"/>
      <c r="S2852" s="6"/>
      <c r="T2852" s="6"/>
    </row>
    <row r="2853" spans="1:20">
      <c r="A2853" s="6" t="s">
        <v>3021</v>
      </c>
      <c r="B2853" s="6" t="s">
        <v>73</v>
      </c>
      <c r="C2853" s="6" t="s">
        <v>90</v>
      </c>
      <c r="D2853" s="6" t="s">
        <v>119</v>
      </c>
      <c r="E2853" s="6" t="s">
        <v>120</v>
      </c>
      <c r="F2853" s="7">
        <v>20</v>
      </c>
      <c r="G2853" s="7">
        <v>2500</v>
      </c>
      <c r="H2853" s="16">
        <v>45204</v>
      </c>
      <c r="I2853" s="6">
        <v>40</v>
      </c>
      <c r="J2853" s="6" t="s">
        <v>121</v>
      </c>
      <c r="K2853" s="6" t="s">
        <v>122</v>
      </c>
      <c r="L2853" s="11">
        <f>F2853*Controls!$B$6</f>
        <v>20</v>
      </c>
      <c r="M2853" s="11">
        <f>G2853*Controls!$B$6</f>
        <v>2500</v>
      </c>
      <c r="N2853" s="12">
        <f>IF(L2853=0,0,SUMIFS('PSI Plan'!$N$6:$N$173,'PSI Plan'!$B$6:$B$173,B2853,'PSI Plan'!$C$6:$C$173,I2853))</f>
        <v>0</v>
      </c>
      <c r="O2853" s="11">
        <f t="shared" si="88"/>
        <v>0</v>
      </c>
      <c r="P2853" s="11">
        <f t="shared" si="89"/>
        <v>0</v>
      </c>
      <c r="Q2853" s="6"/>
      <c r="R2853" s="6"/>
      <c r="S2853" s="6"/>
      <c r="T2853" s="6"/>
    </row>
    <row r="2854" spans="1:20">
      <c r="A2854" s="6" t="s">
        <v>3022</v>
      </c>
      <c r="B2854" s="6" t="s">
        <v>68</v>
      </c>
      <c r="C2854" s="6" t="s">
        <v>90</v>
      </c>
      <c r="D2854" s="6" t="s">
        <v>119</v>
      </c>
      <c r="E2854" s="6" t="s">
        <v>120</v>
      </c>
      <c r="F2854" s="7">
        <v>13</v>
      </c>
      <c r="G2854" s="7">
        <v>1625</v>
      </c>
      <c r="H2854" s="16">
        <v>45285</v>
      </c>
      <c r="I2854" s="6">
        <v>52</v>
      </c>
      <c r="J2854" s="6" t="s">
        <v>121</v>
      </c>
      <c r="K2854" s="6" t="s">
        <v>122</v>
      </c>
      <c r="L2854" s="11">
        <f>F2854*Controls!$B$6</f>
        <v>13</v>
      </c>
      <c r="M2854" s="11">
        <f>G2854*Controls!$B$6</f>
        <v>1625</v>
      </c>
      <c r="N2854" s="12">
        <f>IF(L2854=0,0,SUMIFS('PSI Plan'!$N$6:$N$173,'PSI Plan'!$B$6:$B$173,B2854,'PSI Plan'!$C$6:$C$173,I2854))</f>
        <v>0</v>
      </c>
      <c r="O2854" s="11">
        <f t="shared" si="88"/>
        <v>0</v>
      </c>
      <c r="P2854" s="11">
        <f t="shared" si="89"/>
        <v>0</v>
      </c>
      <c r="Q2854" s="6"/>
      <c r="R2854" s="6"/>
      <c r="S2854" s="6"/>
      <c r="T2854" s="6"/>
    </row>
    <row r="2855" spans="1:20">
      <c r="A2855" s="6" t="s">
        <v>3023</v>
      </c>
      <c r="B2855" s="6" t="s">
        <v>70</v>
      </c>
      <c r="C2855" s="6" t="s">
        <v>90</v>
      </c>
      <c r="D2855" s="6" t="s">
        <v>119</v>
      </c>
      <c r="E2855" s="6" t="s">
        <v>120</v>
      </c>
      <c r="F2855" s="7">
        <v>11</v>
      </c>
      <c r="G2855" s="7">
        <v>1375</v>
      </c>
      <c r="H2855" s="16">
        <v>45202</v>
      </c>
      <c r="I2855" s="6">
        <v>40</v>
      </c>
      <c r="J2855" s="6" t="s">
        <v>121</v>
      </c>
      <c r="K2855" s="6" t="s">
        <v>122</v>
      </c>
      <c r="L2855" s="11">
        <f>F2855*Controls!$B$6</f>
        <v>11</v>
      </c>
      <c r="M2855" s="11">
        <f>G2855*Controls!$B$6</f>
        <v>1375</v>
      </c>
      <c r="N2855" s="12">
        <f>IF(L2855=0,0,SUMIFS('PSI Plan'!$N$6:$N$173,'PSI Plan'!$B$6:$B$173,B2855,'PSI Plan'!$C$6:$C$173,I2855))</f>
        <v>0</v>
      </c>
      <c r="O2855" s="11">
        <f t="shared" si="88"/>
        <v>0</v>
      </c>
      <c r="P2855" s="11">
        <f t="shared" si="89"/>
        <v>0</v>
      </c>
      <c r="Q2855" s="6"/>
      <c r="R2855" s="6"/>
      <c r="S2855" s="6"/>
      <c r="T2855" s="6"/>
    </row>
    <row r="2856" spans="1:20">
      <c r="A2856" s="6" t="s">
        <v>3024</v>
      </c>
      <c r="B2856" s="6" t="s">
        <v>70</v>
      </c>
      <c r="C2856" s="6" t="s">
        <v>90</v>
      </c>
      <c r="D2856" s="6" t="s">
        <v>119</v>
      </c>
      <c r="E2856" s="6" t="s">
        <v>120</v>
      </c>
      <c r="F2856" s="7">
        <v>22</v>
      </c>
      <c r="G2856" s="7">
        <v>2750</v>
      </c>
      <c r="H2856" s="16">
        <v>45234</v>
      </c>
      <c r="I2856" s="6">
        <v>44</v>
      </c>
      <c r="J2856" s="6" t="s">
        <v>121</v>
      </c>
      <c r="K2856" s="6" t="s">
        <v>122</v>
      </c>
      <c r="L2856" s="11">
        <f>F2856*Controls!$B$6</f>
        <v>22</v>
      </c>
      <c r="M2856" s="11">
        <f>G2856*Controls!$B$6</f>
        <v>2750</v>
      </c>
      <c r="N2856" s="12">
        <f>IF(L2856=0,0,SUMIFS('PSI Plan'!$N$6:$N$173,'PSI Plan'!$B$6:$B$173,B2856,'PSI Plan'!$C$6:$C$173,I2856))</f>
        <v>0</v>
      </c>
      <c r="O2856" s="11">
        <f t="shared" si="88"/>
        <v>0</v>
      </c>
      <c r="P2856" s="11">
        <f t="shared" si="89"/>
        <v>0</v>
      </c>
      <c r="Q2856" s="6"/>
      <c r="R2856" s="6"/>
      <c r="S2856" s="6"/>
      <c r="T2856" s="6"/>
    </row>
    <row r="2857" spans="1:20">
      <c r="A2857" s="6" t="s">
        <v>3025</v>
      </c>
      <c r="B2857" s="6" t="s">
        <v>75</v>
      </c>
      <c r="C2857" s="6" t="s">
        <v>90</v>
      </c>
      <c r="D2857" s="6" t="s">
        <v>119</v>
      </c>
      <c r="E2857" s="6" t="s">
        <v>120</v>
      </c>
      <c r="F2857" s="7">
        <v>13</v>
      </c>
      <c r="G2857" s="7">
        <v>1625</v>
      </c>
      <c r="H2857" s="16">
        <v>45207</v>
      </c>
      <c r="I2857" s="6">
        <v>41</v>
      </c>
      <c r="J2857" s="6" t="s">
        <v>121</v>
      </c>
      <c r="K2857" s="6" t="s">
        <v>725</v>
      </c>
      <c r="L2857" s="11">
        <f>F2857*Controls!$B$6</f>
        <v>13</v>
      </c>
      <c r="M2857" s="11">
        <f>G2857*Controls!$B$6</f>
        <v>1625</v>
      </c>
      <c r="N2857" s="12">
        <f>IF(L2857=0,0,SUMIFS('PSI Plan'!$N$6:$N$173,'PSI Plan'!$B$6:$B$173,B2857,'PSI Plan'!$C$6:$C$173,I2857))</f>
        <v>0</v>
      </c>
      <c r="O2857" s="11">
        <f t="shared" si="88"/>
        <v>0</v>
      </c>
      <c r="P2857" s="11">
        <f t="shared" si="89"/>
        <v>0</v>
      </c>
      <c r="Q2857" s="6"/>
      <c r="R2857" s="6"/>
      <c r="S2857" s="6"/>
      <c r="T2857" s="6"/>
    </row>
    <row r="2858" spans="1:20">
      <c r="A2858" s="6" t="s">
        <v>3026</v>
      </c>
      <c r="B2858" s="6" t="s">
        <v>68</v>
      </c>
      <c r="C2858" s="6" t="s">
        <v>90</v>
      </c>
      <c r="D2858" s="6" t="s">
        <v>119</v>
      </c>
      <c r="E2858" s="6" t="s">
        <v>120</v>
      </c>
      <c r="F2858" s="7">
        <v>13</v>
      </c>
      <c r="G2858" s="7">
        <v>1625</v>
      </c>
      <c r="H2858" s="16">
        <v>45229</v>
      </c>
      <c r="I2858" s="6">
        <v>44</v>
      </c>
      <c r="J2858" s="6" t="s">
        <v>121</v>
      </c>
      <c r="K2858" s="6" t="s">
        <v>725</v>
      </c>
      <c r="L2858" s="11">
        <f>F2858*Controls!$B$6</f>
        <v>13</v>
      </c>
      <c r="M2858" s="11">
        <f>G2858*Controls!$B$6</f>
        <v>1625</v>
      </c>
      <c r="N2858" s="12">
        <f>IF(L2858=0,0,SUMIFS('PSI Plan'!$N$6:$N$173,'PSI Plan'!$B$6:$B$173,B2858,'PSI Plan'!$C$6:$C$173,I2858))</f>
        <v>0</v>
      </c>
      <c r="O2858" s="11">
        <f t="shared" si="88"/>
        <v>0</v>
      </c>
      <c r="P2858" s="11">
        <f t="shared" si="89"/>
        <v>0</v>
      </c>
      <c r="Q2858" s="6"/>
      <c r="R2858" s="6"/>
      <c r="S2858" s="6"/>
      <c r="T2858" s="6"/>
    </row>
    <row r="2859" spans="1:20">
      <c r="A2859" s="6" t="s">
        <v>3027</v>
      </c>
      <c r="B2859" s="6" t="s">
        <v>73</v>
      </c>
      <c r="C2859" s="6" t="s">
        <v>95</v>
      </c>
      <c r="D2859" s="6" t="s">
        <v>567</v>
      </c>
      <c r="E2859" s="6" t="s">
        <v>120</v>
      </c>
      <c r="F2859" s="7">
        <v>5</v>
      </c>
      <c r="G2859" s="7">
        <v>625</v>
      </c>
      <c r="H2859" s="16">
        <v>45274</v>
      </c>
      <c r="I2859" s="6">
        <v>50</v>
      </c>
      <c r="J2859" s="6" t="s">
        <v>2151</v>
      </c>
      <c r="K2859" s="6" t="s">
        <v>2526</v>
      </c>
      <c r="L2859" s="11">
        <f>F2859*Controls!$B$6</f>
        <v>5</v>
      </c>
      <c r="M2859" s="11">
        <f>G2859*Controls!$B$6</f>
        <v>625</v>
      </c>
      <c r="N2859" s="12">
        <f>IF(L2859=0,0,SUMIFS('PSI Plan'!$N$6:$N$173,'PSI Plan'!$B$6:$B$173,B2859,'PSI Plan'!$C$6:$C$173,I2859))</f>
        <v>0</v>
      </c>
      <c r="O2859" s="11">
        <f t="shared" si="88"/>
        <v>0</v>
      </c>
      <c r="P2859" s="11">
        <f t="shared" si="89"/>
        <v>0</v>
      </c>
      <c r="Q2859" s="6"/>
      <c r="R2859" s="6"/>
      <c r="S2859" s="6"/>
      <c r="T2859" s="6"/>
    </row>
    <row r="2860" spans="1:20">
      <c r="A2860" s="6" t="s">
        <v>3028</v>
      </c>
      <c r="B2860" s="6" t="s">
        <v>70</v>
      </c>
      <c r="C2860" s="6" t="s">
        <v>95</v>
      </c>
      <c r="D2860" s="6" t="s">
        <v>567</v>
      </c>
      <c r="E2860" s="6" t="s">
        <v>120</v>
      </c>
      <c r="F2860" s="7">
        <v>20</v>
      </c>
      <c r="G2860" s="7">
        <v>2500</v>
      </c>
      <c r="H2860" s="16">
        <v>45227</v>
      </c>
      <c r="I2860" s="6">
        <v>43</v>
      </c>
      <c r="J2860" s="6" t="s">
        <v>2151</v>
      </c>
      <c r="K2860" s="6" t="s">
        <v>2526</v>
      </c>
      <c r="L2860" s="11">
        <f>F2860*Controls!$B$6</f>
        <v>20</v>
      </c>
      <c r="M2860" s="11">
        <f>G2860*Controls!$B$6</f>
        <v>2500</v>
      </c>
      <c r="N2860" s="12">
        <f>IF(L2860=0,0,SUMIFS('PSI Plan'!$N$6:$N$173,'PSI Plan'!$B$6:$B$173,B2860,'PSI Plan'!$C$6:$C$173,I2860))</f>
        <v>0</v>
      </c>
      <c r="O2860" s="11">
        <f t="shared" si="88"/>
        <v>0</v>
      </c>
      <c r="P2860" s="11">
        <f t="shared" si="89"/>
        <v>0</v>
      </c>
      <c r="Q2860" s="6"/>
      <c r="R2860" s="6"/>
      <c r="S2860" s="6"/>
      <c r="T2860" s="6"/>
    </row>
    <row r="2861" spans="1:20">
      <c r="A2861" s="6" t="s">
        <v>3029</v>
      </c>
      <c r="B2861" s="6" t="s">
        <v>75</v>
      </c>
      <c r="C2861" s="6" t="s">
        <v>95</v>
      </c>
      <c r="D2861" s="6" t="s">
        <v>567</v>
      </c>
      <c r="E2861" s="6" t="s">
        <v>120</v>
      </c>
      <c r="F2861" s="7">
        <v>25</v>
      </c>
      <c r="G2861" s="7">
        <v>3125</v>
      </c>
      <c r="H2861" s="16">
        <v>45279</v>
      </c>
      <c r="I2861" s="6">
        <v>51</v>
      </c>
      <c r="J2861" s="6" t="s">
        <v>2151</v>
      </c>
      <c r="K2861" s="6" t="s">
        <v>2526</v>
      </c>
      <c r="L2861" s="11">
        <f>F2861*Controls!$B$6</f>
        <v>25</v>
      </c>
      <c r="M2861" s="11">
        <f>G2861*Controls!$B$6</f>
        <v>3125</v>
      </c>
      <c r="N2861" s="12">
        <f>IF(L2861=0,0,SUMIFS('PSI Plan'!$N$6:$N$173,'PSI Plan'!$B$6:$B$173,B2861,'PSI Plan'!$C$6:$C$173,I2861))</f>
        <v>0</v>
      </c>
      <c r="O2861" s="11">
        <f t="shared" si="88"/>
        <v>0</v>
      </c>
      <c r="P2861" s="11">
        <f t="shared" si="89"/>
        <v>0</v>
      </c>
      <c r="Q2861" s="6"/>
      <c r="R2861" s="6"/>
      <c r="S2861" s="6"/>
      <c r="T2861" s="6"/>
    </row>
    <row r="2862" spans="1:20">
      <c r="A2862" s="6" t="s">
        <v>3030</v>
      </c>
      <c r="B2862" s="6" t="s">
        <v>68</v>
      </c>
      <c r="C2862" s="6" t="s">
        <v>95</v>
      </c>
      <c r="D2862" s="6" t="s">
        <v>567</v>
      </c>
      <c r="E2862" s="6" t="s">
        <v>120</v>
      </c>
      <c r="F2862" s="7">
        <v>15</v>
      </c>
      <c r="G2862" s="7">
        <v>1875</v>
      </c>
      <c r="H2862" s="16">
        <v>45208</v>
      </c>
      <c r="I2862" s="6">
        <v>41</v>
      </c>
      <c r="J2862" s="6" t="s">
        <v>2151</v>
      </c>
      <c r="K2862" s="6" t="s">
        <v>2526</v>
      </c>
      <c r="L2862" s="11">
        <f>F2862*Controls!$B$6</f>
        <v>15</v>
      </c>
      <c r="M2862" s="11">
        <f>G2862*Controls!$B$6</f>
        <v>1875</v>
      </c>
      <c r="N2862" s="12">
        <f>IF(L2862=0,0,SUMIFS('PSI Plan'!$N$6:$N$173,'PSI Plan'!$B$6:$B$173,B2862,'PSI Plan'!$C$6:$C$173,I2862))</f>
        <v>0</v>
      </c>
      <c r="O2862" s="11">
        <f t="shared" si="88"/>
        <v>0</v>
      </c>
      <c r="P2862" s="11">
        <f t="shared" si="89"/>
        <v>0</v>
      </c>
      <c r="Q2862" s="6"/>
      <c r="R2862" s="6"/>
      <c r="S2862" s="6"/>
      <c r="T2862" s="6"/>
    </row>
    <row r="2863" spans="1:20">
      <c r="A2863" s="6" t="s">
        <v>3031</v>
      </c>
      <c r="B2863" s="6" t="s">
        <v>73</v>
      </c>
      <c r="C2863" s="6" t="s">
        <v>99</v>
      </c>
      <c r="D2863" s="6" t="s">
        <v>319</v>
      </c>
      <c r="E2863" s="6" t="s">
        <v>120</v>
      </c>
      <c r="F2863" s="7">
        <v>4</v>
      </c>
      <c r="G2863" s="7">
        <v>500</v>
      </c>
      <c r="H2863" s="16">
        <v>45212</v>
      </c>
      <c r="I2863" s="6">
        <v>41</v>
      </c>
      <c r="J2863" s="6" t="s">
        <v>121</v>
      </c>
      <c r="K2863" s="6" t="s">
        <v>374</v>
      </c>
      <c r="L2863" s="11">
        <f>F2863*Controls!$B$6</f>
        <v>4</v>
      </c>
      <c r="M2863" s="11">
        <f>G2863*Controls!$B$6</f>
        <v>500</v>
      </c>
      <c r="N2863" s="12">
        <f>IF(L2863=0,0,SUMIFS('PSI Plan'!$N$6:$N$173,'PSI Plan'!$B$6:$B$173,B2863,'PSI Plan'!$C$6:$C$173,I2863))</f>
        <v>0</v>
      </c>
      <c r="O2863" s="11">
        <f t="shared" si="88"/>
        <v>0</v>
      </c>
      <c r="P2863" s="11">
        <f t="shared" si="89"/>
        <v>0</v>
      </c>
      <c r="Q2863" s="6"/>
      <c r="R2863" s="6"/>
      <c r="S2863" s="6"/>
      <c r="T2863" s="6"/>
    </row>
    <row r="2864" spans="1:20">
      <c r="A2864" s="6" t="s">
        <v>3032</v>
      </c>
      <c r="B2864" s="6" t="s">
        <v>70</v>
      </c>
      <c r="C2864" s="6" t="s">
        <v>99</v>
      </c>
      <c r="D2864" s="6" t="s">
        <v>319</v>
      </c>
      <c r="E2864" s="6" t="s">
        <v>120</v>
      </c>
      <c r="F2864" s="7">
        <v>26</v>
      </c>
      <c r="G2864" s="7">
        <v>3250</v>
      </c>
      <c r="H2864" s="16">
        <v>45251</v>
      </c>
      <c r="I2864" s="6">
        <v>47</v>
      </c>
      <c r="J2864" s="6" t="s">
        <v>121</v>
      </c>
      <c r="K2864" s="6" t="s">
        <v>374</v>
      </c>
      <c r="L2864" s="11">
        <f>F2864*Controls!$B$6</f>
        <v>26</v>
      </c>
      <c r="M2864" s="11">
        <f>G2864*Controls!$B$6</f>
        <v>3250</v>
      </c>
      <c r="N2864" s="12">
        <f>IF(L2864=0,0,SUMIFS('PSI Plan'!$N$6:$N$173,'PSI Plan'!$B$6:$B$173,B2864,'PSI Plan'!$C$6:$C$173,I2864))</f>
        <v>0</v>
      </c>
      <c r="O2864" s="11">
        <f t="shared" si="88"/>
        <v>0</v>
      </c>
      <c r="P2864" s="11">
        <f t="shared" si="89"/>
        <v>0</v>
      </c>
      <c r="Q2864" s="6"/>
      <c r="R2864" s="6"/>
      <c r="S2864" s="6"/>
      <c r="T2864" s="6"/>
    </row>
    <row r="2865" spans="1:20">
      <c r="A2865" s="6" t="s">
        <v>3033</v>
      </c>
      <c r="B2865" s="6" t="s">
        <v>75</v>
      </c>
      <c r="C2865" s="6" t="s">
        <v>99</v>
      </c>
      <c r="D2865" s="6" t="s">
        <v>319</v>
      </c>
      <c r="E2865" s="6" t="s">
        <v>120</v>
      </c>
      <c r="F2865" s="7">
        <v>4</v>
      </c>
      <c r="G2865" s="7">
        <v>500</v>
      </c>
      <c r="H2865" s="16">
        <v>45200</v>
      </c>
      <c r="I2865" s="6">
        <v>40</v>
      </c>
      <c r="J2865" s="6" t="s">
        <v>121</v>
      </c>
      <c r="K2865" s="6" t="s">
        <v>374</v>
      </c>
      <c r="L2865" s="11">
        <f>F2865*Controls!$B$6</f>
        <v>4</v>
      </c>
      <c r="M2865" s="11">
        <f>G2865*Controls!$B$6</f>
        <v>500</v>
      </c>
      <c r="N2865" s="12">
        <f>IF(L2865=0,0,SUMIFS('PSI Plan'!$N$6:$N$173,'PSI Plan'!$B$6:$B$173,B2865,'PSI Plan'!$C$6:$C$173,I2865))</f>
        <v>0</v>
      </c>
      <c r="O2865" s="11">
        <f t="shared" si="88"/>
        <v>0</v>
      </c>
      <c r="P2865" s="11">
        <f t="shared" si="89"/>
        <v>0</v>
      </c>
      <c r="Q2865" s="6"/>
      <c r="R2865" s="6"/>
      <c r="S2865" s="6"/>
      <c r="T2865" s="6"/>
    </row>
    <row r="2866" spans="1:20">
      <c r="A2866" s="6" t="s">
        <v>3034</v>
      </c>
      <c r="B2866" s="6" t="s">
        <v>75</v>
      </c>
      <c r="C2866" s="6" t="s">
        <v>95</v>
      </c>
      <c r="D2866" s="6" t="s">
        <v>119</v>
      </c>
      <c r="E2866" s="6" t="s">
        <v>120</v>
      </c>
      <c r="F2866" s="7">
        <v>26</v>
      </c>
      <c r="G2866" s="7">
        <v>3250</v>
      </c>
      <c r="H2866" s="16">
        <v>45264</v>
      </c>
      <c r="I2866" s="6">
        <v>49</v>
      </c>
      <c r="J2866" s="6" t="s">
        <v>121</v>
      </c>
      <c r="K2866" s="6" t="s">
        <v>725</v>
      </c>
      <c r="L2866" s="11">
        <f>F2866*Controls!$B$6</f>
        <v>26</v>
      </c>
      <c r="M2866" s="11">
        <f>G2866*Controls!$B$6</f>
        <v>3250</v>
      </c>
      <c r="N2866" s="12">
        <f>IF(L2866=0,0,SUMIFS('PSI Plan'!$N$6:$N$173,'PSI Plan'!$B$6:$B$173,B2866,'PSI Plan'!$C$6:$C$173,I2866))</f>
        <v>0</v>
      </c>
      <c r="O2866" s="11">
        <f t="shared" si="88"/>
        <v>0</v>
      </c>
      <c r="P2866" s="11">
        <f t="shared" si="89"/>
        <v>0</v>
      </c>
      <c r="Q2866" s="6"/>
      <c r="R2866" s="6"/>
      <c r="S2866" s="6"/>
      <c r="T2866" s="6"/>
    </row>
    <row r="2867" spans="1:20">
      <c r="A2867" s="6" t="s">
        <v>3035</v>
      </c>
      <c r="B2867" s="6" t="s">
        <v>68</v>
      </c>
      <c r="C2867" s="6" t="s">
        <v>95</v>
      </c>
      <c r="D2867" s="6" t="s">
        <v>119</v>
      </c>
      <c r="E2867" s="6" t="s">
        <v>120</v>
      </c>
      <c r="F2867" s="7">
        <v>13</v>
      </c>
      <c r="G2867" s="7">
        <v>1625</v>
      </c>
      <c r="H2867" s="16">
        <v>45212</v>
      </c>
      <c r="I2867" s="6">
        <v>41</v>
      </c>
      <c r="J2867" s="6" t="s">
        <v>121</v>
      </c>
      <c r="K2867" s="6" t="s">
        <v>725</v>
      </c>
      <c r="L2867" s="11">
        <f>F2867*Controls!$B$6</f>
        <v>13</v>
      </c>
      <c r="M2867" s="11">
        <f>G2867*Controls!$B$6</f>
        <v>1625</v>
      </c>
      <c r="N2867" s="12">
        <f>IF(L2867=0,0,SUMIFS('PSI Plan'!$N$6:$N$173,'PSI Plan'!$B$6:$B$173,B2867,'PSI Plan'!$C$6:$C$173,I2867))</f>
        <v>0</v>
      </c>
      <c r="O2867" s="11">
        <f t="shared" si="88"/>
        <v>0</v>
      </c>
      <c r="P2867" s="11">
        <f t="shared" si="89"/>
        <v>0</v>
      </c>
      <c r="Q2867" s="6"/>
      <c r="R2867" s="6"/>
      <c r="S2867" s="6"/>
      <c r="T2867" s="6"/>
    </row>
    <row r="2868" spans="1:20">
      <c r="A2868" s="6" t="s">
        <v>3036</v>
      </c>
      <c r="B2868" s="6" t="s">
        <v>73</v>
      </c>
      <c r="C2868" s="6" t="s">
        <v>95</v>
      </c>
      <c r="D2868" s="6" t="s">
        <v>119</v>
      </c>
      <c r="E2868" s="6" t="s">
        <v>120</v>
      </c>
      <c r="F2868" s="7">
        <v>10</v>
      </c>
      <c r="G2868" s="7">
        <v>1250</v>
      </c>
      <c r="H2868" s="16">
        <v>45272</v>
      </c>
      <c r="I2868" s="6">
        <v>50</v>
      </c>
      <c r="J2868" s="6" t="s">
        <v>121</v>
      </c>
      <c r="K2868" s="6" t="s">
        <v>122</v>
      </c>
      <c r="L2868" s="11">
        <f>F2868*Controls!$B$6</f>
        <v>10</v>
      </c>
      <c r="M2868" s="11">
        <f>G2868*Controls!$B$6</f>
        <v>1250</v>
      </c>
      <c r="N2868" s="12">
        <f>IF(L2868=0,0,SUMIFS('PSI Plan'!$N$6:$N$173,'PSI Plan'!$B$6:$B$173,B2868,'PSI Plan'!$C$6:$C$173,I2868))</f>
        <v>0</v>
      </c>
      <c r="O2868" s="11">
        <f t="shared" si="88"/>
        <v>0</v>
      </c>
      <c r="P2868" s="11">
        <f t="shared" si="89"/>
        <v>0</v>
      </c>
      <c r="Q2868" s="6"/>
      <c r="R2868" s="6"/>
      <c r="S2868" s="6"/>
      <c r="T2868" s="6"/>
    </row>
    <row r="2869" spans="1:20">
      <c r="A2869" s="6" t="s">
        <v>3037</v>
      </c>
      <c r="B2869" s="6" t="s">
        <v>70</v>
      </c>
      <c r="C2869" s="6" t="s">
        <v>95</v>
      </c>
      <c r="D2869" s="6" t="s">
        <v>119</v>
      </c>
      <c r="E2869" s="6" t="s">
        <v>120</v>
      </c>
      <c r="F2869" s="7">
        <v>4</v>
      </c>
      <c r="G2869" s="7">
        <v>500</v>
      </c>
      <c r="H2869" s="16">
        <v>45282</v>
      </c>
      <c r="I2869" s="6">
        <v>51</v>
      </c>
      <c r="J2869" s="6" t="s">
        <v>121</v>
      </c>
      <c r="K2869" s="6" t="s">
        <v>122</v>
      </c>
      <c r="L2869" s="11">
        <f>F2869*Controls!$B$6</f>
        <v>4</v>
      </c>
      <c r="M2869" s="11">
        <f>G2869*Controls!$B$6</f>
        <v>500</v>
      </c>
      <c r="N2869" s="12">
        <f>IF(L2869=0,0,SUMIFS('PSI Plan'!$N$6:$N$173,'PSI Plan'!$B$6:$B$173,B2869,'PSI Plan'!$C$6:$C$173,I2869))</f>
        <v>0</v>
      </c>
      <c r="O2869" s="11">
        <f t="shared" si="88"/>
        <v>0</v>
      </c>
      <c r="P2869" s="11">
        <f t="shared" si="89"/>
        <v>0</v>
      </c>
      <c r="Q2869" s="6"/>
      <c r="R2869" s="6"/>
      <c r="S2869" s="6"/>
      <c r="T2869" s="6"/>
    </row>
    <row r="2870" spans="1:20">
      <c r="A2870" s="6" t="s">
        <v>3038</v>
      </c>
      <c r="B2870" s="6" t="s">
        <v>68</v>
      </c>
      <c r="C2870" s="6" t="s">
        <v>95</v>
      </c>
      <c r="D2870" s="6" t="s">
        <v>119</v>
      </c>
      <c r="E2870" s="6" t="s">
        <v>120</v>
      </c>
      <c r="F2870" s="7">
        <v>12</v>
      </c>
      <c r="G2870" s="7">
        <v>1500</v>
      </c>
      <c r="H2870" s="16">
        <v>45287</v>
      </c>
      <c r="I2870" s="6">
        <v>52</v>
      </c>
      <c r="J2870" s="6" t="s">
        <v>121</v>
      </c>
      <c r="K2870" s="6" t="s">
        <v>122</v>
      </c>
      <c r="L2870" s="11">
        <f>F2870*Controls!$B$6</f>
        <v>12</v>
      </c>
      <c r="M2870" s="11">
        <f>G2870*Controls!$B$6</f>
        <v>1500</v>
      </c>
      <c r="N2870" s="12">
        <f>IF(L2870=0,0,SUMIFS('PSI Plan'!$N$6:$N$173,'PSI Plan'!$B$6:$B$173,B2870,'PSI Plan'!$C$6:$C$173,I2870))</f>
        <v>0</v>
      </c>
      <c r="O2870" s="11">
        <f t="shared" si="88"/>
        <v>0</v>
      </c>
      <c r="P2870" s="11">
        <f t="shared" si="89"/>
        <v>0</v>
      </c>
      <c r="Q2870" s="6"/>
      <c r="R2870" s="6"/>
      <c r="S2870" s="6"/>
      <c r="T2870" s="6"/>
    </row>
    <row r="2871" spans="1:20">
      <c r="A2871" s="6" t="s">
        <v>3039</v>
      </c>
      <c r="B2871" s="6" t="s">
        <v>73</v>
      </c>
      <c r="C2871" s="6" t="s">
        <v>99</v>
      </c>
      <c r="D2871" s="6" t="s">
        <v>319</v>
      </c>
      <c r="E2871" s="6" t="s">
        <v>120</v>
      </c>
      <c r="F2871" s="7">
        <v>11</v>
      </c>
      <c r="G2871" s="7">
        <v>1375</v>
      </c>
      <c r="H2871" s="16">
        <v>45206</v>
      </c>
      <c r="I2871" s="6">
        <v>40</v>
      </c>
      <c r="J2871" s="6" t="s">
        <v>121</v>
      </c>
      <c r="K2871" s="6" t="s">
        <v>374</v>
      </c>
      <c r="L2871" s="11">
        <f>F2871*Controls!$B$6</f>
        <v>11</v>
      </c>
      <c r="M2871" s="11">
        <f>G2871*Controls!$B$6</f>
        <v>1375</v>
      </c>
      <c r="N2871" s="12">
        <f>IF(L2871=0,0,SUMIFS('PSI Plan'!$N$6:$N$173,'PSI Plan'!$B$6:$B$173,B2871,'PSI Plan'!$C$6:$C$173,I2871))</f>
        <v>0</v>
      </c>
      <c r="O2871" s="11">
        <f t="shared" si="88"/>
        <v>0</v>
      </c>
      <c r="P2871" s="11">
        <f t="shared" si="89"/>
        <v>0</v>
      </c>
      <c r="Q2871" s="6"/>
      <c r="R2871" s="6"/>
      <c r="S2871" s="6"/>
      <c r="T2871" s="6"/>
    </row>
    <row r="2872" spans="1:20">
      <c r="A2872" s="6" t="s">
        <v>3040</v>
      </c>
      <c r="B2872" s="6" t="s">
        <v>75</v>
      </c>
      <c r="C2872" s="6" t="s">
        <v>99</v>
      </c>
      <c r="D2872" s="6" t="s">
        <v>319</v>
      </c>
      <c r="E2872" s="6" t="s">
        <v>120</v>
      </c>
      <c r="F2872" s="7">
        <v>11</v>
      </c>
      <c r="G2872" s="7">
        <v>1375</v>
      </c>
      <c r="H2872" s="16">
        <v>45256</v>
      </c>
      <c r="I2872" s="6">
        <v>48</v>
      </c>
      <c r="J2872" s="6" t="s">
        <v>121</v>
      </c>
      <c r="K2872" s="6" t="s">
        <v>374</v>
      </c>
      <c r="L2872" s="11">
        <f>F2872*Controls!$B$6</f>
        <v>11</v>
      </c>
      <c r="M2872" s="11">
        <f>G2872*Controls!$B$6</f>
        <v>1375</v>
      </c>
      <c r="N2872" s="12">
        <f>IF(L2872=0,0,SUMIFS('PSI Plan'!$N$6:$N$173,'PSI Plan'!$B$6:$B$173,B2872,'PSI Plan'!$C$6:$C$173,I2872))</f>
        <v>0</v>
      </c>
      <c r="O2872" s="11">
        <f t="shared" si="88"/>
        <v>0</v>
      </c>
      <c r="P2872" s="11">
        <f t="shared" si="89"/>
        <v>0</v>
      </c>
      <c r="Q2872" s="6"/>
      <c r="R2872" s="6"/>
      <c r="S2872" s="6"/>
      <c r="T2872" s="6"/>
    </row>
    <row r="2873" spans="1:20">
      <c r="A2873" s="6" t="s">
        <v>3041</v>
      </c>
      <c r="B2873" s="6" t="s">
        <v>68</v>
      </c>
      <c r="C2873" s="6" t="s">
        <v>99</v>
      </c>
      <c r="D2873" s="6" t="s">
        <v>319</v>
      </c>
      <c r="E2873" s="6" t="s">
        <v>120</v>
      </c>
      <c r="F2873" s="7">
        <v>11</v>
      </c>
      <c r="G2873" s="7">
        <v>1375</v>
      </c>
      <c r="H2873" s="16">
        <v>45256</v>
      </c>
      <c r="I2873" s="6">
        <v>48</v>
      </c>
      <c r="J2873" s="6" t="s">
        <v>121</v>
      </c>
      <c r="K2873" s="6" t="s">
        <v>374</v>
      </c>
      <c r="L2873" s="11">
        <f>F2873*Controls!$B$6</f>
        <v>11</v>
      </c>
      <c r="M2873" s="11">
        <f>G2873*Controls!$B$6</f>
        <v>1375</v>
      </c>
      <c r="N2873" s="12">
        <f>IF(L2873=0,0,SUMIFS('PSI Plan'!$N$6:$N$173,'PSI Plan'!$B$6:$B$173,B2873,'PSI Plan'!$C$6:$C$173,I2873))</f>
        <v>0</v>
      </c>
      <c r="O2873" s="11">
        <f t="shared" si="88"/>
        <v>0</v>
      </c>
      <c r="P2873" s="11">
        <f t="shared" si="89"/>
        <v>0</v>
      </c>
      <c r="Q2873" s="6"/>
      <c r="R2873" s="6"/>
      <c r="S2873" s="6"/>
      <c r="T2873" s="6"/>
    </row>
    <row r="2874" spans="1:20">
      <c r="A2874" s="6" t="s">
        <v>3042</v>
      </c>
      <c r="B2874" s="6" t="s">
        <v>70</v>
      </c>
      <c r="C2874" s="6" t="s">
        <v>99</v>
      </c>
      <c r="D2874" s="6" t="s">
        <v>319</v>
      </c>
      <c r="E2874" s="6" t="s">
        <v>120</v>
      </c>
      <c r="F2874" s="7">
        <v>11</v>
      </c>
      <c r="G2874" s="7">
        <v>1375</v>
      </c>
      <c r="H2874" s="16">
        <v>45281</v>
      </c>
      <c r="I2874" s="6">
        <v>51</v>
      </c>
      <c r="J2874" s="6" t="s">
        <v>121</v>
      </c>
      <c r="K2874" s="6" t="s">
        <v>374</v>
      </c>
      <c r="L2874" s="11">
        <f>F2874*Controls!$B$6</f>
        <v>11</v>
      </c>
      <c r="M2874" s="11">
        <f>G2874*Controls!$B$6</f>
        <v>1375</v>
      </c>
      <c r="N2874" s="12">
        <f>IF(L2874=0,0,SUMIFS('PSI Plan'!$N$6:$N$173,'PSI Plan'!$B$6:$B$173,B2874,'PSI Plan'!$C$6:$C$173,I2874))</f>
        <v>0</v>
      </c>
      <c r="O2874" s="11">
        <f t="shared" si="88"/>
        <v>0</v>
      </c>
      <c r="P2874" s="11">
        <f t="shared" si="89"/>
        <v>0</v>
      </c>
      <c r="Q2874" s="6"/>
      <c r="R2874" s="6"/>
      <c r="S2874" s="6"/>
      <c r="T2874" s="6"/>
    </row>
    <row r="2875" spans="1:20">
      <c r="A2875" s="6" t="s">
        <v>3043</v>
      </c>
      <c r="B2875" s="6" t="s">
        <v>73</v>
      </c>
      <c r="C2875" s="6" t="s">
        <v>95</v>
      </c>
      <c r="D2875" s="6" t="s">
        <v>119</v>
      </c>
      <c r="E2875" s="6" t="s">
        <v>120</v>
      </c>
      <c r="F2875" s="7">
        <v>13</v>
      </c>
      <c r="G2875" s="7">
        <v>1625</v>
      </c>
      <c r="H2875" s="16">
        <v>45227</v>
      </c>
      <c r="I2875" s="6">
        <v>43</v>
      </c>
      <c r="J2875" s="6" t="s">
        <v>121</v>
      </c>
      <c r="K2875" s="6" t="s">
        <v>122</v>
      </c>
      <c r="L2875" s="11">
        <f>F2875*Controls!$B$6</f>
        <v>13</v>
      </c>
      <c r="M2875" s="11">
        <f>G2875*Controls!$B$6</f>
        <v>1625</v>
      </c>
      <c r="N2875" s="12">
        <f>IF(L2875=0,0,SUMIFS('PSI Plan'!$N$6:$N$173,'PSI Plan'!$B$6:$B$173,B2875,'PSI Plan'!$C$6:$C$173,I2875))</f>
        <v>0</v>
      </c>
      <c r="O2875" s="11">
        <f t="shared" si="88"/>
        <v>0</v>
      </c>
      <c r="P2875" s="11">
        <f t="shared" si="89"/>
        <v>0</v>
      </c>
      <c r="Q2875" s="6"/>
      <c r="R2875" s="6"/>
      <c r="S2875" s="6"/>
      <c r="T2875" s="6"/>
    </row>
    <row r="2876" spans="1:20">
      <c r="A2876" s="6" t="s">
        <v>3044</v>
      </c>
      <c r="B2876" s="6" t="s">
        <v>75</v>
      </c>
      <c r="C2876" s="6" t="s">
        <v>95</v>
      </c>
      <c r="D2876" s="6" t="s">
        <v>119</v>
      </c>
      <c r="E2876" s="6" t="s">
        <v>120</v>
      </c>
      <c r="F2876" s="7">
        <v>52</v>
      </c>
      <c r="G2876" s="7">
        <v>6500</v>
      </c>
      <c r="H2876" s="16">
        <v>45210</v>
      </c>
      <c r="I2876" s="6">
        <v>41</v>
      </c>
      <c r="J2876" s="6" t="s">
        <v>121</v>
      </c>
      <c r="K2876" s="6" t="s">
        <v>122</v>
      </c>
      <c r="L2876" s="11">
        <f>F2876*Controls!$B$6</f>
        <v>52</v>
      </c>
      <c r="M2876" s="11">
        <f>G2876*Controls!$B$6</f>
        <v>6500</v>
      </c>
      <c r="N2876" s="12">
        <f>IF(L2876=0,0,SUMIFS('PSI Plan'!$N$6:$N$173,'PSI Plan'!$B$6:$B$173,B2876,'PSI Plan'!$C$6:$C$173,I2876))</f>
        <v>0</v>
      </c>
      <c r="O2876" s="11">
        <f t="shared" si="88"/>
        <v>0</v>
      </c>
      <c r="P2876" s="11">
        <f t="shared" si="89"/>
        <v>0</v>
      </c>
      <c r="Q2876" s="6"/>
      <c r="R2876" s="6"/>
      <c r="S2876" s="6"/>
      <c r="T2876" s="6"/>
    </row>
    <row r="2877" spans="1:20">
      <c r="A2877" s="6" t="s">
        <v>3045</v>
      </c>
      <c r="B2877" s="6" t="s">
        <v>68</v>
      </c>
      <c r="C2877" s="6" t="s">
        <v>95</v>
      </c>
      <c r="D2877" s="6" t="s">
        <v>119</v>
      </c>
      <c r="E2877" s="6" t="s">
        <v>120</v>
      </c>
      <c r="F2877" s="7">
        <v>15</v>
      </c>
      <c r="G2877" s="7">
        <v>1875</v>
      </c>
      <c r="H2877" s="16">
        <v>45225</v>
      </c>
      <c r="I2877" s="6">
        <v>43</v>
      </c>
      <c r="J2877" s="6" t="s">
        <v>121</v>
      </c>
      <c r="K2877" s="6" t="s">
        <v>122</v>
      </c>
      <c r="L2877" s="11">
        <f>F2877*Controls!$B$6</f>
        <v>15</v>
      </c>
      <c r="M2877" s="11">
        <f>G2877*Controls!$B$6</f>
        <v>1875</v>
      </c>
      <c r="N2877" s="12">
        <f>IF(L2877=0,0,SUMIFS('PSI Plan'!$N$6:$N$173,'PSI Plan'!$B$6:$B$173,B2877,'PSI Plan'!$C$6:$C$173,I2877))</f>
        <v>0</v>
      </c>
      <c r="O2877" s="11">
        <f t="shared" si="88"/>
        <v>0</v>
      </c>
      <c r="P2877" s="11">
        <f t="shared" si="89"/>
        <v>0</v>
      </c>
      <c r="Q2877" s="6"/>
      <c r="R2877" s="6"/>
      <c r="S2877" s="6"/>
      <c r="T2877" s="6"/>
    </row>
    <row r="2878" spans="1:20">
      <c r="A2878" s="6" t="s">
        <v>3046</v>
      </c>
      <c r="B2878" s="6" t="s">
        <v>73</v>
      </c>
      <c r="C2878" s="6" t="s">
        <v>95</v>
      </c>
      <c r="D2878" s="6" t="s">
        <v>567</v>
      </c>
      <c r="E2878" s="6" t="s">
        <v>120</v>
      </c>
      <c r="F2878" s="7">
        <v>10</v>
      </c>
      <c r="G2878" s="7">
        <v>1250</v>
      </c>
      <c r="H2878" s="16">
        <v>45243</v>
      </c>
      <c r="I2878" s="6">
        <v>46</v>
      </c>
      <c r="J2878" s="6" t="s">
        <v>2151</v>
      </c>
      <c r="K2878" s="6" t="s">
        <v>2526</v>
      </c>
      <c r="L2878" s="11">
        <f>F2878*Controls!$B$6</f>
        <v>10</v>
      </c>
      <c r="M2878" s="11">
        <f>G2878*Controls!$B$6</f>
        <v>1250</v>
      </c>
      <c r="N2878" s="12">
        <f>IF(L2878=0,0,SUMIFS('PSI Plan'!$N$6:$N$173,'PSI Plan'!$B$6:$B$173,B2878,'PSI Plan'!$C$6:$C$173,I2878))</f>
        <v>0</v>
      </c>
      <c r="O2878" s="11">
        <f t="shared" si="88"/>
        <v>0</v>
      </c>
      <c r="P2878" s="11">
        <f t="shared" si="89"/>
        <v>0</v>
      </c>
      <c r="Q2878" s="6"/>
      <c r="R2878" s="6"/>
      <c r="S2878" s="6"/>
      <c r="T2878" s="6"/>
    </row>
    <row r="2879" spans="1:20">
      <c r="A2879" s="6" t="s">
        <v>3047</v>
      </c>
      <c r="B2879" s="6" t="s">
        <v>70</v>
      </c>
      <c r="C2879" s="6" t="s">
        <v>95</v>
      </c>
      <c r="D2879" s="6" t="s">
        <v>567</v>
      </c>
      <c r="E2879" s="6" t="s">
        <v>120</v>
      </c>
      <c r="F2879" s="7">
        <v>20</v>
      </c>
      <c r="G2879" s="7">
        <v>2500</v>
      </c>
      <c r="H2879" s="16">
        <v>45228</v>
      </c>
      <c r="I2879" s="6">
        <v>44</v>
      </c>
      <c r="J2879" s="6" t="s">
        <v>2151</v>
      </c>
      <c r="K2879" s="6" t="s">
        <v>2526</v>
      </c>
      <c r="L2879" s="11">
        <f>F2879*Controls!$B$6</f>
        <v>20</v>
      </c>
      <c r="M2879" s="11">
        <f>G2879*Controls!$B$6</f>
        <v>2500</v>
      </c>
      <c r="N2879" s="12">
        <f>IF(L2879=0,0,SUMIFS('PSI Plan'!$N$6:$N$173,'PSI Plan'!$B$6:$B$173,B2879,'PSI Plan'!$C$6:$C$173,I2879))</f>
        <v>0</v>
      </c>
      <c r="O2879" s="11">
        <f t="shared" si="88"/>
        <v>0</v>
      </c>
      <c r="P2879" s="11">
        <f t="shared" si="89"/>
        <v>0</v>
      </c>
      <c r="Q2879" s="6"/>
      <c r="R2879" s="6"/>
      <c r="S2879" s="6"/>
      <c r="T2879" s="6"/>
    </row>
    <row r="2880" spans="1:20">
      <c r="A2880" s="6" t="s">
        <v>3048</v>
      </c>
      <c r="B2880" s="6" t="s">
        <v>75</v>
      </c>
      <c r="C2880" s="6" t="s">
        <v>95</v>
      </c>
      <c r="D2880" s="6" t="s">
        <v>567</v>
      </c>
      <c r="E2880" s="6" t="s">
        <v>120</v>
      </c>
      <c r="F2880" s="7">
        <v>35</v>
      </c>
      <c r="G2880" s="7">
        <v>4375</v>
      </c>
      <c r="H2880" s="16">
        <v>45219</v>
      </c>
      <c r="I2880" s="6">
        <v>42</v>
      </c>
      <c r="J2880" s="6" t="s">
        <v>2151</v>
      </c>
      <c r="K2880" s="6" t="s">
        <v>2526</v>
      </c>
      <c r="L2880" s="11">
        <f>F2880*Controls!$B$6</f>
        <v>35</v>
      </c>
      <c r="M2880" s="11">
        <f>G2880*Controls!$B$6</f>
        <v>4375</v>
      </c>
      <c r="N2880" s="12">
        <f>IF(L2880=0,0,SUMIFS('PSI Plan'!$N$6:$N$173,'PSI Plan'!$B$6:$B$173,B2880,'PSI Plan'!$C$6:$C$173,I2880))</f>
        <v>0</v>
      </c>
      <c r="O2880" s="11">
        <f t="shared" si="88"/>
        <v>0</v>
      </c>
      <c r="P2880" s="11">
        <f t="shared" si="89"/>
        <v>0</v>
      </c>
      <c r="Q2880" s="6"/>
      <c r="R2880" s="6"/>
      <c r="S2880" s="6"/>
      <c r="T2880" s="6"/>
    </row>
    <row r="2881" spans="1:20">
      <c r="A2881" s="6" t="s">
        <v>3049</v>
      </c>
      <c r="B2881" s="6" t="s">
        <v>68</v>
      </c>
      <c r="C2881" s="6" t="s">
        <v>95</v>
      </c>
      <c r="D2881" s="6" t="s">
        <v>567</v>
      </c>
      <c r="E2881" s="6" t="s">
        <v>120</v>
      </c>
      <c r="F2881" s="7">
        <v>20</v>
      </c>
      <c r="G2881" s="7">
        <v>2500</v>
      </c>
      <c r="H2881" s="16">
        <v>45208</v>
      </c>
      <c r="I2881" s="6">
        <v>41</v>
      </c>
      <c r="J2881" s="6" t="s">
        <v>2151</v>
      </c>
      <c r="K2881" s="6" t="s">
        <v>2526</v>
      </c>
      <c r="L2881" s="11">
        <f>F2881*Controls!$B$6</f>
        <v>20</v>
      </c>
      <c r="M2881" s="11">
        <f>G2881*Controls!$B$6</f>
        <v>2500</v>
      </c>
      <c r="N2881" s="12">
        <f>IF(L2881=0,0,SUMIFS('PSI Plan'!$N$6:$N$173,'PSI Plan'!$B$6:$B$173,B2881,'PSI Plan'!$C$6:$C$173,I2881))</f>
        <v>0</v>
      </c>
      <c r="O2881" s="11">
        <f t="shared" si="88"/>
        <v>0</v>
      </c>
      <c r="P2881" s="11">
        <f t="shared" si="89"/>
        <v>0</v>
      </c>
      <c r="Q2881" s="6"/>
      <c r="R2881" s="6"/>
      <c r="S2881" s="6"/>
      <c r="T2881" s="6"/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20"/>
  <sheetViews>
    <sheetView workbookViewId="0">
      <pane ySplit="1" topLeftCell="A2" activePane="bottomLeft" state="frozen"/>
      <selection pane="bottomLeft"/>
    </sheetView>
  </sheetViews>
  <sheetFormatPr defaultRowHeight="13.8"/>
  <cols>
    <col min="1" max="1" width="23" customWidth="1"/>
    <col min="2" max="20" width="15" customWidth="1"/>
  </cols>
  <sheetData>
    <row r="1" spans="1:20" ht="30" customHeight="1">
      <c r="A1" s="17" t="s">
        <v>3050</v>
      </c>
      <c r="B1" s="17" t="s">
        <v>57</v>
      </c>
      <c r="C1" s="17" t="s">
        <v>109</v>
      </c>
      <c r="D1" s="17" t="s">
        <v>58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0">
      <c r="A2" s="1" t="s">
        <v>3051</v>
      </c>
      <c r="B2" s="1" t="s">
        <v>66</v>
      </c>
      <c r="C2" s="1" t="s">
        <v>120</v>
      </c>
      <c r="D2" s="3">
        <v>4063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spans="1:20">
      <c r="A3" s="1" t="s">
        <v>3051</v>
      </c>
      <c r="B3" s="1" t="s">
        <v>67</v>
      </c>
      <c r="C3" s="1" t="s">
        <v>120</v>
      </c>
      <c r="D3" s="3">
        <v>2032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</row>
    <row r="4" spans="1:20">
      <c r="A4" s="1" t="s">
        <v>3052</v>
      </c>
      <c r="B4" s="1" t="s">
        <v>68</v>
      </c>
      <c r="C4" s="1" t="s">
        <v>120</v>
      </c>
      <c r="D4" s="3">
        <v>148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spans="1:20">
      <c r="A5" s="1" t="s">
        <v>3052</v>
      </c>
      <c r="B5" s="1" t="s">
        <v>69</v>
      </c>
      <c r="C5" s="1" t="s">
        <v>120</v>
      </c>
      <c r="D5" s="3">
        <v>4974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</row>
    <row r="6" spans="1:20">
      <c r="A6" s="1" t="s">
        <v>3053</v>
      </c>
      <c r="B6" s="1" t="s">
        <v>70</v>
      </c>
      <c r="C6" s="1" t="s">
        <v>120</v>
      </c>
      <c r="D6" s="3">
        <v>121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</row>
    <row r="7" spans="1:20">
      <c r="A7" s="1" t="s">
        <v>3053</v>
      </c>
      <c r="B7" s="1" t="s">
        <v>71</v>
      </c>
      <c r="C7" s="1" t="s">
        <v>120</v>
      </c>
      <c r="D7" s="3">
        <v>138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</row>
    <row r="8" spans="1:20">
      <c r="A8" s="1" t="s">
        <v>3053</v>
      </c>
      <c r="B8" s="1" t="s">
        <v>72</v>
      </c>
      <c r="C8" s="1" t="s">
        <v>120</v>
      </c>
      <c r="D8" s="3">
        <v>187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</row>
    <row r="9" spans="1:20">
      <c r="A9" s="1" t="s">
        <v>3054</v>
      </c>
      <c r="B9" s="1" t="s">
        <v>73</v>
      </c>
      <c r="C9" s="1" t="s">
        <v>120</v>
      </c>
      <c r="D9" s="3">
        <v>130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</row>
    <row r="10" spans="1:20">
      <c r="A10" s="1" t="s">
        <v>3055</v>
      </c>
      <c r="B10" s="1" t="s">
        <v>74</v>
      </c>
      <c r="C10" s="1" t="s">
        <v>120</v>
      </c>
      <c r="D10" s="3">
        <v>32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</row>
    <row r="11" spans="1:20">
      <c r="A11" s="1" t="s">
        <v>3055</v>
      </c>
      <c r="B11" s="1" t="s">
        <v>75</v>
      </c>
      <c r="C11" s="1" t="s">
        <v>120</v>
      </c>
      <c r="D11" s="3">
        <v>185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20">
      <c r="A12" s="1" t="s">
        <v>3056</v>
      </c>
      <c r="B12" s="1" t="s">
        <v>76</v>
      </c>
      <c r="C12" s="1" t="s">
        <v>120</v>
      </c>
      <c r="D12" s="3">
        <v>2073</v>
      </c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</row>
    <row r="13" spans="1:20">
      <c r="A13" s="1" t="s">
        <v>3057</v>
      </c>
      <c r="B13" s="1" t="s">
        <v>77</v>
      </c>
      <c r="C13" s="1" t="s">
        <v>120</v>
      </c>
      <c r="D13" s="3">
        <v>4250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</row>
    <row r="14" spans="1:20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</row>
    <row r="15" spans="1:20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</row>
    <row r="16" spans="1:20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</row>
    <row r="17" spans="1:20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</row>
    <row r="18" spans="1:20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</row>
    <row r="19" spans="1:20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</row>
    <row r="20" spans="1: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T337"/>
  <sheetViews>
    <sheetView workbookViewId="0">
      <pane ySplit="1" topLeftCell="A305" activePane="bottomLeft" state="frozen"/>
      <selection pane="bottomLeft"/>
    </sheetView>
  </sheetViews>
  <sheetFormatPr defaultRowHeight="13.8"/>
  <cols>
    <col min="1" max="1" width="16" customWidth="1"/>
    <col min="2" max="20" width="15" customWidth="1"/>
  </cols>
  <sheetData>
    <row r="1" spans="1:20" ht="30" customHeight="1">
      <c r="A1" s="17" t="s">
        <v>57</v>
      </c>
      <c r="B1" s="17" t="s">
        <v>12</v>
      </c>
      <c r="C1" s="17" t="s">
        <v>38</v>
      </c>
      <c r="D1" s="17" t="s">
        <v>86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0">
      <c r="A2" s="1" t="s">
        <v>66</v>
      </c>
      <c r="B2" s="1">
        <v>39</v>
      </c>
      <c r="C2" s="1" t="s">
        <v>3058</v>
      </c>
      <c r="D2" s="3">
        <v>0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spans="1:20">
      <c r="A3" s="1" t="s">
        <v>66</v>
      </c>
      <c r="B3" s="1">
        <v>40</v>
      </c>
      <c r="C3" s="1" t="s">
        <v>3058</v>
      </c>
      <c r="D3" s="3">
        <v>1000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</row>
    <row r="4" spans="1:20">
      <c r="A4" s="1" t="s">
        <v>66</v>
      </c>
      <c r="B4" s="1">
        <v>41</v>
      </c>
      <c r="C4" s="1" t="s">
        <v>3058</v>
      </c>
      <c r="D4" s="3">
        <v>3000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spans="1:20">
      <c r="A5" s="1" t="s">
        <v>66</v>
      </c>
      <c r="B5" s="1">
        <v>42</v>
      </c>
      <c r="C5" s="1" t="s">
        <v>3058</v>
      </c>
      <c r="D5" s="3">
        <v>2000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</row>
    <row r="6" spans="1:20">
      <c r="A6" s="1" t="s">
        <v>66</v>
      </c>
      <c r="B6" s="1">
        <v>43</v>
      </c>
      <c r="C6" s="1" t="s">
        <v>3058</v>
      </c>
      <c r="D6" s="3">
        <v>2000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</row>
    <row r="7" spans="1:20">
      <c r="A7" s="1" t="s">
        <v>66</v>
      </c>
      <c r="B7" s="1">
        <v>44</v>
      </c>
      <c r="C7" s="1" t="s">
        <v>3058</v>
      </c>
      <c r="D7" s="3">
        <v>1000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</row>
    <row r="8" spans="1:20">
      <c r="A8" s="1" t="s">
        <v>66</v>
      </c>
      <c r="B8" s="1">
        <v>45</v>
      </c>
      <c r="C8" s="1" t="s">
        <v>3058</v>
      </c>
      <c r="D8" s="3">
        <v>3000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</row>
    <row r="9" spans="1:20">
      <c r="A9" s="1" t="s">
        <v>66</v>
      </c>
      <c r="B9" s="1">
        <v>46</v>
      </c>
      <c r="C9" s="1" t="s">
        <v>3058</v>
      </c>
      <c r="D9" s="3">
        <v>1000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</row>
    <row r="10" spans="1:20">
      <c r="A10" s="1" t="s">
        <v>66</v>
      </c>
      <c r="B10" s="1">
        <v>47</v>
      </c>
      <c r="C10" s="1" t="s">
        <v>3058</v>
      </c>
      <c r="D10" s="3">
        <v>1000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</row>
    <row r="11" spans="1:20">
      <c r="A11" s="1" t="s">
        <v>66</v>
      </c>
      <c r="B11" s="1">
        <v>48</v>
      </c>
      <c r="C11" s="1" t="s">
        <v>3058</v>
      </c>
      <c r="D11" s="3">
        <v>2000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20">
      <c r="A12" s="1" t="s">
        <v>66</v>
      </c>
      <c r="B12" s="1">
        <v>49</v>
      </c>
      <c r="C12" s="1" t="s">
        <v>3058</v>
      </c>
      <c r="D12" s="3">
        <v>2000</v>
      </c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</row>
    <row r="13" spans="1:20">
      <c r="A13" s="1" t="s">
        <v>66</v>
      </c>
      <c r="B13" s="1">
        <v>50</v>
      </c>
      <c r="C13" s="1" t="s">
        <v>3058</v>
      </c>
      <c r="D13" s="3">
        <v>1000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</row>
    <row r="14" spans="1:20">
      <c r="A14" s="1" t="s">
        <v>66</v>
      </c>
      <c r="B14" s="1">
        <v>51</v>
      </c>
      <c r="C14" s="1" t="s">
        <v>3058</v>
      </c>
      <c r="D14" s="3">
        <v>2000</v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</row>
    <row r="15" spans="1:20">
      <c r="A15" s="1" t="s">
        <v>66</v>
      </c>
      <c r="B15" s="1">
        <v>52</v>
      </c>
      <c r="C15" s="1" t="s">
        <v>3058</v>
      </c>
      <c r="D15" s="3">
        <v>0</v>
      </c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</row>
    <row r="16" spans="1:20">
      <c r="A16" s="1" t="s">
        <v>67</v>
      </c>
      <c r="B16" s="1">
        <v>39</v>
      </c>
      <c r="C16" s="1" t="s">
        <v>3058</v>
      </c>
      <c r="D16" s="3">
        <v>0</v>
      </c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</row>
    <row r="17" spans="1:20">
      <c r="A17" s="1" t="s">
        <v>67</v>
      </c>
      <c r="B17" s="1">
        <v>40</v>
      </c>
      <c r="C17" s="1" t="s">
        <v>3058</v>
      </c>
      <c r="D17" s="3">
        <v>1000</v>
      </c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</row>
    <row r="18" spans="1:20">
      <c r="A18" s="1" t="s">
        <v>67</v>
      </c>
      <c r="B18" s="1">
        <v>41</v>
      </c>
      <c r="C18" s="1" t="s">
        <v>3058</v>
      </c>
      <c r="D18" s="3">
        <v>0</v>
      </c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</row>
    <row r="19" spans="1:20">
      <c r="A19" s="1" t="s">
        <v>67</v>
      </c>
      <c r="B19" s="1">
        <v>42</v>
      </c>
      <c r="C19" s="1" t="s">
        <v>3058</v>
      </c>
      <c r="D19" s="3">
        <v>1000</v>
      </c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</row>
    <row r="20" spans="1:20">
      <c r="A20" s="1" t="s">
        <v>67</v>
      </c>
      <c r="B20" s="1">
        <v>43</v>
      </c>
      <c r="C20" s="1" t="s">
        <v>3058</v>
      </c>
      <c r="D20" s="3">
        <v>0</v>
      </c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</row>
    <row r="21" spans="1:20">
      <c r="A21" s="6" t="s">
        <v>67</v>
      </c>
      <c r="B21" s="6">
        <v>44</v>
      </c>
      <c r="C21" s="6" t="s">
        <v>3058</v>
      </c>
      <c r="D21" s="7">
        <v>2000</v>
      </c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</row>
    <row r="22" spans="1:20">
      <c r="A22" s="6" t="s">
        <v>67</v>
      </c>
      <c r="B22" s="6">
        <v>45</v>
      </c>
      <c r="C22" s="6" t="s">
        <v>3058</v>
      </c>
      <c r="D22" s="7">
        <v>1000</v>
      </c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</row>
    <row r="23" spans="1:20">
      <c r="A23" s="6" t="s">
        <v>67</v>
      </c>
      <c r="B23" s="6">
        <v>46</v>
      </c>
      <c r="C23" s="6" t="s">
        <v>3058</v>
      </c>
      <c r="D23" s="7">
        <v>1000</v>
      </c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</row>
    <row r="24" spans="1:20">
      <c r="A24" s="6" t="s">
        <v>67</v>
      </c>
      <c r="B24" s="6">
        <v>47</v>
      </c>
      <c r="C24" s="6" t="s">
        <v>3058</v>
      </c>
      <c r="D24" s="7">
        <v>1000</v>
      </c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</row>
    <row r="25" spans="1:20">
      <c r="A25" s="6" t="s">
        <v>67</v>
      </c>
      <c r="B25" s="6">
        <v>48</v>
      </c>
      <c r="C25" s="6" t="s">
        <v>3058</v>
      </c>
      <c r="D25" s="7">
        <v>0</v>
      </c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</row>
    <row r="26" spans="1:20">
      <c r="A26" s="6" t="s">
        <v>67</v>
      </c>
      <c r="B26" s="6">
        <v>49</v>
      </c>
      <c r="C26" s="6" t="s">
        <v>3058</v>
      </c>
      <c r="D26" s="7">
        <v>1000</v>
      </c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</row>
    <row r="27" spans="1:20">
      <c r="A27" s="6" t="s">
        <v>67</v>
      </c>
      <c r="B27" s="6">
        <v>50</v>
      </c>
      <c r="C27" s="6" t="s">
        <v>3058</v>
      </c>
      <c r="D27" s="7">
        <v>2000</v>
      </c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</row>
    <row r="28" spans="1:20">
      <c r="A28" s="6" t="s">
        <v>67</v>
      </c>
      <c r="B28" s="6">
        <v>51</v>
      </c>
      <c r="C28" s="6" t="s">
        <v>3058</v>
      </c>
      <c r="D28" s="7">
        <v>1000</v>
      </c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</row>
    <row r="29" spans="1:20">
      <c r="A29" s="6" t="s">
        <v>67</v>
      </c>
      <c r="B29" s="6">
        <v>52</v>
      </c>
      <c r="C29" s="6" t="s">
        <v>3058</v>
      </c>
      <c r="D29" s="7">
        <v>0</v>
      </c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</row>
    <row r="30" spans="1:20">
      <c r="A30" s="6" t="s">
        <v>68</v>
      </c>
      <c r="B30" s="6">
        <v>39</v>
      </c>
      <c r="C30" s="6" t="s">
        <v>3058</v>
      </c>
      <c r="D30" s="7">
        <v>0</v>
      </c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</row>
    <row r="31" spans="1:20">
      <c r="A31" s="6" t="s">
        <v>68</v>
      </c>
      <c r="B31" s="6">
        <v>40</v>
      </c>
      <c r="C31" s="6" t="s">
        <v>3058</v>
      </c>
      <c r="D31" s="7">
        <v>1000</v>
      </c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</row>
    <row r="32" spans="1:20">
      <c r="A32" s="6" t="s">
        <v>68</v>
      </c>
      <c r="B32" s="6">
        <v>41</v>
      </c>
      <c r="C32" s="6" t="s">
        <v>3058</v>
      </c>
      <c r="D32" s="7">
        <v>0</v>
      </c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</row>
    <row r="33" spans="1:20">
      <c r="A33" s="6" t="s">
        <v>68</v>
      </c>
      <c r="B33" s="6">
        <v>42</v>
      </c>
      <c r="C33" s="6" t="s">
        <v>3058</v>
      </c>
      <c r="D33" s="7">
        <v>0</v>
      </c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</row>
    <row r="34" spans="1:20">
      <c r="A34" s="6" t="s">
        <v>68</v>
      </c>
      <c r="B34" s="6">
        <v>43</v>
      </c>
      <c r="C34" s="6" t="s">
        <v>3058</v>
      </c>
      <c r="D34" s="7">
        <v>0</v>
      </c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</row>
    <row r="35" spans="1:20">
      <c r="A35" s="6" t="s">
        <v>68</v>
      </c>
      <c r="B35" s="6">
        <v>44</v>
      </c>
      <c r="C35" s="6" t="s">
        <v>3058</v>
      </c>
      <c r="D35" s="7">
        <v>0</v>
      </c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</row>
    <row r="36" spans="1:20">
      <c r="A36" s="6" t="s">
        <v>68</v>
      </c>
      <c r="B36" s="6">
        <v>45</v>
      </c>
      <c r="C36" s="6" t="s">
        <v>3058</v>
      </c>
      <c r="D36" s="7">
        <v>0</v>
      </c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</row>
    <row r="37" spans="1:20">
      <c r="A37" s="6" t="s">
        <v>68</v>
      </c>
      <c r="B37" s="6">
        <v>46</v>
      </c>
      <c r="C37" s="6" t="s">
        <v>3058</v>
      </c>
      <c r="D37" s="7">
        <v>0</v>
      </c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</row>
    <row r="38" spans="1:20">
      <c r="A38" s="6" t="s">
        <v>68</v>
      </c>
      <c r="B38" s="6">
        <v>47</v>
      </c>
      <c r="C38" s="6" t="s">
        <v>3058</v>
      </c>
      <c r="D38" s="7">
        <v>0</v>
      </c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</row>
    <row r="39" spans="1:20">
      <c r="A39" s="6" t="s">
        <v>68</v>
      </c>
      <c r="B39" s="6">
        <v>48</v>
      </c>
      <c r="C39" s="6" t="s">
        <v>3058</v>
      </c>
      <c r="D39" s="7">
        <v>0</v>
      </c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</row>
    <row r="40" spans="1:20">
      <c r="A40" s="6" t="s">
        <v>68</v>
      </c>
      <c r="B40" s="6">
        <v>49</v>
      </c>
      <c r="C40" s="6" t="s">
        <v>3058</v>
      </c>
      <c r="D40" s="7">
        <v>0</v>
      </c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</row>
    <row r="41" spans="1:20">
      <c r="A41" s="6" t="s">
        <v>68</v>
      </c>
      <c r="B41" s="6">
        <v>50</v>
      </c>
      <c r="C41" s="6" t="s">
        <v>3058</v>
      </c>
      <c r="D41" s="7">
        <v>0</v>
      </c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</row>
    <row r="42" spans="1:20">
      <c r="A42" s="6" t="s">
        <v>68</v>
      </c>
      <c r="B42" s="6">
        <v>51</v>
      </c>
      <c r="C42" s="6" t="s">
        <v>3058</v>
      </c>
      <c r="D42" s="7">
        <v>0</v>
      </c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</row>
    <row r="43" spans="1:20">
      <c r="A43" s="6" t="s">
        <v>68</v>
      </c>
      <c r="B43" s="6">
        <v>52</v>
      </c>
      <c r="C43" s="6" t="s">
        <v>3058</v>
      </c>
      <c r="D43" s="7">
        <v>0</v>
      </c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</row>
    <row r="44" spans="1:20">
      <c r="A44" s="6" t="s">
        <v>69</v>
      </c>
      <c r="B44" s="6">
        <v>39</v>
      </c>
      <c r="C44" s="6" t="s">
        <v>3058</v>
      </c>
      <c r="D44" s="7">
        <v>0</v>
      </c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</row>
    <row r="45" spans="1:20">
      <c r="A45" s="6" t="s">
        <v>69</v>
      </c>
      <c r="B45" s="6">
        <v>40</v>
      </c>
      <c r="C45" s="6" t="s">
        <v>3058</v>
      </c>
      <c r="D45" s="7">
        <v>0</v>
      </c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</row>
    <row r="46" spans="1:20">
      <c r="A46" s="6" t="s">
        <v>69</v>
      </c>
      <c r="B46" s="6">
        <v>41</v>
      </c>
      <c r="C46" s="6" t="s">
        <v>3058</v>
      </c>
      <c r="D46" s="7">
        <v>2000</v>
      </c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</row>
    <row r="47" spans="1:20">
      <c r="A47" s="6" t="s">
        <v>69</v>
      </c>
      <c r="B47" s="6">
        <v>42</v>
      </c>
      <c r="C47" s="6" t="s">
        <v>3058</v>
      </c>
      <c r="D47" s="7">
        <v>1000</v>
      </c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</row>
    <row r="48" spans="1:20">
      <c r="A48" s="6" t="s">
        <v>69</v>
      </c>
      <c r="B48" s="6">
        <v>43</v>
      </c>
      <c r="C48" s="6" t="s">
        <v>3058</v>
      </c>
      <c r="D48" s="7">
        <v>3000</v>
      </c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</row>
    <row r="49" spans="1:20">
      <c r="A49" s="6" t="s">
        <v>69</v>
      </c>
      <c r="B49" s="6">
        <v>44</v>
      </c>
      <c r="C49" s="6" t="s">
        <v>3058</v>
      </c>
      <c r="D49" s="7">
        <v>1000</v>
      </c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</row>
    <row r="50" spans="1:20">
      <c r="A50" s="6" t="s">
        <v>69</v>
      </c>
      <c r="B50" s="6">
        <v>45</v>
      </c>
      <c r="C50" s="6" t="s">
        <v>3058</v>
      </c>
      <c r="D50" s="7">
        <v>4000</v>
      </c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</row>
    <row r="51" spans="1:20">
      <c r="A51" s="6" t="s">
        <v>69</v>
      </c>
      <c r="B51" s="6">
        <v>46</v>
      </c>
      <c r="C51" s="6" t="s">
        <v>3058</v>
      </c>
      <c r="D51" s="7">
        <v>2000</v>
      </c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</row>
    <row r="52" spans="1:20">
      <c r="A52" s="6" t="s">
        <v>69</v>
      </c>
      <c r="B52" s="6">
        <v>47</v>
      </c>
      <c r="C52" s="6" t="s">
        <v>3058</v>
      </c>
      <c r="D52" s="7">
        <v>2000</v>
      </c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</row>
    <row r="53" spans="1:20">
      <c r="A53" s="6" t="s">
        <v>69</v>
      </c>
      <c r="B53" s="6">
        <v>48</v>
      </c>
      <c r="C53" s="6" t="s">
        <v>3058</v>
      </c>
      <c r="D53" s="7">
        <v>3000</v>
      </c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</row>
    <row r="54" spans="1:20">
      <c r="A54" s="6" t="s">
        <v>69</v>
      </c>
      <c r="B54" s="6">
        <v>49</v>
      </c>
      <c r="C54" s="6" t="s">
        <v>3058</v>
      </c>
      <c r="D54" s="7">
        <v>3000</v>
      </c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</row>
    <row r="55" spans="1:20">
      <c r="A55" s="6" t="s">
        <v>69</v>
      </c>
      <c r="B55" s="6">
        <v>50</v>
      </c>
      <c r="C55" s="6" t="s">
        <v>3058</v>
      </c>
      <c r="D55" s="7">
        <v>3000</v>
      </c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</row>
    <row r="56" spans="1:20">
      <c r="A56" s="6" t="s">
        <v>69</v>
      </c>
      <c r="B56" s="6">
        <v>51</v>
      </c>
      <c r="C56" s="6" t="s">
        <v>3058</v>
      </c>
      <c r="D56" s="7">
        <v>1000</v>
      </c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</row>
    <row r="57" spans="1:20">
      <c r="A57" s="6" t="s">
        <v>69</v>
      </c>
      <c r="B57" s="6">
        <v>52</v>
      </c>
      <c r="C57" s="6" t="s">
        <v>3058</v>
      </c>
      <c r="D57" s="7">
        <v>0</v>
      </c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</row>
    <row r="58" spans="1:20">
      <c r="A58" s="6" t="s">
        <v>70</v>
      </c>
      <c r="B58" s="6">
        <v>39</v>
      </c>
      <c r="C58" s="6" t="s">
        <v>3058</v>
      </c>
      <c r="D58" s="7">
        <v>1000</v>
      </c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</row>
    <row r="59" spans="1:20">
      <c r="A59" s="6" t="s">
        <v>70</v>
      </c>
      <c r="B59" s="6">
        <v>40</v>
      </c>
      <c r="C59" s="6" t="s">
        <v>3058</v>
      </c>
      <c r="D59" s="7">
        <v>0</v>
      </c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</row>
    <row r="60" spans="1:20">
      <c r="A60" s="6" t="s">
        <v>70</v>
      </c>
      <c r="B60" s="6">
        <v>41</v>
      </c>
      <c r="C60" s="6" t="s">
        <v>3058</v>
      </c>
      <c r="D60" s="7">
        <v>0</v>
      </c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</row>
    <row r="61" spans="1:20">
      <c r="A61" s="6" t="s">
        <v>70</v>
      </c>
      <c r="B61" s="6">
        <v>42</v>
      </c>
      <c r="C61" s="6" t="s">
        <v>3058</v>
      </c>
      <c r="D61" s="7">
        <v>0</v>
      </c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</row>
    <row r="62" spans="1:20">
      <c r="A62" s="6" t="s">
        <v>70</v>
      </c>
      <c r="B62" s="6">
        <v>43</v>
      </c>
      <c r="C62" s="6" t="s">
        <v>3058</v>
      </c>
      <c r="D62" s="7">
        <v>0</v>
      </c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</row>
    <row r="63" spans="1:20">
      <c r="A63" s="6" t="s">
        <v>70</v>
      </c>
      <c r="B63" s="6">
        <v>44</v>
      </c>
      <c r="C63" s="6" t="s">
        <v>3058</v>
      </c>
      <c r="D63" s="7">
        <v>0</v>
      </c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</row>
    <row r="64" spans="1:20">
      <c r="A64" s="6" t="s">
        <v>70</v>
      </c>
      <c r="B64" s="6">
        <v>45</v>
      </c>
      <c r="C64" s="6" t="s">
        <v>3058</v>
      </c>
      <c r="D64" s="7">
        <v>0</v>
      </c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</row>
    <row r="65" spans="1:20">
      <c r="A65" s="6" t="s">
        <v>70</v>
      </c>
      <c r="B65" s="6">
        <v>46</v>
      </c>
      <c r="C65" s="6" t="s">
        <v>3058</v>
      </c>
      <c r="D65" s="7">
        <v>0</v>
      </c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</row>
    <row r="66" spans="1:20">
      <c r="A66" s="6" t="s">
        <v>70</v>
      </c>
      <c r="B66" s="6">
        <v>47</v>
      </c>
      <c r="C66" s="6" t="s">
        <v>3058</v>
      </c>
      <c r="D66" s="7">
        <v>0</v>
      </c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</row>
    <row r="67" spans="1:20">
      <c r="A67" s="6" t="s">
        <v>70</v>
      </c>
      <c r="B67" s="6">
        <v>48</v>
      </c>
      <c r="C67" s="6" t="s">
        <v>3058</v>
      </c>
      <c r="D67" s="7">
        <v>0</v>
      </c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</row>
    <row r="68" spans="1:20">
      <c r="A68" s="6" t="s">
        <v>70</v>
      </c>
      <c r="B68" s="6">
        <v>49</v>
      </c>
      <c r="C68" s="6" t="s">
        <v>3058</v>
      </c>
      <c r="D68" s="7">
        <v>0</v>
      </c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</row>
    <row r="69" spans="1:20">
      <c r="A69" s="6" t="s">
        <v>70</v>
      </c>
      <c r="B69" s="6">
        <v>50</v>
      </c>
      <c r="C69" s="6" t="s">
        <v>3058</v>
      </c>
      <c r="D69" s="7">
        <v>0</v>
      </c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</row>
    <row r="70" spans="1:20">
      <c r="A70" s="6" t="s">
        <v>70</v>
      </c>
      <c r="B70" s="6">
        <v>51</v>
      </c>
      <c r="C70" s="6" t="s">
        <v>3058</v>
      </c>
      <c r="D70" s="7">
        <v>0</v>
      </c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</row>
    <row r="71" spans="1:20">
      <c r="A71" s="6" t="s">
        <v>70</v>
      </c>
      <c r="B71" s="6">
        <v>52</v>
      </c>
      <c r="C71" s="6" t="s">
        <v>3058</v>
      </c>
      <c r="D71" s="7">
        <v>0</v>
      </c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</row>
    <row r="72" spans="1:20">
      <c r="A72" s="6" t="s">
        <v>71</v>
      </c>
      <c r="B72" s="6">
        <v>39</v>
      </c>
      <c r="C72" s="6" t="s">
        <v>3058</v>
      </c>
      <c r="D72" s="7">
        <v>0</v>
      </c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</row>
    <row r="73" spans="1:20">
      <c r="A73" s="6" t="s">
        <v>71</v>
      </c>
      <c r="B73" s="6">
        <v>40</v>
      </c>
      <c r="C73" s="6" t="s">
        <v>3058</v>
      </c>
      <c r="D73" s="7">
        <v>1000</v>
      </c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</row>
    <row r="74" spans="1:20">
      <c r="A74" s="6" t="s">
        <v>71</v>
      </c>
      <c r="B74" s="6">
        <v>41</v>
      </c>
      <c r="C74" s="6" t="s">
        <v>3058</v>
      </c>
      <c r="D74" s="7">
        <v>0</v>
      </c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</row>
    <row r="75" spans="1:20">
      <c r="A75" s="6" t="s">
        <v>71</v>
      </c>
      <c r="B75" s="6">
        <v>42</v>
      </c>
      <c r="C75" s="6" t="s">
        <v>3058</v>
      </c>
      <c r="D75" s="7">
        <v>0</v>
      </c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</row>
    <row r="76" spans="1:20">
      <c r="A76" s="6" t="s">
        <v>71</v>
      </c>
      <c r="B76" s="6">
        <v>43</v>
      </c>
      <c r="C76" s="6" t="s">
        <v>3058</v>
      </c>
      <c r="D76" s="7">
        <v>0</v>
      </c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</row>
    <row r="77" spans="1:20">
      <c r="A77" s="6" t="s">
        <v>71</v>
      </c>
      <c r="B77" s="6">
        <v>44</v>
      </c>
      <c r="C77" s="6" t="s">
        <v>3058</v>
      </c>
      <c r="D77" s="7">
        <v>0</v>
      </c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</row>
    <row r="78" spans="1:20">
      <c r="A78" s="6" t="s">
        <v>71</v>
      </c>
      <c r="B78" s="6">
        <v>45</v>
      </c>
      <c r="C78" s="6" t="s">
        <v>3058</v>
      </c>
      <c r="D78" s="7">
        <v>0</v>
      </c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</row>
    <row r="79" spans="1:20">
      <c r="A79" s="6" t="s">
        <v>71</v>
      </c>
      <c r="B79" s="6">
        <v>46</v>
      </c>
      <c r="C79" s="6" t="s">
        <v>3058</v>
      </c>
      <c r="D79" s="7">
        <v>0</v>
      </c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</row>
    <row r="80" spans="1:20">
      <c r="A80" s="6" t="s">
        <v>71</v>
      </c>
      <c r="B80" s="6">
        <v>47</v>
      </c>
      <c r="C80" s="6" t="s">
        <v>3058</v>
      </c>
      <c r="D80" s="7">
        <v>0</v>
      </c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</row>
    <row r="81" spans="1:20">
      <c r="A81" s="6" t="s">
        <v>71</v>
      </c>
      <c r="B81" s="6">
        <v>48</v>
      </c>
      <c r="C81" s="6" t="s">
        <v>3058</v>
      </c>
      <c r="D81" s="7">
        <v>0</v>
      </c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</row>
    <row r="82" spans="1:20">
      <c r="A82" s="6" t="s">
        <v>71</v>
      </c>
      <c r="B82" s="6">
        <v>49</v>
      </c>
      <c r="C82" s="6" t="s">
        <v>3058</v>
      </c>
      <c r="D82" s="7">
        <v>0</v>
      </c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</row>
    <row r="83" spans="1:20">
      <c r="A83" s="6" t="s">
        <v>71</v>
      </c>
      <c r="B83" s="6">
        <v>50</v>
      </c>
      <c r="C83" s="6" t="s">
        <v>3058</v>
      </c>
      <c r="D83" s="7">
        <v>0</v>
      </c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</row>
    <row r="84" spans="1:20">
      <c r="A84" s="6" t="s">
        <v>71</v>
      </c>
      <c r="B84" s="6">
        <v>51</v>
      </c>
      <c r="C84" s="6" t="s">
        <v>3058</v>
      </c>
      <c r="D84" s="7">
        <v>0</v>
      </c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</row>
    <row r="85" spans="1:20">
      <c r="A85" s="6" t="s">
        <v>71</v>
      </c>
      <c r="B85" s="6">
        <v>52</v>
      </c>
      <c r="C85" s="6" t="s">
        <v>3058</v>
      </c>
      <c r="D85" s="7">
        <v>0</v>
      </c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</row>
    <row r="86" spans="1:20">
      <c r="A86" s="6" t="s">
        <v>72</v>
      </c>
      <c r="B86" s="6">
        <v>39</v>
      </c>
      <c r="C86" s="6" t="s">
        <v>3058</v>
      </c>
      <c r="D86" s="7">
        <v>0</v>
      </c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</row>
    <row r="87" spans="1:20">
      <c r="A87" s="6" t="s">
        <v>72</v>
      </c>
      <c r="B87" s="6">
        <v>40</v>
      </c>
      <c r="C87" s="6" t="s">
        <v>3058</v>
      </c>
      <c r="D87" s="7">
        <v>0</v>
      </c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</row>
    <row r="88" spans="1:20">
      <c r="A88" s="6" t="s">
        <v>72</v>
      </c>
      <c r="B88" s="6">
        <v>41</v>
      </c>
      <c r="C88" s="6" t="s">
        <v>3058</v>
      </c>
      <c r="D88" s="7">
        <v>0</v>
      </c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</row>
    <row r="89" spans="1:20">
      <c r="A89" s="6" t="s">
        <v>72</v>
      </c>
      <c r="B89" s="6">
        <v>42</v>
      </c>
      <c r="C89" s="6" t="s">
        <v>3058</v>
      </c>
      <c r="D89" s="7">
        <v>1000</v>
      </c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</row>
    <row r="90" spans="1:20">
      <c r="A90" s="6" t="s">
        <v>72</v>
      </c>
      <c r="B90" s="6">
        <v>43</v>
      </c>
      <c r="C90" s="6" t="s">
        <v>3058</v>
      </c>
      <c r="D90" s="7">
        <v>0</v>
      </c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</row>
    <row r="91" spans="1:20">
      <c r="A91" s="6" t="s">
        <v>72</v>
      </c>
      <c r="B91" s="6">
        <v>44</v>
      </c>
      <c r="C91" s="6" t="s">
        <v>3058</v>
      </c>
      <c r="D91" s="7">
        <v>0</v>
      </c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</row>
    <row r="92" spans="1:20">
      <c r="A92" s="6" t="s">
        <v>72</v>
      </c>
      <c r="B92" s="6">
        <v>45</v>
      </c>
      <c r="C92" s="6" t="s">
        <v>3058</v>
      </c>
      <c r="D92" s="7">
        <v>0</v>
      </c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</row>
    <row r="93" spans="1:20">
      <c r="A93" s="6" t="s">
        <v>72</v>
      </c>
      <c r="B93" s="6">
        <v>46</v>
      </c>
      <c r="C93" s="6" t="s">
        <v>3058</v>
      </c>
      <c r="D93" s="7">
        <v>0</v>
      </c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</row>
    <row r="94" spans="1:20">
      <c r="A94" s="6" t="s">
        <v>72</v>
      </c>
      <c r="B94" s="6">
        <v>47</v>
      </c>
      <c r="C94" s="6" t="s">
        <v>3058</v>
      </c>
      <c r="D94" s="7">
        <v>0</v>
      </c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</row>
    <row r="95" spans="1:20">
      <c r="A95" s="6" t="s">
        <v>72</v>
      </c>
      <c r="B95" s="6">
        <v>48</v>
      </c>
      <c r="C95" s="6" t="s">
        <v>3058</v>
      </c>
      <c r="D95" s="7">
        <v>0</v>
      </c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</row>
    <row r="96" spans="1:20">
      <c r="A96" s="6" t="s">
        <v>72</v>
      </c>
      <c r="B96" s="6">
        <v>49</v>
      </c>
      <c r="C96" s="6" t="s">
        <v>3058</v>
      </c>
      <c r="D96" s="7">
        <v>0</v>
      </c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</row>
    <row r="97" spans="1:20">
      <c r="A97" s="6" t="s">
        <v>72</v>
      </c>
      <c r="B97" s="6">
        <v>50</v>
      </c>
      <c r="C97" s="6" t="s">
        <v>3058</v>
      </c>
      <c r="D97" s="7">
        <v>0</v>
      </c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</row>
    <row r="98" spans="1:20">
      <c r="A98" s="6" t="s">
        <v>72</v>
      </c>
      <c r="B98" s="6">
        <v>51</v>
      </c>
      <c r="C98" s="6" t="s">
        <v>3058</v>
      </c>
      <c r="D98" s="7">
        <v>0</v>
      </c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</row>
    <row r="99" spans="1:20">
      <c r="A99" s="6" t="s">
        <v>72</v>
      </c>
      <c r="B99" s="6">
        <v>52</v>
      </c>
      <c r="C99" s="6" t="s">
        <v>3058</v>
      </c>
      <c r="D99" s="7">
        <v>0</v>
      </c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</row>
    <row r="100" spans="1:20">
      <c r="A100" s="6" t="s">
        <v>73</v>
      </c>
      <c r="B100" s="6">
        <v>39</v>
      </c>
      <c r="C100" s="6" t="s">
        <v>3058</v>
      </c>
      <c r="D100" s="7">
        <v>0</v>
      </c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</row>
    <row r="101" spans="1:20">
      <c r="A101" s="6" t="s">
        <v>73</v>
      </c>
      <c r="B101" s="6">
        <v>40</v>
      </c>
      <c r="C101" s="6" t="s">
        <v>3058</v>
      </c>
      <c r="D101" s="7">
        <v>1000</v>
      </c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</row>
    <row r="102" spans="1:20">
      <c r="A102" s="6" t="s">
        <v>73</v>
      </c>
      <c r="B102" s="6">
        <v>41</v>
      </c>
      <c r="C102" s="6" t="s">
        <v>3058</v>
      </c>
      <c r="D102" s="7">
        <v>0</v>
      </c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</row>
    <row r="103" spans="1:20">
      <c r="A103" s="6" t="s">
        <v>73</v>
      </c>
      <c r="B103" s="6">
        <v>42</v>
      </c>
      <c r="C103" s="6" t="s">
        <v>3058</v>
      </c>
      <c r="D103" s="7">
        <v>0</v>
      </c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</row>
    <row r="104" spans="1:20">
      <c r="A104" s="6" t="s">
        <v>73</v>
      </c>
      <c r="B104" s="6">
        <v>43</v>
      </c>
      <c r="C104" s="6" t="s">
        <v>3058</v>
      </c>
      <c r="D104" s="7">
        <v>0</v>
      </c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</row>
    <row r="105" spans="1:20">
      <c r="A105" s="6" t="s">
        <v>73</v>
      </c>
      <c r="B105" s="6">
        <v>44</v>
      </c>
      <c r="C105" s="6" t="s">
        <v>3058</v>
      </c>
      <c r="D105" s="7">
        <v>0</v>
      </c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</row>
    <row r="106" spans="1:20">
      <c r="A106" s="6" t="s">
        <v>73</v>
      </c>
      <c r="B106" s="6">
        <v>45</v>
      </c>
      <c r="C106" s="6" t="s">
        <v>3058</v>
      </c>
      <c r="D106" s="7">
        <v>0</v>
      </c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</row>
    <row r="107" spans="1:20">
      <c r="A107" s="6" t="s">
        <v>73</v>
      </c>
      <c r="B107" s="6">
        <v>46</v>
      </c>
      <c r="C107" s="6" t="s">
        <v>3058</v>
      </c>
      <c r="D107" s="7">
        <v>0</v>
      </c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</row>
    <row r="108" spans="1:20">
      <c r="A108" s="6" t="s">
        <v>73</v>
      </c>
      <c r="B108" s="6">
        <v>47</v>
      </c>
      <c r="C108" s="6" t="s">
        <v>3058</v>
      </c>
      <c r="D108" s="7">
        <v>0</v>
      </c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</row>
    <row r="109" spans="1:20">
      <c r="A109" s="6" t="s">
        <v>73</v>
      </c>
      <c r="B109" s="6">
        <v>48</v>
      </c>
      <c r="C109" s="6" t="s">
        <v>3058</v>
      </c>
      <c r="D109" s="7">
        <v>0</v>
      </c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</row>
    <row r="110" spans="1:20">
      <c r="A110" s="6" t="s">
        <v>73</v>
      </c>
      <c r="B110" s="6">
        <v>49</v>
      </c>
      <c r="C110" s="6" t="s">
        <v>3058</v>
      </c>
      <c r="D110" s="7">
        <v>0</v>
      </c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</row>
    <row r="111" spans="1:20">
      <c r="A111" s="6" t="s">
        <v>73</v>
      </c>
      <c r="B111" s="6">
        <v>50</v>
      </c>
      <c r="C111" s="6" t="s">
        <v>3058</v>
      </c>
      <c r="D111" s="7">
        <v>0</v>
      </c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</row>
    <row r="112" spans="1:20">
      <c r="A112" s="6" t="s">
        <v>73</v>
      </c>
      <c r="B112" s="6">
        <v>51</v>
      </c>
      <c r="C112" s="6" t="s">
        <v>3058</v>
      </c>
      <c r="D112" s="7">
        <v>0</v>
      </c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</row>
    <row r="113" spans="1:20">
      <c r="A113" s="6" t="s">
        <v>73</v>
      </c>
      <c r="B113" s="6">
        <v>52</v>
      </c>
      <c r="C113" s="6" t="s">
        <v>3058</v>
      </c>
      <c r="D113" s="7">
        <v>0</v>
      </c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</row>
    <row r="114" spans="1:20">
      <c r="A114" s="6" t="s">
        <v>74</v>
      </c>
      <c r="B114" s="6">
        <v>39</v>
      </c>
      <c r="C114" s="6" t="s">
        <v>3058</v>
      </c>
      <c r="D114" s="7">
        <v>1000</v>
      </c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</row>
    <row r="115" spans="1:20">
      <c r="A115" s="6" t="s">
        <v>74</v>
      </c>
      <c r="B115" s="6">
        <v>40</v>
      </c>
      <c r="C115" s="6" t="s">
        <v>3058</v>
      </c>
      <c r="D115" s="7">
        <v>0</v>
      </c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</row>
    <row r="116" spans="1:20">
      <c r="A116" s="6" t="s">
        <v>74</v>
      </c>
      <c r="B116" s="6">
        <v>41</v>
      </c>
      <c r="C116" s="6" t="s">
        <v>3058</v>
      </c>
      <c r="D116" s="7">
        <v>0</v>
      </c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</row>
    <row r="117" spans="1:20">
      <c r="A117" s="6" t="s">
        <v>74</v>
      </c>
      <c r="B117" s="6">
        <v>42</v>
      </c>
      <c r="C117" s="6" t="s">
        <v>3058</v>
      </c>
      <c r="D117" s="7">
        <v>0</v>
      </c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</row>
    <row r="118" spans="1:20">
      <c r="A118" s="6" t="s">
        <v>74</v>
      </c>
      <c r="B118" s="6">
        <v>43</v>
      </c>
      <c r="C118" s="6" t="s">
        <v>3058</v>
      </c>
      <c r="D118" s="7">
        <v>0</v>
      </c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</row>
    <row r="119" spans="1:20">
      <c r="A119" s="6" t="s">
        <v>74</v>
      </c>
      <c r="B119" s="6">
        <v>44</v>
      </c>
      <c r="C119" s="6" t="s">
        <v>3058</v>
      </c>
      <c r="D119" s="7">
        <v>0</v>
      </c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</row>
    <row r="120" spans="1:20">
      <c r="A120" s="6" t="s">
        <v>74</v>
      </c>
      <c r="B120" s="6">
        <v>45</v>
      </c>
      <c r="C120" s="6" t="s">
        <v>3058</v>
      </c>
      <c r="D120" s="7">
        <v>0</v>
      </c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</row>
    <row r="121" spans="1:20">
      <c r="A121" s="6" t="s">
        <v>74</v>
      </c>
      <c r="B121" s="6">
        <v>46</v>
      </c>
      <c r="C121" s="6" t="s">
        <v>3058</v>
      </c>
      <c r="D121" s="7">
        <v>0</v>
      </c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</row>
    <row r="122" spans="1:20">
      <c r="A122" s="6" t="s">
        <v>74</v>
      </c>
      <c r="B122" s="6">
        <v>47</v>
      </c>
      <c r="C122" s="6" t="s">
        <v>3058</v>
      </c>
      <c r="D122" s="7">
        <v>0</v>
      </c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</row>
    <row r="123" spans="1:20">
      <c r="A123" s="6" t="s">
        <v>74</v>
      </c>
      <c r="B123" s="6">
        <v>48</v>
      </c>
      <c r="C123" s="6" t="s">
        <v>3058</v>
      </c>
      <c r="D123" s="7">
        <v>0</v>
      </c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</row>
    <row r="124" spans="1:20">
      <c r="A124" s="6" t="s">
        <v>74</v>
      </c>
      <c r="B124" s="6">
        <v>49</v>
      </c>
      <c r="C124" s="6" t="s">
        <v>3058</v>
      </c>
      <c r="D124" s="7">
        <v>0</v>
      </c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</row>
    <row r="125" spans="1:20">
      <c r="A125" s="6" t="s">
        <v>74</v>
      </c>
      <c r="B125" s="6">
        <v>50</v>
      </c>
      <c r="C125" s="6" t="s">
        <v>3058</v>
      </c>
      <c r="D125" s="7">
        <v>0</v>
      </c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</row>
    <row r="126" spans="1:20">
      <c r="A126" s="6" t="s">
        <v>74</v>
      </c>
      <c r="B126" s="6">
        <v>51</v>
      </c>
      <c r="C126" s="6" t="s">
        <v>3058</v>
      </c>
      <c r="D126" s="7">
        <v>0</v>
      </c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</row>
    <row r="127" spans="1:20">
      <c r="A127" s="6" t="s">
        <v>74</v>
      </c>
      <c r="B127" s="6">
        <v>52</v>
      </c>
      <c r="C127" s="6" t="s">
        <v>3058</v>
      </c>
      <c r="D127" s="7">
        <v>0</v>
      </c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</row>
    <row r="128" spans="1:20">
      <c r="A128" s="6" t="s">
        <v>75</v>
      </c>
      <c r="B128" s="6">
        <v>39</v>
      </c>
      <c r="C128" s="6" t="s">
        <v>3058</v>
      </c>
      <c r="D128" s="7">
        <v>0</v>
      </c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</row>
    <row r="129" spans="1:20">
      <c r="A129" s="6" t="s">
        <v>75</v>
      </c>
      <c r="B129" s="6">
        <v>40</v>
      </c>
      <c r="C129" s="6" t="s">
        <v>3058</v>
      </c>
      <c r="D129" s="7">
        <v>0</v>
      </c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</row>
    <row r="130" spans="1:20">
      <c r="A130" s="6" t="s">
        <v>75</v>
      </c>
      <c r="B130" s="6">
        <v>41</v>
      </c>
      <c r="C130" s="6" t="s">
        <v>3058</v>
      </c>
      <c r="D130" s="7">
        <v>1000</v>
      </c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</row>
    <row r="131" spans="1:20">
      <c r="A131" s="6" t="s">
        <v>75</v>
      </c>
      <c r="B131" s="6">
        <v>42</v>
      </c>
      <c r="C131" s="6" t="s">
        <v>3058</v>
      </c>
      <c r="D131" s="7">
        <v>0</v>
      </c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</row>
    <row r="132" spans="1:20">
      <c r="A132" s="6" t="s">
        <v>75</v>
      </c>
      <c r="B132" s="6">
        <v>43</v>
      </c>
      <c r="C132" s="6" t="s">
        <v>3058</v>
      </c>
      <c r="D132" s="7">
        <v>0</v>
      </c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</row>
    <row r="133" spans="1:20">
      <c r="A133" s="6" t="s">
        <v>75</v>
      </c>
      <c r="B133" s="6">
        <v>44</v>
      </c>
      <c r="C133" s="6" t="s">
        <v>3058</v>
      </c>
      <c r="D133" s="7">
        <v>0</v>
      </c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</row>
    <row r="134" spans="1:20">
      <c r="A134" s="6" t="s">
        <v>75</v>
      </c>
      <c r="B134" s="6">
        <v>45</v>
      </c>
      <c r="C134" s="6" t="s">
        <v>3058</v>
      </c>
      <c r="D134" s="7">
        <v>0</v>
      </c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</row>
    <row r="135" spans="1:20">
      <c r="A135" s="6" t="s">
        <v>75</v>
      </c>
      <c r="B135" s="6">
        <v>46</v>
      </c>
      <c r="C135" s="6" t="s">
        <v>3058</v>
      </c>
      <c r="D135" s="7">
        <v>0</v>
      </c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</row>
    <row r="136" spans="1:20">
      <c r="A136" s="6" t="s">
        <v>75</v>
      </c>
      <c r="B136" s="6">
        <v>47</v>
      </c>
      <c r="C136" s="6" t="s">
        <v>3058</v>
      </c>
      <c r="D136" s="7">
        <v>0</v>
      </c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</row>
    <row r="137" spans="1:20">
      <c r="A137" s="6" t="s">
        <v>75</v>
      </c>
      <c r="B137" s="6">
        <v>48</v>
      </c>
      <c r="C137" s="6" t="s">
        <v>3058</v>
      </c>
      <c r="D137" s="7">
        <v>0</v>
      </c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</row>
    <row r="138" spans="1:20">
      <c r="A138" s="6" t="s">
        <v>75</v>
      </c>
      <c r="B138" s="6">
        <v>49</v>
      </c>
      <c r="C138" s="6" t="s">
        <v>3058</v>
      </c>
      <c r="D138" s="7">
        <v>0</v>
      </c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</row>
    <row r="139" spans="1:20">
      <c r="A139" s="6" t="s">
        <v>75</v>
      </c>
      <c r="B139" s="6">
        <v>50</v>
      </c>
      <c r="C139" s="6" t="s">
        <v>3058</v>
      </c>
      <c r="D139" s="7">
        <v>0</v>
      </c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</row>
    <row r="140" spans="1:20">
      <c r="A140" s="6" t="s">
        <v>75</v>
      </c>
      <c r="B140" s="6">
        <v>51</v>
      </c>
      <c r="C140" s="6" t="s">
        <v>3058</v>
      </c>
      <c r="D140" s="7">
        <v>0</v>
      </c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</row>
    <row r="141" spans="1:20">
      <c r="A141" s="6" t="s">
        <v>75</v>
      </c>
      <c r="B141" s="6">
        <v>52</v>
      </c>
      <c r="C141" s="6" t="s">
        <v>3058</v>
      </c>
      <c r="D141" s="7">
        <v>0</v>
      </c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</row>
    <row r="142" spans="1:20">
      <c r="A142" s="6" t="s">
        <v>76</v>
      </c>
      <c r="B142" s="6">
        <v>39</v>
      </c>
      <c r="C142" s="6" t="s">
        <v>3058</v>
      </c>
      <c r="D142" s="7">
        <v>0</v>
      </c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</row>
    <row r="143" spans="1:20">
      <c r="A143" s="6" t="s">
        <v>76</v>
      </c>
      <c r="B143" s="6">
        <v>40</v>
      </c>
      <c r="C143" s="6" t="s">
        <v>3058</v>
      </c>
      <c r="D143" s="7">
        <v>1000</v>
      </c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</row>
    <row r="144" spans="1:20">
      <c r="A144" s="6" t="s">
        <v>76</v>
      </c>
      <c r="B144" s="6">
        <v>41</v>
      </c>
      <c r="C144" s="6" t="s">
        <v>3058</v>
      </c>
      <c r="D144" s="7">
        <v>0</v>
      </c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</row>
    <row r="145" spans="1:20">
      <c r="A145" s="6" t="s">
        <v>76</v>
      </c>
      <c r="B145" s="6">
        <v>42</v>
      </c>
      <c r="C145" s="6" t="s">
        <v>3058</v>
      </c>
      <c r="D145" s="7">
        <v>1000</v>
      </c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</row>
    <row r="146" spans="1:20">
      <c r="A146" s="6" t="s">
        <v>76</v>
      </c>
      <c r="B146" s="6">
        <v>43</v>
      </c>
      <c r="C146" s="6" t="s">
        <v>3058</v>
      </c>
      <c r="D146" s="7">
        <v>0</v>
      </c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</row>
    <row r="147" spans="1:20">
      <c r="A147" s="6" t="s">
        <v>76</v>
      </c>
      <c r="B147" s="6">
        <v>44</v>
      </c>
      <c r="C147" s="6" t="s">
        <v>3058</v>
      </c>
      <c r="D147" s="7">
        <v>2000</v>
      </c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</row>
    <row r="148" spans="1:20">
      <c r="A148" s="6" t="s">
        <v>76</v>
      </c>
      <c r="B148" s="6">
        <v>45</v>
      </c>
      <c r="C148" s="6" t="s">
        <v>3058</v>
      </c>
      <c r="D148" s="7">
        <v>1000</v>
      </c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</row>
    <row r="149" spans="1:20">
      <c r="A149" s="6" t="s">
        <v>76</v>
      </c>
      <c r="B149" s="6">
        <v>46</v>
      </c>
      <c r="C149" s="6" t="s">
        <v>3058</v>
      </c>
      <c r="D149" s="7">
        <v>1000</v>
      </c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</row>
    <row r="150" spans="1:20">
      <c r="A150" s="6" t="s">
        <v>76</v>
      </c>
      <c r="B150" s="6">
        <v>47</v>
      </c>
      <c r="C150" s="6" t="s">
        <v>3058</v>
      </c>
      <c r="D150" s="7">
        <v>2000</v>
      </c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</row>
    <row r="151" spans="1:20">
      <c r="A151" s="6" t="s">
        <v>76</v>
      </c>
      <c r="B151" s="6">
        <v>48</v>
      </c>
      <c r="C151" s="6" t="s">
        <v>3058</v>
      </c>
      <c r="D151" s="7">
        <v>1000</v>
      </c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</row>
    <row r="152" spans="1:20">
      <c r="A152" s="6" t="s">
        <v>76</v>
      </c>
      <c r="B152" s="6">
        <v>49</v>
      </c>
      <c r="C152" s="6" t="s">
        <v>3058</v>
      </c>
      <c r="D152" s="7">
        <v>0</v>
      </c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</row>
    <row r="153" spans="1:20">
      <c r="A153" s="6" t="s">
        <v>76</v>
      </c>
      <c r="B153" s="6">
        <v>50</v>
      </c>
      <c r="C153" s="6" t="s">
        <v>3058</v>
      </c>
      <c r="D153" s="7">
        <v>1000</v>
      </c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</row>
    <row r="154" spans="1:20">
      <c r="A154" s="6" t="s">
        <v>76</v>
      </c>
      <c r="B154" s="6">
        <v>51</v>
      </c>
      <c r="C154" s="6" t="s">
        <v>3058</v>
      </c>
      <c r="D154" s="7">
        <v>1000</v>
      </c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</row>
    <row r="155" spans="1:20">
      <c r="A155" s="6" t="s">
        <v>76</v>
      </c>
      <c r="B155" s="6">
        <v>52</v>
      </c>
      <c r="C155" s="6" t="s">
        <v>3058</v>
      </c>
      <c r="D155" s="7">
        <v>0</v>
      </c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</row>
    <row r="156" spans="1:20">
      <c r="A156" s="6" t="s">
        <v>77</v>
      </c>
      <c r="B156" s="6">
        <v>39</v>
      </c>
      <c r="C156" s="6" t="s">
        <v>3058</v>
      </c>
      <c r="D156" s="7">
        <v>0</v>
      </c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</row>
    <row r="157" spans="1:20">
      <c r="A157" s="6" t="s">
        <v>77</v>
      </c>
      <c r="B157" s="6">
        <v>40</v>
      </c>
      <c r="C157" s="6" t="s">
        <v>3058</v>
      </c>
      <c r="D157" s="7">
        <v>0</v>
      </c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</row>
    <row r="158" spans="1:20">
      <c r="A158" s="6" t="s">
        <v>77</v>
      </c>
      <c r="B158" s="6">
        <v>41</v>
      </c>
      <c r="C158" s="6" t="s">
        <v>3058</v>
      </c>
      <c r="D158" s="7">
        <v>2000</v>
      </c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</row>
    <row r="159" spans="1:20">
      <c r="A159" s="6" t="s">
        <v>77</v>
      </c>
      <c r="B159" s="6">
        <v>42</v>
      </c>
      <c r="C159" s="6" t="s">
        <v>3058</v>
      </c>
      <c r="D159" s="7">
        <v>2000</v>
      </c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</row>
    <row r="160" spans="1:20">
      <c r="A160" s="6" t="s">
        <v>77</v>
      </c>
      <c r="B160" s="6">
        <v>43</v>
      </c>
      <c r="C160" s="6" t="s">
        <v>3058</v>
      </c>
      <c r="D160" s="7">
        <v>1000</v>
      </c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</row>
    <row r="161" spans="1:20">
      <c r="A161" s="6" t="s">
        <v>77</v>
      </c>
      <c r="B161" s="6">
        <v>44</v>
      </c>
      <c r="C161" s="6" t="s">
        <v>3058</v>
      </c>
      <c r="D161" s="7">
        <v>2000</v>
      </c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</row>
    <row r="162" spans="1:20">
      <c r="A162" s="6" t="s">
        <v>77</v>
      </c>
      <c r="B162" s="6">
        <v>45</v>
      </c>
      <c r="C162" s="6" t="s">
        <v>3058</v>
      </c>
      <c r="D162" s="7">
        <v>2000</v>
      </c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</row>
    <row r="163" spans="1:20">
      <c r="A163" s="6" t="s">
        <v>77</v>
      </c>
      <c r="B163" s="6">
        <v>46</v>
      </c>
      <c r="C163" s="6" t="s">
        <v>3058</v>
      </c>
      <c r="D163" s="7">
        <v>2000</v>
      </c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</row>
    <row r="164" spans="1:20">
      <c r="A164" s="6" t="s">
        <v>77</v>
      </c>
      <c r="B164" s="6">
        <v>47</v>
      </c>
      <c r="C164" s="6" t="s">
        <v>3058</v>
      </c>
      <c r="D164" s="7">
        <v>2000</v>
      </c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</row>
    <row r="165" spans="1:20">
      <c r="A165" s="6" t="s">
        <v>77</v>
      </c>
      <c r="B165" s="6">
        <v>48</v>
      </c>
      <c r="C165" s="6" t="s">
        <v>3058</v>
      </c>
      <c r="D165" s="7">
        <v>2000</v>
      </c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</row>
    <row r="166" spans="1:20">
      <c r="A166" s="6" t="s">
        <v>77</v>
      </c>
      <c r="B166" s="6">
        <v>49</v>
      </c>
      <c r="C166" s="6" t="s">
        <v>3058</v>
      </c>
      <c r="D166" s="7">
        <v>3000</v>
      </c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</row>
    <row r="167" spans="1:20">
      <c r="A167" s="6" t="s">
        <v>77</v>
      </c>
      <c r="B167" s="6">
        <v>50</v>
      </c>
      <c r="C167" s="6" t="s">
        <v>3058</v>
      </c>
      <c r="D167" s="7">
        <v>1000</v>
      </c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</row>
    <row r="168" spans="1:20">
      <c r="A168" s="6" t="s">
        <v>77</v>
      </c>
      <c r="B168" s="6">
        <v>51</v>
      </c>
      <c r="C168" s="6" t="s">
        <v>3058</v>
      </c>
      <c r="D168" s="7">
        <v>3000</v>
      </c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</row>
    <row r="169" spans="1:20">
      <c r="A169" s="6" t="s">
        <v>77</v>
      </c>
      <c r="B169" s="6">
        <v>52</v>
      </c>
      <c r="C169" s="6" t="s">
        <v>3058</v>
      </c>
      <c r="D169" s="7">
        <v>0</v>
      </c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</row>
    <row r="170" spans="1:20">
      <c r="A170" s="6" t="s">
        <v>66</v>
      </c>
      <c r="B170" s="6">
        <v>39</v>
      </c>
      <c r="C170" s="6" t="s">
        <v>3059</v>
      </c>
      <c r="D170" s="7">
        <v>0</v>
      </c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</row>
    <row r="171" spans="1:20">
      <c r="A171" s="6" t="s">
        <v>66</v>
      </c>
      <c r="B171" s="6">
        <v>40</v>
      </c>
      <c r="C171" s="6" t="s">
        <v>3059</v>
      </c>
      <c r="D171" s="7">
        <v>0</v>
      </c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</row>
    <row r="172" spans="1:20">
      <c r="A172" s="6" t="s">
        <v>66</v>
      </c>
      <c r="B172" s="6">
        <v>41</v>
      </c>
      <c r="C172" s="6" t="s">
        <v>3059</v>
      </c>
      <c r="D172" s="7">
        <v>0</v>
      </c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</row>
    <row r="173" spans="1:20">
      <c r="A173" s="6" t="s">
        <v>66</v>
      </c>
      <c r="B173" s="6">
        <v>42</v>
      </c>
      <c r="C173" s="6" t="s">
        <v>3059</v>
      </c>
      <c r="D173" s="7">
        <v>1000</v>
      </c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</row>
    <row r="174" spans="1:20">
      <c r="A174" s="6" t="s">
        <v>66</v>
      </c>
      <c r="B174" s="6">
        <v>43</v>
      </c>
      <c r="C174" s="6" t="s">
        <v>3059</v>
      </c>
      <c r="D174" s="7">
        <v>3000</v>
      </c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</row>
    <row r="175" spans="1:20">
      <c r="A175" s="6" t="s">
        <v>66</v>
      </c>
      <c r="B175" s="6">
        <v>44</v>
      </c>
      <c r="C175" s="6" t="s">
        <v>3059</v>
      </c>
      <c r="D175" s="7">
        <v>5000</v>
      </c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</row>
    <row r="176" spans="1:20">
      <c r="A176" s="6" t="s">
        <v>66</v>
      </c>
      <c r="B176" s="6">
        <v>45</v>
      </c>
      <c r="C176" s="6" t="s">
        <v>3059</v>
      </c>
      <c r="D176" s="7">
        <v>2000</v>
      </c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</row>
    <row r="177" spans="1:20">
      <c r="A177" s="6" t="s">
        <v>66</v>
      </c>
      <c r="B177" s="6">
        <v>46</v>
      </c>
      <c r="C177" s="6" t="s">
        <v>3059</v>
      </c>
      <c r="D177" s="7">
        <v>1000</v>
      </c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</row>
    <row r="178" spans="1:20">
      <c r="A178" s="6" t="s">
        <v>66</v>
      </c>
      <c r="B178" s="6">
        <v>47</v>
      </c>
      <c r="C178" s="6" t="s">
        <v>3059</v>
      </c>
      <c r="D178" s="7">
        <v>3000</v>
      </c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</row>
    <row r="179" spans="1:20">
      <c r="A179" s="6" t="s">
        <v>66</v>
      </c>
      <c r="B179" s="6">
        <v>48</v>
      </c>
      <c r="C179" s="6" t="s">
        <v>3059</v>
      </c>
      <c r="D179" s="7">
        <v>1000</v>
      </c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</row>
    <row r="180" spans="1:20">
      <c r="A180" s="6" t="s">
        <v>66</v>
      </c>
      <c r="B180" s="6">
        <v>49</v>
      </c>
      <c r="C180" s="6" t="s">
        <v>3059</v>
      </c>
      <c r="D180" s="7">
        <v>1000</v>
      </c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</row>
    <row r="181" spans="1:20">
      <c r="A181" s="6" t="s">
        <v>66</v>
      </c>
      <c r="B181" s="6">
        <v>50</v>
      </c>
      <c r="C181" s="6" t="s">
        <v>3059</v>
      </c>
      <c r="D181" s="7">
        <v>2000</v>
      </c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</row>
    <row r="182" spans="1:20">
      <c r="A182" s="6" t="s">
        <v>66</v>
      </c>
      <c r="B182" s="6">
        <v>51</v>
      </c>
      <c r="C182" s="6" t="s">
        <v>3059</v>
      </c>
      <c r="D182" s="7">
        <v>2000</v>
      </c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</row>
    <row r="183" spans="1:20">
      <c r="A183" s="6" t="s">
        <v>66</v>
      </c>
      <c r="B183" s="6">
        <v>52</v>
      </c>
      <c r="C183" s="6" t="s">
        <v>3059</v>
      </c>
      <c r="D183" s="7">
        <v>0</v>
      </c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</row>
    <row r="184" spans="1:20">
      <c r="A184" s="6" t="s">
        <v>67</v>
      </c>
      <c r="B184" s="6">
        <v>39</v>
      </c>
      <c r="C184" s="6" t="s">
        <v>3059</v>
      </c>
      <c r="D184" s="7">
        <v>0</v>
      </c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</row>
    <row r="185" spans="1:20">
      <c r="A185" s="6" t="s">
        <v>67</v>
      </c>
      <c r="B185" s="6">
        <v>40</v>
      </c>
      <c r="C185" s="6" t="s">
        <v>3059</v>
      </c>
      <c r="D185" s="7">
        <v>1000</v>
      </c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</row>
    <row r="186" spans="1:20">
      <c r="A186" s="6" t="s">
        <v>67</v>
      </c>
      <c r="B186" s="6">
        <v>41</v>
      </c>
      <c r="C186" s="6" t="s">
        <v>3059</v>
      </c>
      <c r="D186" s="7">
        <v>0</v>
      </c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</row>
    <row r="187" spans="1:20">
      <c r="A187" s="6" t="s">
        <v>67</v>
      </c>
      <c r="B187" s="6">
        <v>42</v>
      </c>
      <c r="C187" s="6" t="s">
        <v>3059</v>
      </c>
      <c r="D187" s="7">
        <v>1000</v>
      </c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</row>
    <row r="188" spans="1:20">
      <c r="A188" s="6" t="s">
        <v>67</v>
      </c>
      <c r="B188" s="6">
        <v>43</v>
      </c>
      <c r="C188" s="6" t="s">
        <v>3059</v>
      </c>
      <c r="D188" s="7">
        <v>0</v>
      </c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</row>
    <row r="189" spans="1:20">
      <c r="A189" s="6" t="s">
        <v>67</v>
      </c>
      <c r="B189" s="6">
        <v>44</v>
      </c>
      <c r="C189" s="6" t="s">
        <v>3059</v>
      </c>
      <c r="D189" s="7">
        <v>2000</v>
      </c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</row>
    <row r="190" spans="1:20">
      <c r="A190" s="6" t="s">
        <v>67</v>
      </c>
      <c r="B190" s="6">
        <v>45</v>
      </c>
      <c r="C190" s="6" t="s">
        <v>3059</v>
      </c>
      <c r="D190" s="7">
        <v>1000</v>
      </c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</row>
    <row r="191" spans="1:20">
      <c r="A191" s="6" t="s">
        <v>67</v>
      </c>
      <c r="B191" s="6">
        <v>46</v>
      </c>
      <c r="C191" s="6" t="s">
        <v>3059</v>
      </c>
      <c r="D191" s="7">
        <v>1000</v>
      </c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</row>
    <row r="192" spans="1:20">
      <c r="A192" s="6" t="s">
        <v>67</v>
      </c>
      <c r="B192" s="6">
        <v>47</v>
      </c>
      <c r="C192" s="6" t="s">
        <v>3059</v>
      </c>
      <c r="D192" s="7">
        <v>1000</v>
      </c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</row>
    <row r="193" spans="1:20">
      <c r="A193" s="6" t="s">
        <v>67</v>
      </c>
      <c r="B193" s="6">
        <v>48</v>
      </c>
      <c r="C193" s="6" t="s">
        <v>3059</v>
      </c>
      <c r="D193" s="7">
        <v>0</v>
      </c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</row>
    <row r="194" spans="1:20">
      <c r="A194" s="6" t="s">
        <v>67</v>
      </c>
      <c r="B194" s="6">
        <v>49</v>
      </c>
      <c r="C194" s="6" t="s">
        <v>3059</v>
      </c>
      <c r="D194" s="7">
        <v>1000</v>
      </c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</row>
    <row r="195" spans="1:20">
      <c r="A195" s="6" t="s">
        <v>67</v>
      </c>
      <c r="B195" s="6">
        <v>50</v>
      </c>
      <c r="C195" s="6" t="s">
        <v>3059</v>
      </c>
      <c r="D195" s="7">
        <v>2000</v>
      </c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</row>
    <row r="196" spans="1:20">
      <c r="A196" s="6" t="s">
        <v>67</v>
      </c>
      <c r="B196" s="6">
        <v>51</v>
      </c>
      <c r="C196" s="6" t="s">
        <v>3059</v>
      </c>
      <c r="D196" s="7">
        <v>1000</v>
      </c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</row>
    <row r="197" spans="1:20">
      <c r="A197" s="6" t="s">
        <v>67</v>
      </c>
      <c r="B197" s="6">
        <v>52</v>
      </c>
      <c r="C197" s="6" t="s">
        <v>3059</v>
      </c>
      <c r="D197" s="7">
        <v>0</v>
      </c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</row>
    <row r="198" spans="1:20">
      <c r="A198" s="6" t="s">
        <v>68</v>
      </c>
      <c r="B198" s="6">
        <v>39</v>
      </c>
      <c r="C198" s="6" t="s">
        <v>3059</v>
      </c>
      <c r="D198" s="7">
        <v>0</v>
      </c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</row>
    <row r="199" spans="1:20">
      <c r="A199" s="6" t="s">
        <v>68</v>
      </c>
      <c r="B199" s="6">
        <v>40</v>
      </c>
      <c r="C199" s="6" t="s">
        <v>3059</v>
      </c>
      <c r="D199" s="7">
        <v>1000</v>
      </c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</row>
    <row r="200" spans="1:20">
      <c r="A200" s="6" t="s">
        <v>68</v>
      </c>
      <c r="B200" s="6">
        <v>41</v>
      </c>
      <c r="C200" s="6" t="s">
        <v>3059</v>
      </c>
      <c r="D200" s="7">
        <v>0</v>
      </c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</row>
    <row r="201" spans="1:20">
      <c r="A201" s="6" t="s">
        <v>68</v>
      </c>
      <c r="B201" s="6">
        <v>42</v>
      </c>
      <c r="C201" s="6" t="s">
        <v>3059</v>
      </c>
      <c r="D201" s="7">
        <v>0</v>
      </c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</row>
    <row r="202" spans="1:20">
      <c r="A202" s="6" t="s">
        <v>68</v>
      </c>
      <c r="B202" s="6">
        <v>43</v>
      </c>
      <c r="C202" s="6" t="s">
        <v>3059</v>
      </c>
      <c r="D202" s="7">
        <v>0</v>
      </c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</row>
    <row r="203" spans="1:20">
      <c r="A203" s="6" t="s">
        <v>68</v>
      </c>
      <c r="B203" s="6">
        <v>44</v>
      </c>
      <c r="C203" s="6" t="s">
        <v>3059</v>
      </c>
      <c r="D203" s="7">
        <v>0</v>
      </c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</row>
    <row r="204" spans="1:20">
      <c r="A204" s="6" t="s">
        <v>68</v>
      </c>
      <c r="B204" s="6">
        <v>45</v>
      </c>
      <c r="C204" s="6" t="s">
        <v>3059</v>
      </c>
      <c r="D204" s="7">
        <v>0</v>
      </c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</row>
    <row r="205" spans="1:20">
      <c r="A205" s="6" t="s">
        <v>68</v>
      </c>
      <c r="B205" s="6">
        <v>46</v>
      </c>
      <c r="C205" s="6" t="s">
        <v>3059</v>
      </c>
      <c r="D205" s="7">
        <v>0</v>
      </c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</row>
    <row r="206" spans="1:20">
      <c r="A206" s="6" t="s">
        <v>68</v>
      </c>
      <c r="B206" s="6">
        <v>47</v>
      </c>
      <c r="C206" s="6" t="s">
        <v>3059</v>
      </c>
      <c r="D206" s="7">
        <v>0</v>
      </c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</row>
    <row r="207" spans="1:20">
      <c r="A207" s="6" t="s">
        <v>68</v>
      </c>
      <c r="B207" s="6">
        <v>48</v>
      </c>
      <c r="C207" s="6" t="s">
        <v>3059</v>
      </c>
      <c r="D207" s="7">
        <v>0</v>
      </c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</row>
    <row r="208" spans="1:20">
      <c r="A208" s="6" t="s">
        <v>68</v>
      </c>
      <c r="B208" s="6">
        <v>49</v>
      </c>
      <c r="C208" s="6" t="s">
        <v>3059</v>
      </c>
      <c r="D208" s="7">
        <v>0</v>
      </c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</row>
    <row r="209" spans="1:20">
      <c r="A209" s="6" t="s">
        <v>68</v>
      </c>
      <c r="B209" s="6">
        <v>50</v>
      </c>
      <c r="C209" s="6" t="s">
        <v>3059</v>
      </c>
      <c r="D209" s="7">
        <v>0</v>
      </c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</row>
    <row r="210" spans="1:20">
      <c r="A210" s="6" t="s">
        <v>68</v>
      </c>
      <c r="B210" s="6">
        <v>51</v>
      </c>
      <c r="C210" s="6" t="s">
        <v>3059</v>
      </c>
      <c r="D210" s="7">
        <v>0</v>
      </c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</row>
    <row r="211" spans="1:20">
      <c r="A211" s="6" t="s">
        <v>68</v>
      </c>
      <c r="B211" s="6">
        <v>52</v>
      </c>
      <c r="C211" s="6" t="s">
        <v>3059</v>
      </c>
      <c r="D211" s="7">
        <v>0</v>
      </c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</row>
    <row r="212" spans="1:20">
      <c r="A212" s="6" t="s">
        <v>69</v>
      </c>
      <c r="B212" s="6">
        <v>39</v>
      </c>
      <c r="C212" s="6" t="s">
        <v>3059</v>
      </c>
      <c r="D212" s="7">
        <v>0</v>
      </c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</row>
    <row r="213" spans="1:20">
      <c r="A213" s="6" t="s">
        <v>69</v>
      </c>
      <c r="B213" s="6">
        <v>40</v>
      </c>
      <c r="C213" s="6" t="s">
        <v>3059</v>
      </c>
      <c r="D213" s="7">
        <v>0</v>
      </c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</row>
    <row r="214" spans="1:20">
      <c r="A214" s="6" t="s">
        <v>69</v>
      </c>
      <c r="B214" s="6">
        <v>41</v>
      </c>
      <c r="C214" s="6" t="s">
        <v>3059</v>
      </c>
      <c r="D214" s="7">
        <v>2000</v>
      </c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</row>
    <row r="215" spans="1:20">
      <c r="A215" s="6" t="s">
        <v>69</v>
      </c>
      <c r="B215" s="6">
        <v>42</v>
      </c>
      <c r="C215" s="6" t="s">
        <v>3059</v>
      </c>
      <c r="D215" s="7">
        <v>1000</v>
      </c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</row>
    <row r="216" spans="1:20">
      <c r="A216" s="6" t="s">
        <v>69</v>
      </c>
      <c r="B216" s="6">
        <v>43</v>
      </c>
      <c r="C216" s="6" t="s">
        <v>3059</v>
      </c>
      <c r="D216" s="7">
        <v>3000</v>
      </c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</row>
    <row r="217" spans="1:20">
      <c r="A217" s="6" t="s">
        <v>69</v>
      </c>
      <c r="B217" s="6">
        <v>44</v>
      </c>
      <c r="C217" s="6" t="s">
        <v>3059</v>
      </c>
      <c r="D217" s="7">
        <v>1000</v>
      </c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</row>
    <row r="218" spans="1:20">
      <c r="A218" s="6" t="s">
        <v>69</v>
      </c>
      <c r="B218" s="6">
        <v>45</v>
      </c>
      <c r="C218" s="6" t="s">
        <v>3059</v>
      </c>
      <c r="D218" s="7">
        <v>4000</v>
      </c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</row>
    <row r="219" spans="1:20">
      <c r="A219" s="6" t="s">
        <v>69</v>
      </c>
      <c r="B219" s="6">
        <v>46</v>
      </c>
      <c r="C219" s="6" t="s">
        <v>3059</v>
      </c>
      <c r="D219" s="7">
        <v>2000</v>
      </c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</row>
    <row r="220" spans="1:20">
      <c r="A220" s="6" t="s">
        <v>69</v>
      </c>
      <c r="B220" s="6">
        <v>47</v>
      </c>
      <c r="C220" s="6" t="s">
        <v>3059</v>
      </c>
      <c r="D220" s="7">
        <v>2000</v>
      </c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</row>
    <row r="221" spans="1:20">
      <c r="A221" s="6" t="s">
        <v>69</v>
      </c>
      <c r="B221" s="6">
        <v>48</v>
      </c>
      <c r="C221" s="6" t="s">
        <v>3059</v>
      </c>
      <c r="D221" s="7">
        <v>3000</v>
      </c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</row>
    <row r="222" spans="1:20">
      <c r="A222" s="6" t="s">
        <v>69</v>
      </c>
      <c r="B222" s="6">
        <v>49</v>
      </c>
      <c r="C222" s="6" t="s">
        <v>3059</v>
      </c>
      <c r="D222" s="7">
        <v>3000</v>
      </c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</row>
    <row r="223" spans="1:20">
      <c r="A223" s="6" t="s">
        <v>69</v>
      </c>
      <c r="B223" s="6">
        <v>50</v>
      </c>
      <c r="C223" s="6" t="s">
        <v>3059</v>
      </c>
      <c r="D223" s="7">
        <v>3000</v>
      </c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</row>
    <row r="224" spans="1:20">
      <c r="A224" s="6" t="s">
        <v>69</v>
      </c>
      <c r="B224" s="6">
        <v>51</v>
      </c>
      <c r="C224" s="6" t="s">
        <v>3059</v>
      </c>
      <c r="D224" s="7">
        <v>1000</v>
      </c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</row>
    <row r="225" spans="1:20">
      <c r="A225" s="6" t="s">
        <v>69</v>
      </c>
      <c r="B225" s="6">
        <v>52</v>
      </c>
      <c r="C225" s="6" t="s">
        <v>3059</v>
      </c>
      <c r="D225" s="7">
        <v>0</v>
      </c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</row>
    <row r="226" spans="1:20">
      <c r="A226" s="6" t="s">
        <v>70</v>
      </c>
      <c r="B226" s="6">
        <v>39</v>
      </c>
      <c r="C226" s="6" t="s">
        <v>3059</v>
      </c>
      <c r="D226" s="7">
        <v>1000</v>
      </c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</row>
    <row r="227" spans="1:20">
      <c r="A227" s="6" t="s">
        <v>70</v>
      </c>
      <c r="B227" s="6">
        <v>40</v>
      </c>
      <c r="C227" s="6" t="s">
        <v>3059</v>
      </c>
      <c r="D227" s="7">
        <v>0</v>
      </c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</row>
    <row r="228" spans="1:20">
      <c r="A228" s="6" t="s">
        <v>70</v>
      </c>
      <c r="B228" s="6">
        <v>41</v>
      </c>
      <c r="C228" s="6" t="s">
        <v>3059</v>
      </c>
      <c r="D228" s="7">
        <v>0</v>
      </c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</row>
    <row r="229" spans="1:20">
      <c r="A229" s="6" t="s">
        <v>70</v>
      </c>
      <c r="B229" s="6">
        <v>42</v>
      </c>
      <c r="C229" s="6" t="s">
        <v>3059</v>
      </c>
      <c r="D229" s="7">
        <v>0</v>
      </c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</row>
    <row r="230" spans="1:20">
      <c r="A230" s="6" t="s">
        <v>70</v>
      </c>
      <c r="B230" s="6">
        <v>43</v>
      </c>
      <c r="C230" s="6" t="s">
        <v>3059</v>
      </c>
      <c r="D230" s="7">
        <v>0</v>
      </c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</row>
    <row r="231" spans="1:20">
      <c r="A231" s="6" t="s">
        <v>70</v>
      </c>
      <c r="B231" s="6">
        <v>44</v>
      </c>
      <c r="C231" s="6" t="s">
        <v>3059</v>
      </c>
      <c r="D231" s="7">
        <v>0</v>
      </c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</row>
    <row r="232" spans="1:20">
      <c r="A232" s="6" t="s">
        <v>70</v>
      </c>
      <c r="B232" s="6">
        <v>45</v>
      </c>
      <c r="C232" s="6" t="s">
        <v>3059</v>
      </c>
      <c r="D232" s="7">
        <v>0</v>
      </c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</row>
    <row r="233" spans="1:20">
      <c r="A233" s="6" t="s">
        <v>70</v>
      </c>
      <c r="B233" s="6">
        <v>46</v>
      </c>
      <c r="C233" s="6" t="s">
        <v>3059</v>
      </c>
      <c r="D233" s="7">
        <v>0</v>
      </c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</row>
    <row r="234" spans="1:20">
      <c r="A234" s="6" t="s">
        <v>70</v>
      </c>
      <c r="B234" s="6">
        <v>47</v>
      </c>
      <c r="C234" s="6" t="s">
        <v>3059</v>
      </c>
      <c r="D234" s="7">
        <v>0</v>
      </c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</row>
    <row r="235" spans="1:20">
      <c r="A235" s="6" t="s">
        <v>70</v>
      </c>
      <c r="B235" s="6">
        <v>48</v>
      </c>
      <c r="C235" s="6" t="s">
        <v>3059</v>
      </c>
      <c r="D235" s="7">
        <v>0</v>
      </c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</row>
    <row r="236" spans="1:20">
      <c r="A236" s="6" t="s">
        <v>70</v>
      </c>
      <c r="B236" s="6">
        <v>49</v>
      </c>
      <c r="C236" s="6" t="s">
        <v>3059</v>
      </c>
      <c r="D236" s="7">
        <v>0</v>
      </c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</row>
    <row r="237" spans="1:20">
      <c r="A237" s="6" t="s">
        <v>70</v>
      </c>
      <c r="B237" s="6">
        <v>50</v>
      </c>
      <c r="C237" s="6" t="s">
        <v>3059</v>
      </c>
      <c r="D237" s="7">
        <v>0</v>
      </c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</row>
    <row r="238" spans="1:20">
      <c r="A238" s="6" t="s">
        <v>70</v>
      </c>
      <c r="B238" s="6">
        <v>51</v>
      </c>
      <c r="C238" s="6" t="s">
        <v>3059</v>
      </c>
      <c r="D238" s="7">
        <v>0</v>
      </c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</row>
    <row r="239" spans="1:20">
      <c r="A239" s="6" t="s">
        <v>70</v>
      </c>
      <c r="B239" s="6">
        <v>52</v>
      </c>
      <c r="C239" s="6" t="s">
        <v>3059</v>
      </c>
      <c r="D239" s="7">
        <v>0</v>
      </c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</row>
    <row r="240" spans="1:20">
      <c r="A240" s="6" t="s">
        <v>71</v>
      </c>
      <c r="B240" s="6">
        <v>39</v>
      </c>
      <c r="C240" s="6" t="s">
        <v>3059</v>
      </c>
      <c r="D240" s="7">
        <v>0</v>
      </c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</row>
    <row r="241" spans="1:20">
      <c r="A241" s="6" t="s">
        <v>71</v>
      </c>
      <c r="B241" s="6">
        <v>40</v>
      </c>
      <c r="C241" s="6" t="s">
        <v>3059</v>
      </c>
      <c r="D241" s="7">
        <v>1000</v>
      </c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</row>
    <row r="242" spans="1:20">
      <c r="A242" s="6" t="s">
        <v>71</v>
      </c>
      <c r="B242" s="6">
        <v>41</v>
      </c>
      <c r="C242" s="6" t="s">
        <v>3059</v>
      </c>
      <c r="D242" s="7">
        <v>0</v>
      </c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</row>
    <row r="243" spans="1:20">
      <c r="A243" s="6" t="s">
        <v>71</v>
      </c>
      <c r="B243" s="6">
        <v>42</v>
      </c>
      <c r="C243" s="6" t="s">
        <v>3059</v>
      </c>
      <c r="D243" s="7">
        <v>0</v>
      </c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</row>
    <row r="244" spans="1:20">
      <c r="A244" s="6" t="s">
        <v>71</v>
      </c>
      <c r="B244" s="6">
        <v>43</v>
      </c>
      <c r="C244" s="6" t="s">
        <v>3059</v>
      </c>
      <c r="D244" s="7">
        <v>0</v>
      </c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</row>
    <row r="245" spans="1:20">
      <c r="A245" s="6" t="s">
        <v>71</v>
      </c>
      <c r="B245" s="6">
        <v>44</v>
      </c>
      <c r="C245" s="6" t="s">
        <v>3059</v>
      </c>
      <c r="D245" s="7">
        <v>0</v>
      </c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</row>
    <row r="246" spans="1:20">
      <c r="A246" s="6" t="s">
        <v>71</v>
      </c>
      <c r="B246" s="6">
        <v>45</v>
      </c>
      <c r="C246" s="6" t="s">
        <v>3059</v>
      </c>
      <c r="D246" s="7">
        <v>0</v>
      </c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</row>
    <row r="247" spans="1:20">
      <c r="A247" s="6" t="s">
        <v>71</v>
      </c>
      <c r="B247" s="6">
        <v>46</v>
      </c>
      <c r="C247" s="6" t="s">
        <v>3059</v>
      </c>
      <c r="D247" s="7">
        <v>0</v>
      </c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</row>
    <row r="248" spans="1:20">
      <c r="A248" s="6" t="s">
        <v>71</v>
      </c>
      <c r="B248" s="6">
        <v>47</v>
      </c>
      <c r="C248" s="6" t="s">
        <v>3059</v>
      </c>
      <c r="D248" s="7">
        <v>0</v>
      </c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</row>
    <row r="249" spans="1:20">
      <c r="A249" s="6" t="s">
        <v>71</v>
      </c>
      <c r="B249" s="6">
        <v>48</v>
      </c>
      <c r="C249" s="6" t="s">
        <v>3059</v>
      </c>
      <c r="D249" s="7">
        <v>0</v>
      </c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</row>
    <row r="250" spans="1:20">
      <c r="A250" s="6" t="s">
        <v>71</v>
      </c>
      <c r="B250" s="6">
        <v>49</v>
      </c>
      <c r="C250" s="6" t="s">
        <v>3059</v>
      </c>
      <c r="D250" s="7">
        <v>0</v>
      </c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</row>
    <row r="251" spans="1:20">
      <c r="A251" s="6" t="s">
        <v>71</v>
      </c>
      <c r="B251" s="6">
        <v>50</v>
      </c>
      <c r="C251" s="6" t="s">
        <v>3059</v>
      </c>
      <c r="D251" s="7">
        <v>0</v>
      </c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</row>
    <row r="252" spans="1:20">
      <c r="A252" s="6" t="s">
        <v>71</v>
      </c>
      <c r="B252" s="6">
        <v>51</v>
      </c>
      <c r="C252" s="6" t="s">
        <v>3059</v>
      </c>
      <c r="D252" s="7">
        <v>0</v>
      </c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</row>
    <row r="253" spans="1:20">
      <c r="A253" s="6" t="s">
        <v>71</v>
      </c>
      <c r="B253" s="6">
        <v>52</v>
      </c>
      <c r="C253" s="6" t="s">
        <v>3059</v>
      </c>
      <c r="D253" s="7">
        <v>0</v>
      </c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</row>
    <row r="254" spans="1:20">
      <c r="A254" s="6" t="s">
        <v>72</v>
      </c>
      <c r="B254" s="6">
        <v>39</v>
      </c>
      <c r="C254" s="6" t="s">
        <v>3059</v>
      </c>
      <c r="D254" s="7">
        <v>0</v>
      </c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</row>
    <row r="255" spans="1:20">
      <c r="A255" s="6" t="s">
        <v>72</v>
      </c>
      <c r="B255" s="6">
        <v>40</v>
      </c>
      <c r="C255" s="6" t="s">
        <v>3059</v>
      </c>
      <c r="D255" s="7">
        <v>0</v>
      </c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</row>
    <row r="256" spans="1:20">
      <c r="A256" s="6" t="s">
        <v>72</v>
      </c>
      <c r="B256" s="6">
        <v>41</v>
      </c>
      <c r="C256" s="6" t="s">
        <v>3059</v>
      </c>
      <c r="D256" s="7">
        <v>0</v>
      </c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</row>
    <row r="257" spans="1:20">
      <c r="A257" s="6" t="s">
        <v>72</v>
      </c>
      <c r="B257" s="6">
        <v>42</v>
      </c>
      <c r="C257" s="6" t="s">
        <v>3059</v>
      </c>
      <c r="D257" s="7">
        <v>1000</v>
      </c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</row>
    <row r="258" spans="1:20">
      <c r="A258" s="6" t="s">
        <v>72</v>
      </c>
      <c r="B258" s="6">
        <v>43</v>
      </c>
      <c r="C258" s="6" t="s">
        <v>3059</v>
      </c>
      <c r="D258" s="7">
        <v>0</v>
      </c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</row>
    <row r="259" spans="1:20">
      <c r="A259" s="6" t="s">
        <v>72</v>
      </c>
      <c r="B259" s="6">
        <v>44</v>
      </c>
      <c r="C259" s="6" t="s">
        <v>3059</v>
      </c>
      <c r="D259" s="7">
        <v>0</v>
      </c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</row>
    <row r="260" spans="1:20">
      <c r="A260" s="6" t="s">
        <v>72</v>
      </c>
      <c r="B260" s="6">
        <v>45</v>
      </c>
      <c r="C260" s="6" t="s">
        <v>3059</v>
      </c>
      <c r="D260" s="7">
        <v>0</v>
      </c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</row>
    <row r="261" spans="1:20">
      <c r="A261" s="6" t="s">
        <v>72</v>
      </c>
      <c r="B261" s="6">
        <v>46</v>
      </c>
      <c r="C261" s="6" t="s">
        <v>3059</v>
      </c>
      <c r="D261" s="7">
        <v>0</v>
      </c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</row>
    <row r="262" spans="1:20">
      <c r="A262" s="6" t="s">
        <v>72</v>
      </c>
      <c r="B262" s="6">
        <v>47</v>
      </c>
      <c r="C262" s="6" t="s">
        <v>3059</v>
      </c>
      <c r="D262" s="7">
        <v>0</v>
      </c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</row>
    <row r="263" spans="1:20">
      <c r="A263" s="6" t="s">
        <v>72</v>
      </c>
      <c r="B263" s="6">
        <v>48</v>
      </c>
      <c r="C263" s="6" t="s">
        <v>3059</v>
      </c>
      <c r="D263" s="7">
        <v>0</v>
      </c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</row>
    <row r="264" spans="1:20">
      <c r="A264" s="6" t="s">
        <v>72</v>
      </c>
      <c r="B264" s="6">
        <v>49</v>
      </c>
      <c r="C264" s="6" t="s">
        <v>3059</v>
      </c>
      <c r="D264" s="7">
        <v>0</v>
      </c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</row>
    <row r="265" spans="1:20">
      <c r="A265" s="6" t="s">
        <v>72</v>
      </c>
      <c r="B265" s="6">
        <v>50</v>
      </c>
      <c r="C265" s="6" t="s">
        <v>3059</v>
      </c>
      <c r="D265" s="7">
        <v>0</v>
      </c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</row>
    <row r="266" spans="1:20">
      <c r="A266" s="6" t="s">
        <v>72</v>
      </c>
      <c r="B266" s="6">
        <v>51</v>
      </c>
      <c r="C266" s="6" t="s">
        <v>3059</v>
      </c>
      <c r="D266" s="7">
        <v>0</v>
      </c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</row>
    <row r="267" spans="1:20">
      <c r="A267" s="6" t="s">
        <v>72</v>
      </c>
      <c r="B267" s="6">
        <v>52</v>
      </c>
      <c r="C267" s="6" t="s">
        <v>3059</v>
      </c>
      <c r="D267" s="7">
        <v>0</v>
      </c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</row>
    <row r="268" spans="1:20">
      <c r="A268" s="6" t="s">
        <v>73</v>
      </c>
      <c r="B268" s="6">
        <v>39</v>
      </c>
      <c r="C268" s="6" t="s">
        <v>3059</v>
      </c>
      <c r="D268" s="7">
        <v>0</v>
      </c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</row>
    <row r="269" spans="1:20">
      <c r="A269" s="6" t="s">
        <v>73</v>
      </c>
      <c r="B269" s="6">
        <v>40</v>
      </c>
      <c r="C269" s="6" t="s">
        <v>3059</v>
      </c>
      <c r="D269" s="7">
        <v>1000</v>
      </c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</row>
    <row r="270" spans="1:20">
      <c r="A270" s="6" t="s">
        <v>73</v>
      </c>
      <c r="B270" s="6">
        <v>41</v>
      </c>
      <c r="C270" s="6" t="s">
        <v>3059</v>
      </c>
      <c r="D270" s="7">
        <v>0</v>
      </c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</row>
    <row r="271" spans="1:20">
      <c r="A271" s="6" t="s">
        <v>73</v>
      </c>
      <c r="B271" s="6">
        <v>42</v>
      </c>
      <c r="C271" s="6" t="s">
        <v>3059</v>
      </c>
      <c r="D271" s="7">
        <v>0</v>
      </c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</row>
    <row r="272" spans="1:20">
      <c r="A272" s="6" t="s">
        <v>73</v>
      </c>
      <c r="B272" s="6">
        <v>43</v>
      </c>
      <c r="C272" s="6" t="s">
        <v>3059</v>
      </c>
      <c r="D272" s="7">
        <v>0</v>
      </c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</row>
    <row r="273" spans="1:20">
      <c r="A273" s="6" t="s">
        <v>73</v>
      </c>
      <c r="B273" s="6">
        <v>44</v>
      </c>
      <c r="C273" s="6" t="s">
        <v>3059</v>
      </c>
      <c r="D273" s="7">
        <v>0</v>
      </c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</row>
    <row r="274" spans="1:20">
      <c r="A274" s="6" t="s">
        <v>73</v>
      </c>
      <c r="B274" s="6">
        <v>45</v>
      </c>
      <c r="C274" s="6" t="s">
        <v>3059</v>
      </c>
      <c r="D274" s="7">
        <v>0</v>
      </c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</row>
    <row r="275" spans="1:20">
      <c r="A275" s="6" t="s">
        <v>73</v>
      </c>
      <c r="B275" s="6">
        <v>46</v>
      </c>
      <c r="C275" s="6" t="s">
        <v>3059</v>
      </c>
      <c r="D275" s="7">
        <v>0</v>
      </c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</row>
    <row r="276" spans="1:20">
      <c r="A276" s="6" t="s">
        <v>73</v>
      </c>
      <c r="B276" s="6">
        <v>47</v>
      </c>
      <c r="C276" s="6" t="s">
        <v>3059</v>
      </c>
      <c r="D276" s="7">
        <v>0</v>
      </c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</row>
    <row r="277" spans="1:20">
      <c r="A277" s="6" t="s">
        <v>73</v>
      </c>
      <c r="B277" s="6">
        <v>48</v>
      </c>
      <c r="C277" s="6" t="s">
        <v>3059</v>
      </c>
      <c r="D277" s="7">
        <v>0</v>
      </c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</row>
    <row r="278" spans="1:20">
      <c r="A278" s="6" t="s">
        <v>73</v>
      </c>
      <c r="B278" s="6">
        <v>49</v>
      </c>
      <c r="C278" s="6" t="s">
        <v>3059</v>
      </c>
      <c r="D278" s="7">
        <v>0</v>
      </c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</row>
    <row r="279" spans="1:20">
      <c r="A279" s="6" t="s">
        <v>73</v>
      </c>
      <c r="B279" s="6">
        <v>50</v>
      </c>
      <c r="C279" s="6" t="s">
        <v>3059</v>
      </c>
      <c r="D279" s="7">
        <v>0</v>
      </c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</row>
    <row r="280" spans="1:20">
      <c r="A280" s="6" t="s">
        <v>73</v>
      </c>
      <c r="B280" s="6">
        <v>51</v>
      </c>
      <c r="C280" s="6" t="s">
        <v>3059</v>
      </c>
      <c r="D280" s="7">
        <v>0</v>
      </c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</row>
    <row r="281" spans="1:20">
      <c r="A281" s="6" t="s">
        <v>73</v>
      </c>
      <c r="B281" s="6">
        <v>52</v>
      </c>
      <c r="C281" s="6" t="s">
        <v>3059</v>
      </c>
      <c r="D281" s="7">
        <v>0</v>
      </c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</row>
    <row r="282" spans="1:20">
      <c r="A282" s="6" t="s">
        <v>74</v>
      </c>
      <c r="B282" s="6">
        <v>39</v>
      </c>
      <c r="C282" s="6" t="s">
        <v>3059</v>
      </c>
      <c r="D282" s="7">
        <v>1000</v>
      </c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</row>
    <row r="283" spans="1:20">
      <c r="A283" s="6" t="s">
        <v>74</v>
      </c>
      <c r="B283" s="6">
        <v>40</v>
      </c>
      <c r="C283" s="6" t="s">
        <v>3059</v>
      </c>
      <c r="D283" s="7">
        <v>0</v>
      </c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</row>
    <row r="284" spans="1:20">
      <c r="A284" s="6" t="s">
        <v>74</v>
      </c>
      <c r="B284" s="6">
        <v>41</v>
      </c>
      <c r="C284" s="6" t="s">
        <v>3059</v>
      </c>
      <c r="D284" s="7">
        <v>0</v>
      </c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</row>
    <row r="285" spans="1:20">
      <c r="A285" s="6" t="s">
        <v>74</v>
      </c>
      <c r="B285" s="6">
        <v>42</v>
      </c>
      <c r="C285" s="6" t="s">
        <v>3059</v>
      </c>
      <c r="D285" s="7">
        <v>0</v>
      </c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</row>
    <row r="286" spans="1:20">
      <c r="A286" s="6" t="s">
        <v>74</v>
      </c>
      <c r="B286" s="6">
        <v>43</v>
      </c>
      <c r="C286" s="6" t="s">
        <v>3059</v>
      </c>
      <c r="D286" s="7">
        <v>0</v>
      </c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</row>
    <row r="287" spans="1:20">
      <c r="A287" s="6" t="s">
        <v>74</v>
      </c>
      <c r="B287" s="6">
        <v>44</v>
      </c>
      <c r="C287" s="6" t="s">
        <v>3059</v>
      </c>
      <c r="D287" s="7">
        <v>0</v>
      </c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</row>
    <row r="288" spans="1:20">
      <c r="A288" s="6" t="s">
        <v>74</v>
      </c>
      <c r="B288" s="6">
        <v>45</v>
      </c>
      <c r="C288" s="6" t="s">
        <v>3059</v>
      </c>
      <c r="D288" s="7">
        <v>0</v>
      </c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</row>
    <row r="289" spans="1:20">
      <c r="A289" s="6" t="s">
        <v>74</v>
      </c>
      <c r="B289" s="6">
        <v>46</v>
      </c>
      <c r="C289" s="6" t="s">
        <v>3059</v>
      </c>
      <c r="D289" s="7">
        <v>0</v>
      </c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</row>
    <row r="290" spans="1:20">
      <c r="A290" s="6" t="s">
        <v>74</v>
      </c>
      <c r="B290" s="6">
        <v>47</v>
      </c>
      <c r="C290" s="6" t="s">
        <v>3059</v>
      </c>
      <c r="D290" s="7">
        <v>0</v>
      </c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</row>
    <row r="291" spans="1:20">
      <c r="A291" s="6" t="s">
        <v>74</v>
      </c>
      <c r="B291" s="6">
        <v>48</v>
      </c>
      <c r="C291" s="6" t="s">
        <v>3059</v>
      </c>
      <c r="D291" s="7">
        <v>0</v>
      </c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</row>
    <row r="292" spans="1:20">
      <c r="A292" s="6" t="s">
        <v>74</v>
      </c>
      <c r="B292" s="6">
        <v>49</v>
      </c>
      <c r="C292" s="6" t="s">
        <v>3059</v>
      </c>
      <c r="D292" s="7">
        <v>0</v>
      </c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</row>
    <row r="293" spans="1:20">
      <c r="A293" s="6" t="s">
        <v>74</v>
      </c>
      <c r="B293" s="6">
        <v>50</v>
      </c>
      <c r="C293" s="6" t="s">
        <v>3059</v>
      </c>
      <c r="D293" s="7">
        <v>0</v>
      </c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</row>
    <row r="294" spans="1:20">
      <c r="A294" s="6" t="s">
        <v>74</v>
      </c>
      <c r="B294" s="6">
        <v>51</v>
      </c>
      <c r="C294" s="6" t="s">
        <v>3059</v>
      </c>
      <c r="D294" s="7">
        <v>0</v>
      </c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</row>
    <row r="295" spans="1:20">
      <c r="A295" s="6" t="s">
        <v>74</v>
      </c>
      <c r="B295" s="6">
        <v>52</v>
      </c>
      <c r="C295" s="6" t="s">
        <v>3059</v>
      </c>
      <c r="D295" s="7">
        <v>0</v>
      </c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</row>
    <row r="296" spans="1:20">
      <c r="A296" s="6" t="s">
        <v>75</v>
      </c>
      <c r="B296" s="6">
        <v>39</v>
      </c>
      <c r="C296" s="6" t="s">
        <v>3059</v>
      </c>
      <c r="D296" s="7">
        <v>0</v>
      </c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</row>
    <row r="297" spans="1:20">
      <c r="A297" s="6" t="s">
        <v>75</v>
      </c>
      <c r="B297" s="6">
        <v>40</v>
      </c>
      <c r="C297" s="6" t="s">
        <v>3059</v>
      </c>
      <c r="D297" s="7">
        <v>0</v>
      </c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</row>
    <row r="298" spans="1:20">
      <c r="A298" s="6" t="s">
        <v>75</v>
      </c>
      <c r="B298" s="6">
        <v>41</v>
      </c>
      <c r="C298" s="6" t="s">
        <v>3059</v>
      </c>
      <c r="D298" s="7">
        <v>1000</v>
      </c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</row>
    <row r="299" spans="1:20">
      <c r="A299" s="6" t="s">
        <v>75</v>
      </c>
      <c r="B299" s="6">
        <v>42</v>
      </c>
      <c r="C299" s="6" t="s">
        <v>3059</v>
      </c>
      <c r="D299" s="7">
        <v>0</v>
      </c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</row>
    <row r="300" spans="1:20">
      <c r="A300" s="6" t="s">
        <v>75</v>
      </c>
      <c r="B300" s="6">
        <v>43</v>
      </c>
      <c r="C300" s="6" t="s">
        <v>3059</v>
      </c>
      <c r="D300" s="7">
        <v>0</v>
      </c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</row>
    <row r="301" spans="1:20">
      <c r="A301" s="6" t="s">
        <v>75</v>
      </c>
      <c r="B301" s="6">
        <v>44</v>
      </c>
      <c r="C301" s="6" t="s">
        <v>3059</v>
      </c>
      <c r="D301" s="7">
        <v>0</v>
      </c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</row>
    <row r="302" spans="1:20">
      <c r="A302" s="6" t="s">
        <v>75</v>
      </c>
      <c r="B302" s="6">
        <v>45</v>
      </c>
      <c r="C302" s="6" t="s">
        <v>3059</v>
      </c>
      <c r="D302" s="7">
        <v>0</v>
      </c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</row>
    <row r="303" spans="1:20">
      <c r="A303" s="6" t="s">
        <v>75</v>
      </c>
      <c r="B303" s="6">
        <v>46</v>
      </c>
      <c r="C303" s="6" t="s">
        <v>3059</v>
      </c>
      <c r="D303" s="7">
        <v>0</v>
      </c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</row>
    <row r="304" spans="1:20">
      <c r="A304" s="6" t="s">
        <v>75</v>
      </c>
      <c r="B304" s="6">
        <v>47</v>
      </c>
      <c r="C304" s="6" t="s">
        <v>3059</v>
      </c>
      <c r="D304" s="7">
        <v>0</v>
      </c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</row>
    <row r="305" spans="1:20">
      <c r="A305" s="6" t="s">
        <v>75</v>
      </c>
      <c r="B305" s="6">
        <v>48</v>
      </c>
      <c r="C305" s="6" t="s">
        <v>3059</v>
      </c>
      <c r="D305" s="7">
        <v>0</v>
      </c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</row>
    <row r="306" spans="1:20">
      <c r="A306" s="6" t="s">
        <v>75</v>
      </c>
      <c r="B306" s="6">
        <v>49</v>
      </c>
      <c r="C306" s="6" t="s">
        <v>3059</v>
      </c>
      <c r="D306" s="7">
        <v>0</v>
      </c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</row>
    <row r="307" spans="1:20">
      <c r="A307" s="6" t="s">
        <v>75</v>
      </c>
      <c r="B307" s="6">
        <v>50</v>
      </c>
      <c r="C307" s="6" t="s">
        <v>3059</v>
      </c>
      <c r="D307" s="7">
        <v>0</v>
      </c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</row>
    <row r="308" spans="1:20">
      <c r="A308" s="6" t="s">
        <v>75</v>
      </c>
      <c r="B308" s="6">
        <v>51</v>
      </c>
      <c r="C308" s="6" t="s">
        <v>3059</v>
      </c>
      <c r="D308" s="7">
        <v>0</v>
      </c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</row>
    <row r="309" spans="1:20">
      <c r="A309" s="6" t="s">
        <v>75</v>
      </c>
      <c r="B309" s="6">
        <v>52</v>
      </c>
      <c r="C309" s="6" t="s">
        <v>3059</v>
      </c>
      <c r="D309" s="7">
        <v>0</v>
      </c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</row>
    <row r="310" spans="1:20">
      <c r="A310" s="6" t="s">
        <v>76</v>
      </c>
      <c r="B310" s="6">
        <v>39</v>
      </c>
      <c r="C310" s="6" t="s">
        <v>3059</v>
      </c>
      <c r="D310" s="7">
        <v>0</v>
      </c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</row>
    <row r="311" spans="1:20">
      <c r="A311" s="6" t="s">
        <v>76</v>
      </c>
      <c r="B311" s="6">
        <v>40</v>
      </c>
      <c r="C311" s="6" t="s">
        <v>3059</v>
      </c>
      <c r="D311" s="7">
        <v>1000</v>
      </c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</row>
    <row r="312" spans="1:20">
      <c r="A312" s="6" t="s">
        <v>76</v>
      </c>
      <c r="B312" s="6">
        <v>41</v>
      </c>
      <c r="C312" s="6" t="s">
        <v>3059</v>
      </c>
      <c r="D312" s="7">
        <v>0</v>
      </c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</row>
    <row r="313" spans="1:20">
      <c r="A313" s="6" t="s">
        <v>76</v>
      </c>
      <c r="B313" s="6">
        <v>42</v>
      </c>
      <c r="C313" s="6" t="s">
        <v>3059</v>
      </c>
      <c r="D313" s="7">
        <v>1000</v>
      </c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</row>
    <row r="314" spans="1:20">
      <c r="A314" s="6" t="s">
        <v>76</v>
      </c>
      <c r="B314" s="6">
        <v>43</v>
      </c>
      <c r="C314" s="6" t="s">
        <v>3059</v>
      </c>
      <c r="D314" s="7">
        <v>0</v>
      </c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</row>
    <row r="315" spans="1:20">
      <c r="A315" s="6" t="s">
        <v>76</v>
      </c>
      <c r="B315" s="6">
        <v>44</v>
      </c>
      <c r="C315" s="6" t="s">
        <v>3059</v>
      </c>
      <c r="D315" s="7">
        <v>2000</v>
      </c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</row>
    <row r="316" spans="1:20">
      <c r="A316" s="6" t="s">
        <v>76</v>
      </c>
      <c r="B316" s="6">
        <v>45</v>
      </c>
      <c r="C316" s="6" t="s">
        <v>3059</v>
      </c>
      <c r="D316" s="7">
        <v>1000</v>
      </c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</row>
    <row r="317" spans="1:20">
      <c r="A317" s="6" t="s">
        <v>76</v>
      </c>
      <c r="B317" s="6">
        <v>46</v>
      </c>
      <c r="C317" s="6" t="s">
        <v>3059</v>
      </c>
      <c r="D317" s="7">
        <v>1000</v>
      </c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</row>
    <row r="318" spans="1:20">
      <c r="A318" s="6" t="s">
        <v>76</v>
      </c>
      <c r="B318" s="6">
        <v>47</v>
      </c>
      <c r="C318" s="6" t="s">
        <v>3059</v>
      </c>
      <c r="D318" s="7">
        <v>2000</v>
      </c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</row>
    <row r="319" spans="1:20">
      <c r="A319" s="6" t="s">
        <v>76</v>
      </c>
      <c r="B319" s="6">
        <v>48</v>
      </c>
      <c r="C319" s="6" t="s">
        <v>3059</v>
      </c>
      <c r="D319" s="7">
        <v>1000</v>
      </c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</row>
    <row r="320" spans="1:20">
      <c r="A320" s="6" t="s">
        <v>76</v>
      </c>
      <c r="B320" s="6">
        <v>49</v>
      </c>
      <c r="C320" s="6" t="s">
        <v>3059</v>
      </c>
      <c r="D320" s="7">
        <v>0</v>
      </c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</row>
    <row r="321" spans="1:20">
      <c r="A321" s="6" t="s">
        <v>76</v>
      </c>
      <c r="B321" s="6">
        <v>50</v>
      </c>
      <c r="C321" s="6" t="s">
        <v>3059</v>
      </c>
      <c r="D321" s="7">
        <v>1000</v>
      </c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</row>
    <row r="322" spans="1:20">
      <c r="A322" s="6" t="s">
        <v>76</v>
      </c>
      <c r="B322" s="6">
        <v>51</v>
      </c>
      <c r="C322" s="6" t="s">
        <v>3059</v>
      </c>
      <c r="D322" s="7">
        <v>1000</v>
      </c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</row>
    <row r="323" spans="1:20">
      <c r="A323" s="6" t="s">
        <v>76</v>
      </c>
      <c r="B323" s="6">
        <v>52</v>
      </c>
      <c r="C323" s="6" t="s">
        <v>3059</v>
      </c>
      <c r="D323" s="7">
        <v>0</v>
      </c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</row>
    <row r="324" spans="1:20">
      <c r="A324" s="6" t="s">
        <v>77</v>
      </c>
      <c r="B324" s="6">
        <v>39</v>
      </c>
      <c r="C324" s="6" t="s">
        <v>3059</v>
      </c>
      <c r="D324" s="7">
        <v>0</v>
      </c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</row>
    <row r="325" spans="1:20">
      <c r="A325" s="6" t="s">
        <v>77</v>
      </c>
      <c r="B325" s="6">
        <v>40</v>
      </c>
      <c r="C325" s="6" t="s">
        <v>3059</v>
      </c>
      <c r="D325" s="7">
        <v>0</v>
      </c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</row>
    <row r="326" spans="1:20">
      <c r="A326" s="6" t="s">
        <v>77</v>
      </c>
      <c r="B326" s="6">
        <v>41</v>
      </c>
      <c r="C326" s="6" t="s">
        <v>3059</v>
      </c>
      <c r="D326" s="7">
        <v>2000</v>
      </c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</row>
    <row r="327" spans="1:20">
      <c r="A327" s="6" t="s">
        <v>77</v>
      </c>
      <c r="B327" s="6">
        <v>42</v>
      </c>
      <c r="C327" s="6" t="s">
        <v>3059</v>
      </c>
      <c r="D327" s="7">
        <v>2000</v>
      </c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</row>
    <row r="328" spans="1:20">
      <c r="A328" s="6" t="s">
        <v>77</v>
      </c>
      <c r="B328" s="6">
        <v>43</v>
      </c>
      <c r="C328" s="6" t="s">
        <v>3059</v>
      </c>
      <c r="D328" s="7">
        <v>1000</v>
      </c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</row>
    <row r="329" spans="1:20">
      <c r="A329" s="6" t="s">
        <v>77</v>
      </c>
      <c r="B329" s="6">
        <v>44</v>
      </c>
      <c r="C329" s="6" t="s">
        <v>3059</v>
      </c>
      <c r="D329" s="7">
        <v>2000</v>
      </c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</row>
    <row r="330" spans="1:20">
      <c r="A330" s="6" t="s">
        <v>77</v>
      </c>
      <c r="B330" s="6">
        <v>45</v>
      </c>
      <c r="C330" s="6" t="s">
        <v>3059</v>
      </c>
      <c r="D330" s="7">
        <v>2000</v>
      </c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</row>
    <row r="331" spans="1:20">
      <c r="A331" s="6" t="s">
        <v>77</v>
      </c>
      <c r="B331" s="6">
        <v>46</v>
      </c>
      <c r="C331" s="6" t="s">
        <v>3059</v>
      </c>
      <c r="D331" s="7">
        <v>2000</v>
      </c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</row>
    <row r="332" spans="1:20">
      <c r="A332" s="6" t="s">
        <v>77</v>
      </c>
      <c r="B332" s="6">
        <v>47</v>
      </c>
      <c r="C332" s="6" t="s">
        <v>3059</v>
      </c>
      <c r="D332" s="7">
        <v>2000</v>
      </c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</row>
    <row r="333" spans="1:20">
      <c r="A333" s="6" t="s">
        <v>77</v>
      </c>
      <c r="B333" s="6">
        <v>48</v>
      </c>
      <c r="C333" s="6" t="s">
        <v>3059</v>
      </c>
      <c r="D333" s="7">
        <v>2000</v>
      </c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</row>
    <row r="334" spans="1:20">
      <c r="A334" s="6" t="s">
        <v>77</v>
      </c>
      <c r="B334" s="6">
        <v>49</v>
      </c>
      <c r="C334" s="6" t="s">
        <v>3059</v>
      </c>
      <c r="D334" s="7">
        <v>3000</v>
      </c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</row>
    <row r="335" spans="1:20">
      <c r="A335" s="6" t="s">
        <v>77</v>
      </c>
      <c r="B335" s="6">
        <v>50</v>
      </c>
      <c r="C335" s="6" t="s">
        <v>3059</v>
      </c>
      <c r="D335" s="7">
        <v>1000</v>
      </c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</row>
    <row r="336" spans="1:20">
      <c r="A336" s="6" t="s">
        <v>77</v>
      </c>
      <c r="B336" s="6">
        <v>51</v>
      </c>
      <c r="C336" s="6" t="s">
        <v>3059</v>
      </c>
      <c r="D336" s="7">
        <v>3000</v>
      </c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</row>
    <row r="337" spans="1:20">
      <c r="A337" s="6" t="s">
        <v>77</v>
      </c>
      <c r="B337" s="6">
        <v>52</v>
      </c>
      <c r="C337" s="6" t="s">
        <v>3059</v>
      </c>
      <c r="D337" s="7">
        <v>0</v>
      </c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55D6D-1648-470A-A3D4-B3E8ED991C24}">
  <dimension ref="A1:C13"/>
  <sheetViews>
    <sheetView tabSelected="1" zoomScaleNormal="100" workbookViewId="0">
      <selection activeCell="F9" sqref="F9"/>
    </sheetView>
  </sheetViews>
  <sheetFormatPr defaultRowHeight="13.8"/>
  <cols>
    <col min="2" max="2" width="15.59765625" customWidth="1"/>
    <col min="3" max="3" width="63.8984375" customWidth="1"/>
  </cols>
  <sheetData>
    <row r="1" spans="1:3">
      <c r="A1" s="30"/>
    </row>
    <row r="2" spans="1:3">
      <c r="B2" s="30" t="s">
        <v>3077</v>
      </c>
    </row>
    <row r="4" spans="1:3" ht="14.4">
      <c r="B4" s="29" t="s">
        <v>3076</v>
      </c>
      <c r="C4" s="28" t="s">
        <v>3075</v>
      </c>
    </row>
    <row r="5" spans="1:3" ht="14.4">
      <c r="B5" s="29" t="s">
        <v>43</v>
      </c>
      <c r="C5" s="28" t="s">
        <v>3074</v>
      </c>
    </row>
    <row r="6" spans="1:3" ht="14.4">
      <c r="B6" s="29" t="s">
        <v>38</v>
      </c>
      <c r="C6" s="28" t="s">
        <v>3073</v>
      </c>
    </row>
    <row r="7" spans="1:3" ht="14.4">
      <c r="B7" s="29" t="s">
        <v>13</v>
      </c>
      <c r="C7" s="28" t="s">
        <v>3072</v>
      </c>
    </row>
    <row r="8" spans="1:3" ht="14.4">
      <c r="B8" s="29" t="s">
        <v>3071</v>
      </c>
      <c r="C8" s="28" t="s">
        <v>3070</v>
      </c>
    </row>
    <row r="9" spans="1:3" ht="14.4">
      <c r="B9" s="29" t="s">
        <v>3069</v>
      </c>
      <c r="C9" s="28" t="s">
        <v>3068</v>
      </c>
    </row>
    <row r="10" spans="1:3" ht="14.4">
      <c r="B10" s="29" t="s">
        <v>3067</v>
      </c>
      <c r="C10" s="28" t="s">
        <v>3066</v>
      </c>
    </row>
    <row r="11" spans="1:3" ht="14.4">
      <c r="B11" s="29" t="s">
        <v>3065</v>
      </c>
      <c r="C11" s="28" t="s">
        <v>3064</v>
      </c>
    </row>
    <row r="12" spans="1:3" ht="14.4">
      <c r="B12" s="29" t="s">
        <v>3063</v>
      </c>
      <c r="C12" s="28" t="s">
        <v>3062</v>
      </c>
    </row>
    <row r="13" spans="1:3" ht="28.8">
      <c r="B13" s="29" t="s">
        <v>3061</v>
      </c>
      <c r="C13" s="28" t="s">
        <v>3060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Dashboard</vt:lpstr>
      <vt:lpstr>Controls</vt:lpstr>
      <vt:lpstr>PSI Plan</vt:lpstr>
      <vt:lpstr>Inventory Review</vt:lpstr>
      <vt:lpstr>Customer Impact</vt:lpstr>
      <vt:lpstr>Orders</vt:lpstr>
      <vt:lpstr>Products</vt:lpstr>
      <vt:lpstr>Production</vt:lpstr>
      <vt:lpstr>Source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Shikhar Singh</cp:lastModifiedBy>
  <dcterms:modified xsi:type="dcterms:W3CDTF">2026-10-18T07:25:58Z</dcterms:modified>
</cp:coreProperties>
</file>